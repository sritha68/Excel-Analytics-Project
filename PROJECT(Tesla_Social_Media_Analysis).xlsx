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2.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drawings/drawing16.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7.xml" ContentType="application/vnd.openxmlformats-officedocument.spreadsheetml.pivotTable+xml"/>
  <Override PartName="/xl/drawings/drawing1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8.xml" ContentType="application/vnd.openxmlformats-officedocument.spreadsheetml.pivotTable+xml"/>
  <Override PartName="/xl/drawings/drawing18.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0.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https://d.docs.live.net/863104cfec524eec/Documents/COURSE_2(PROJECT)/"/>
    </mc:Choice>
  </mc:AlternateContent>
  <xr:revisionPtr revIDLastSave="2060" documentId="8_{AEB4653E-8531-4907-BEC2-B5330B410522}" xr6:coauthVersionLast="47" xr6:coauthVersionMax="47" xr10:uidLastSave="{969BFCEE-8BFD-4BA8-B128-670D5727C4CB}"/>
  <bookViews>
    <workbookView xWindow="-108" yWindow="-108" windowWidth="23256" windowHeight="12456" tabRatio="920" firstSheet="13" activeTab="27" xr2:uid="{DF70CABF-78E3-49D6-8CC0-58BB4C690C2C}"/>
  </bookViews>
  <sheets>
    <sheet name="Task_1" sheetId="2" r:id="rId1"/>
    <sheet name="Task_2.1" sheetId="3" r:id="rId2"/>
    <sheet name="Task_2.2" sheetId="4" r:id="rId3"/>
    <sheet name="Task_2.3(1)" sheetId="6" r:id="rId4"/>
    <sheet name="Task_2.3(2)" sheetId="9" r:id="rId5"/>
    <sheet name="Unpivoted_columns" sheetId="8" r:id="rId6"/>
    <sheet name="Task_2.4" sheetId="13" r:id="rId7"/>
    <sheet name="Task_3.1" sheetId="14" r:id="rId8"/>
    <sheet name="Engagement summary" sheetId="15" r:id="rId9"/>
    <sheet name="Task_3.2" sheetId="16" r:id="rId10"/>
    <sheet name="Task_3.3" sheetId="17" r:id="rId11"/>
    <sheet name="Task_3.4" sheetId="18" r:id="rId12"/>
    <sheet name="Task_4.1" sheetId="19" r:id="rId13"/>
    <sheet name="Table1" sheetId="21" r:id="rId14"/>
    <sheet name="Task_4.2" sheetId="23" r:id="rId15"/>
    <sheet name="Task_4.3" sheetId="25" r:id="rId16"/>
    <sheet name="Task_4.4" sheetId="26" r:id="rId17"/>
    <sheet name="Posts" sheetId="27" r:id="rId18"/>
    <sheet name="Task_5.1" sheetId="29" r:id="rId19"/>
    <sheet name="Task_5.2" sheetId="30" r:id="rId20"/>
    <sheet name="Task_5.3" sheetId="31" r:id="rId21"/>
    <sheet name="Task_5.4" sheetId="32" r:id="rId22"/>
    <sheet name="Task_6.1" sheetId="33" r:id="rId23"/>
    <sheet name="Task_6.2" sheetId="34" r:id="rId24"/>
    <sheet name="Task_6.3" sheetId="35" r:id="rId25"/>
    <sheet name="Task_6.4" sheetId="37" r:id="rId26"/>
    <sheet name="Dashboard" sheetId="38" r:id="rId27"/>
    <sheet name="Video Link" sheetId="42" r:id="rId28"/>
  </sheets>
  <definedNames>
    <definedName name="Ad_Spend">'Engagement summary'!$G$2:$G$1048576</definedName>
    <definedName name="Attribute">Table1!$N$2:$N$1048576</definedName>
    <definedName name="Campaign_Name" localSheetId="17">Posts!$O$2:$O$1048576</definedName>
    <definedName name="Campaign_Name" localSheetId="13">Table1!$L$2:$L$1048576</definedName>
    <definedName name="Campaign_Name" localSheetId="7">Task_3.1!$O$2:$O$1048576</definedName>
    <definedName name="Campaign_Name">'Engagement summary'!$J$2:$J$1048576</definedName>
    <definedName name="Clicks" localSheetId="17">Posts!$K$2:$K$1048576</definedName>
    <definedName name="Clicks" localSheetId="13">Table1!$K$2:$K$1048576</definedName>
    <definedName name="Clicks">Task_3.1!$K$2:$K$1048576</definedName>
    <definedName name="Comments" localSheetId="17">Posts!$H$2:$H$1048576</definedName>
    <definedName name="Comments" localSheetId="13">Table1!$H$2:$H$1048576</definedName>
    <definedName name="Comments">Task_3.1!$H$2:$H$1048576</definedName>
    <definedName name="Content_Type" localSheetId="17">Posts!$D$2:$D$1048576</definedName>
    <definedName name="Content_Type" localSheetId="13">Table1!$D$2:$D$1048576</definedName>
    <definedName name="Content_Type">Task_3.1!$D$2:$D$1048576</definedName>
    <definedName name="Date" localSheetId="17">Posts!$C$2:$C$1048576</definedName>
    <definedName name="Date" localSheetId="13">Table1!$C$2:$C$1048576</definedName>
    <definedName name="Date">Task_3.1!$C$2:$C$1048576</definedName>
    <definedName name="Engagement_rate" localSheetId="17">Posts!$P$2:$P$1048576</definedName>
    <definedName name="Engagement_rate" localSheetId="13">Table1!$M$2:$M$1048576</definedName>
    <definedName name="Engagement_rate" localSheetId="7">Task_3.1!$P$2:$P$1048576</definedName>
    <definedName name="Engagement_Rate">'Engagement summary'!$F$2:$F$1048576</definedName>
    <definedName name="ExternalData_1" localSheetId="17" hidden="1">Posts!$A$1:$O$301</definedName>
    <definedName name="ExternalData_1" localSheetId="0" hidden="1">Task_1!$A$1:$O$301</definedName>
    <definedName name="ExternalData_1" localSheetId="1" hidden="1">Task_2.1!$A$1:$O$301</definedName>
    <definedName name="ExternalData_1" localSheetId="2" hidden="1">Task_2.2!$A$2:$O$302</definedName>
    <definedName name="ExternalData_2" localSheetId="13" hidden="1">Table1!$A$1:$O$901</definedName>
    <definedName name="ExternalData_2" localSheetId="7" hidden="1">Task_3.1!$A$1:$O$301</definedName>
    <definedName name="ExternalData_2" localSheetId="5" hidden="1">Unpivoted_columns!$A$1:$N$901</definedName>
    <definedName name="Growth_rate">'Engagement summary'!$I$2:$I$1048576</definedName>
    <definedName name="Hashtags">Table1!$O$2:$O$1048576</definedName>
    <definedName name="Hashtags_1" localSheetId="17">Posts!$M$2:$M$1048576</definedName>
    <definedName name="Hashtags_1">Task_3.1!$M$2:$M$1048576</definedName>
    <definedName name="Hashtags_2" localSheetId="17">Posts!$N$2:$N$1048576</definedName>
    <definedName name="Hashtags_2">Task_3.1!$N$2:$N$1048576</definedName>
    <definedName name="Hashtags_Used" localSheetId="17">Posts!$L$2:$L$1048576</definedName>
    <definedName name="Hashtags_Used">Task_3.1!$L$2:$L$1048576</definedName>
    <definedName name="Impressions" localSheetId="17">Posts!$I$2:$I$1048576</definedName>
    <definedName name="Impressions" localSheetId="13">Table1!$I$2:$I$1048576</definedName>
    <definedName name="Impressions">Task_3.1!$I$2:$I$1048576</definedName>
    <definedName name="Likes" localSheetId="17">Posts!$F$2:$F$1048576</definedName>
    <definedName name="Likes" localSheetId="13">Table1!$F$2:$F$1048576</definedName>
    <definedName name="Likes">Task_3.1!$F$2:$F$1048576</definedName>
    <definedName name="Net_Followers">'Engagement summary'!$H$2:$H$1048576</definedName>
    <definedName name="New_Followers">'Engagement summary'!$C$2:$C$1048576</definedName>
    <definedName name="Period">Posts!$Q$2:$Q$1048576</definedName>
    <definedName name="Platform" localSheetId="17">Posts!$B$2:$B$1048576</definedName>
    <definedName name="Platform" localSheetId="13">Table1!$B$2:$B$1048576</definedName>
    <definedName name="Platform" localSheetId="7">Task_3.1!$B$2:$B$1048576</definedName>
    <definedName name="Platform">'Engagement summary'!$B$2:$B$1048576</definedName>
    <definedName name="Post_ID" localSheetId="17">Posts!$A$2:$A$1048576</definedName>
    <definedName name="Post_ID" localSheetId="13">Table1!$A$2:$A$1048576</definedName>
    <definedName name="Post_ID">Task_3.1!$A$2:$A$1048576</definedName>
    <definedName name="Post_Text" localSheetId="17">Posts!$E$2:$E$1048576</definedName>
    <definedName name="Post_Text" localSheetId="13">Table1!$E$2:$E$1048576</definedName>
    <definedName name="Post_Text">Task_3.1!$E$2:$E$1048576</definedName>
    <definedName name="Reach" localSheetId="17">Posts!$J$2:$J$1048576</definedName>
    <definedName name="Reach" localSheetId="13">Table1!$J$2:$J$1048576</definedName>
    <definedName name="Reach">Task_3.1!$J$2:$J$1048576</definedName>
    <definedName name="Shares" localSheetId="17">Posts!$G$2:$G$1048576</definedName>
    <definedName name="Shares" localSheetId="13">Table1!$G$2:$G$1048576</definedName>
    <definedName name="Shares">Task_3.1!$G$2:$G$1048576</definedName>
    <definedName name="Slicer_Campaign_Name">#N/A</definedName>
    <definedName name="Slicer_Content_Type1">#N/A</definedName>
    <definedName name="Slicer_Hashtags1">#N/A</definedName>
    <definedName name="Slicer_Platform">#N/A</definedName>
    <definedName name="Slicer_Platform1">#N/A</definedName>
    <definedName name="Slicer_Platform2">#N/A</definedName>
    <definedName name="Total_Engagement">Task_3.1!$Q$2:$Q$1048576</definedName>
    <definedName name="Total_Followers">'Engagement summary'!$E$2:$E$1048576</definedName>
    <definedName name="Unfollows">'Engagement summary'!$D$2:$D$1048576</definedName>
    <definedName name="Week_Start_Date">'Engagement summary'!$A$2:$A$1048576</definedName>
  </definedNames>
  <calcPr calcId="191029"/>
  <pivotCaches>
    <pivotCache cacheId="0" r:id="rId29"/>
    <pivotCache cacheId="1" r:id="rId30"/>
    <pivotCache cacheId="2" r:id="rId31"/>
    <pivotCache cacheId="3" r:id="rId32"/>
    <pivotCache cacheId="4" r:id="rId33"/>
    <pivotCache cacheId="5" r:id="rId34"/>
    <pivotCache cacheId="6" r:id="rId35"/>
    <pivotCache cacheId="7" r:id="rId36"/>
  </pivotCaches>
  <extLst>
    <ext xmlns:x14="http://schemas.microsoft.com/office/spreadsheetml/2009/9/main" uri="{BBE1A952-AA13-448e-AADC-164F8A28A991}">
      <x14:slicerCaches>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5" l="1" a="1"/>
  <c r="J3" i="15"/>
  <c r="J4" i="15" a="1"/>
  <c r="J4" i="15" s="1"/>
  <c r="J5" i="15" a="1"/>
  <c r="J5" i="15" s="1"/>
  <c r="J6" i="15" a="1"/>
  <c r="J6" i="15" s="1"/>
  <c r="J7" i="15" a="1"/>
  <c r="J7" i="15"/>
  <c r="J8" i="15" a="1"/>
  <c r="J8" i="15" s="1"/>
  <c r="J9" i="15" a="1"/>
  <c r="J9" i="15" s="1"/>
  <c r="J10" i="15" a="1"/>
  <c r="J10" i="15" s="1"/>
  <c r="J11" i="15" a="1"/>
  <c r="J11" i="15"/>
  <c r="J12" i="15" a="1"/>
  <c r="J12" i="15" s="1"/>
  <c r="J13" i="15" a="1"/>
  <c r="J13" i="15" s="1"/>
  <c r="J14" i="15" a="1"/>
  <c r="J14" i="15" s="1"/>
  <c r="J15" i="15" a="1"/>
  <c r="J15" i="15"/>
  <c r="J16" i="15" a="1"/>
  <c r="J16" i="15" s="1"/>
  <c r="J17" i="15" a="1"/>
  <c r="J17" i="15" s="1"/>
  <c r="J18" i="15" a="1"/>
  <c r="J18" i="15" s="1"/>
  <c r="J19" i="15" a="1"/>
  <c r="J19" i="15"/>
  <c r="J20" i="15" a="1"/>
  <c r="J20" i="15" s="1"/>
  <c r="J21" i="15" a="1"/>
  <c r="J21" i="15" s="1"/>
  <c r="J22" i="15" a="1"/>
  <c r="J22" i="15" s="1"/>
  <c r="J23" i="15" a="1"/>
  <c r="J23" i="15"/>
  <c r="J24" i="15" a="1"/>
  <c r="J24" i="15" s="1"/>
  <c r="J25" i="15" a="1"/>
  <c r="J25" i="15" s="1"/>
  <c r="J26" i="15" a="1"/>
  <c r="J26" i="15" s="1"/>
  <c r="J27" i="15" a="1"/>
  <c r="J27" i="15"/>
  <c r="J28" i="15" a="1"/>
  <c r="J28" i="15" s="1"/>
  <c r="J29" i="15" a="1"/>
  <c r="J29" i="15" s="1"/>
  <c r="J30" i="15" a="1"/>
  <c r="J30" i="15" s="1"/>
  <c r="J31" i="15" a="1"/>
  <c r="J31" i="15"/>
  <c r="J32" i="15" a="1"/>
  <c r="J32" i="15" s="1"/>
  <c r="J33" i="15" a="1"/>
  <c r="J33" i="15" s="1"/>
  <c r="J34" i="15" a="1"/>
  <c r="J34" i="15" s="1"/>
  <c r="J35" i="15" a="1"/>
  <c r="J35" i="15"/>
  <c r="J36" i="15" a="1"/>
  <c r="J36" i="15" s="1"/>
  <c r="J37" i="15" a="1"/>
  <c r="J37" i="15" s="1"/>
  <c r="J38" i="15" a="1"/>
  <c r="J38" i="15" s="1"/>
  <c r="J39" i="15" a="1"/>
  <c r="J39" i="15"/>
  <c r="J40" i="15" a="1"/>
  <c r="J40" i="15" s="1"/>
  <c r="J41" i="15" a="1"/>
  <c r="J41" i="15" s="1"/>
  <c r="J42" i="15" a="1"/>
  <c r="J42" i="15" s="1"/>
  <c r="J43" i="15" a="1"/>
  <c r="J43" i="15"/>
  <c r="J44" i="15" a="1"/>
  <c r="J44" i="15" s="1"/>
  <c r="J45" i="15" a="1"/>
  <c r="J45" i="15" s="1"/>
  <c r="J46" i="15" a="1"/>
  <c r="J46" i="15" s="1"/>
  <c r="J47" i="15" a="1"/>
  <c r="J47" i="15"/>
  <c r="J48" i="15" a="1"/>
  <c r="J48" i="15" s="1"/>
  <c r="J49" i="15" a="1"/>
  <c r="J49" i="15" s="1"/>
  <c r="J50" i="15" a="1"/>
  <c r="J50" i="15" s="1"/>
  <c r="J51" i="15" a="1"/>
  <c r="J51" i="15"/>
  <c r="J52" i="15" a="1"/>
  <c r="J52" i="15" s="1"/>
  <c r="J53" i="15" a="1"/>
  <c r="J53" i="15" s="1"/>
  <c r="J54" i="15" a="1"/>
  <c r="J54" i="15" s="1"/>
  <c r="J55" i="15" a="1"/>
  <c r="J55" i="15"/>
  <c r="J56" i="15" a="1"/>
  <c r="J56" i="15" s="1"/>
  <c r="J57" i="15" a="1"/>
  <c r="J57" i="15" s="1"/>
  <c r="J58" i="15" a="1"/>
  <c r="J58" i="15" s="1"/>
  <c r="J59" i="15" a="1"/>
  <c r="J59" i="15"/>
  <c r="J60" i="15" a="1"/>
  <c r="J60" i="15" s="1"/>
  <c r="J61" i="15" a="1"/>
  <c r="J61" i="15" s="1"/>
  <c r="J62" i="15" a="1"/>
  <c r="J62" i="15" s="1"/>
  <c r="J63" i="15" a="1"/>
  <c r="J63" i="15"/>
  <c r="J64" i="15" a="1"/>
  <c r="J64" i="15" s="1"/>
  <c r="J65" i="15" a="1"/>
  <c r="J65" i="15" s="1"/>
  <c r="J66" i="15" a="1"/>
  <c r="J66" i="15" s="1"/>
  <c r="J67" i="15" a="1"/>
  <c r="J67" i="15"/>
  <c r="J68" i="15" a="1"/>
  <c r="J68" i="15" s="1"/>
  <c r="J69" i="15" a="1"/>
  <c r="J69" i="15" s="1"/>
  <c r="J70" i="15" a="1"/>
  <c r="J70" i="15" s="1"/>
  <c r="J71" i="15" a="1"/>
  <c r="J71" i="15"/>
  <c r="J72" i="15" a="1"/>
  <c r="J72" i="15" s="1"/>
  <c r="J73" i="15" a="1"/>
  <c r="J73" i="15" s="1"/>
  <c r="J74" i="15" a="1"/>
  <c r="J74" i="15" s="1"/>
  <c r="J75" i="15" a="1"/>
  <c r="J75" i="15"/>
  <c r="J76" i="15" a="1"/>
  <c r="J76" i="15" s="1"/>
  <c r="J77" i="15" a="1"/>
  <c r="J77" i="15" s="1"/>
  <c r="J78" i="15" a="1"/>
  <c r="J78" i="15" s="1"/>
  <c r="J79" i="15" a="1"/>
  <c r="J79" i="15"/>
  <c r="J80" i="15" a="1"/>
  <c r="J80" i="15" s="1"/>
  <c r="J81" i="15" a="1"/>
  <c r="J81" i="15" s="1"/>
  <c r="J82" i="15" a="1"/>
  <c r="J82" i="15" s="1"/>
  <c r="J83" i="15" a="1"/>
  <c r="J83" i="15"/>
  <c r="J84" i="15" a="1"/>
  <c r="J84" i="15" s="1"/>
  <c r="J85" i="15" a="1"/>
  <c r="J85" i="15" s="1"/>
  <c r="J86" i="15" a="1"/>
  <c r="J86" i="15" s="1"/>
  <c r="J87" i="15" a="1"/>
  <c r="J87" i="15"/>
  <c r="J88" i="15" a="1"/>
  <c r="J88" i="15" s="1"/>
  <c r="J89" i="15" a="1"/>
  <c r="J89" i="15" s="1"/>
  <c r="J90" i="15" a="1"/>
  <c r="J90" i="15" s="1"/>
  <c r="J91" i="15" a="1"/>
  <c r="J91" i="15"/>
  <c r="J92" i="15" a="1"/>
  <c r="J92" i="15" s="1"/>
  <c r="J93" i="15" a="1"/>
  <c r="J93" i="15" s="1"/>
  <c r="J94" i="15" a="1"/>
  <c r="J94" i="15" s="1"/>
  <c r="J95" i="15" a="1"/>
  <c r="J95" i="15"/>
  <c r="J96" i="15" a="1"/>
  <c r="J96" i="15" s="1"/>
  <c r="J97" i="15" a="1"/>
  <c r="J97" i="15" s="1"/>
  <c r="J98" i="15" a="1"/>
  <c r="J98" i="15" s="1"/>
  <c r="J99" i="15" a="1"/>
  <c r="J99" i="15"/>
  <c r="J100" i="15" a="1"/>
  <c r="J100" i="15" s="1"/>
  <c r="J101" i="15" a="1"/>
  <c r="J101" i="15" s="1"/>
  <c r="J102" i="15" a="1"/>
  <c r="J102" i="15" s="1"/>
  <c r="J103" i="15" a="1"/>
  <c r="J103" i="15"/>
  <c r="J104" i="15" a="1"/>
  <c r="J104" i="15" s="1"/>
  <c r="J105" i="15" a="1"/>
  <c r="J105" i="15" s="1"/>
  <c r="J106" i="15" a="1"/>
  <c r="J106" i="15" s="1"/>
  <c r="J107" i="15" a="1"/>
  <c r="J107" i="15"/>
  <c r="J108" i="15" a="1"/>
  <c r="J108" i="15" s="1"/>
  <c r="J109" i="15" a="1"/>
  <c r="J109" i="15" s="1"/>
  <c r="J110" i="15" a="1"/>
  <c r="J110" i="15" s="1"/>
  <c r="J111" i="15" a="1"/>
  <c r="J111" i="15"/>
  <c r="J112" i="15" a="1"/>
  <c r="J112" i="15" s="1"/>
  <c r="J113" i="15" a="1"/>
  <c r="J113" i="15" s="1"/>
  <c r="J114" i="15" a="1"/>
  <c r="J114" i="15" s="1"/>
  <c r="J115" i="15" a="1"/>
  <c r="J115" i="15"/>
  <c r="J116" i="15" a="1"/>
  <c r="J116" i="15" s="1"/>
  <c r="J117" i="15" a="1"/>
  <c r="J117" i="15" s="1"/>
  <c r="J118" i="15" a="1"/>
  <c r="J118" i="15" s="1"/>
  <c r="J119" i="15" a="1"/>
  <c r="J119" i="15"/>
  <c r="J120" i="15" a="1"/>
  <c r="J120" i="15" s="1"/>
  <c r="J121" i="15" a="1"/>
  <c r="J121" i="15" s="1"/>
  <c r="J122" i="15" a="1"/>
  <c r="J122" i="15" s="1"/>
  <c r="J123" i="15" a="1"/>
  <c r="J123" i="15"/>
  <c r="J124" i="15" a="1"/>
  <c r="J124" i="15" s="1"/>
  <c r="J125" i="15" a="1"/>
  <c r="J125" i="15" s="1"/>
  <c r="J126" i="15" a="1"/>
  <c r="J126" i="15" s="1"/>
  <c r="J127" i="15" a="1"/>
  <c r="J127" i="15"/>
  <c r="J128" i="15" a="1"/>
  <c r="J128" i="15" s="1"/>
  <c r="J129" i="15" a="1"/>
  <c r="J129" i="15" s="1"/>
  <c r="J130" i="15" a="1"/>
  <c r="J130" i="15" s="1"/>
  <c r="J131" i="15" a="1"/>
  <c r="J131" i="15"/>
  <c r="J132" i="15" a="1"/>
  <c r="J132" i="15" s="1"/>
  <c r="J133" i="15" a="1"/>
  <c r="J133" i="15" s="1"/>
  <c r="J134" i="15" a="1"/>
  <c r="J134" i="15" s="1"/>
  <c r="J135" i="15" a="1"/>
  <c r="J135" i="15"/>
  <c r="J136" i="15" a="1"/>
  <c r="J136" i="15" s="1"/>
  <c r="J137" i="15" a="1"/>
  <c r="J137" i="15" s="1"/>
  <c r="J138" i="15" a="1"/>
  <c r="J138" i="15" s="1"/>
  <c r="J139" i="15" a="1"/>
  <c r="J139" i="15"/>
  <c r="J140" i="15" a="1"/>
  <c r="J140" i="15" s="1"/>
  <c r="J141" i="15" a="1"/>
  <c r="J141" i="15" s="1"/>
  <c r="J142" i="15" a="1"/>
  <c r="J142" i="15" s="1"/>
  <c r="J143" i="15" a="1"/>
  <c r="J143" i="15"/>
  <c r="J144" i="15" a="1"/>
  <c r="J144" i="15" s="1"/>
  <c r="J145" i="15" a="1"/>
  <c r="J145" i="15" s="1"/>
  <c r="J146" i="15" a="1"/>
  <c r="J146" i="15" s="1"/>
  <c r="J147" i="15" a="1"/>
  <c r="J147" i="15"/>
  <c r="J148" i="15" a="1"/>
  <c r="J148" i="15" s="1"/>
  <c r="J149" i="15" a="1"/>
  <c r="J149" i="15" s="1"/>
  <c r="J150" i="15" a="1"/>
  <c r="J150" i="15" s="1"/>
  <c r="J151" i="15" a="1"/>
  <c r="J151" i="15"/>
  <c r="J152" i="15" a="1"/>
  <c r="J152" i="15" s="1"/>
  <c r="J153" i="15" a="1"/>
  <c r="J153" i="15" s="1"/>
  <c r="J154" i="15" a="1"/>
  <c r="J154" i="15" s="1"/>
  <c r="J155" i="15" a="1"/>
  <c r="J155" i="15"/>
  <c r="J156" i="15" a="1"/>
  <c r="J156" i="15" s="1"/>
  <c r="J157" i="15" a="1"/>
  <c r="J157" i="15" s="1"/>
  <c r="J158" i="15" a="1"/>
  <c r="J158" i="15" s="1"/>
  <c r="J159" i="15" a="1"/>
  <c r="J159" i="15"/>
  <c r="J160" i="15" a="1"/>
  <c r="J160" i="15" s="1"/>
  <c r="J161" i="15" a="1"/>
  <c r="J161" i="15" s="1"/>
  <c r="J162" i="15" a="1"/>
  <c r="J162" i="15" s="1"/>
  <c r="J163" i="15" a="1"/>
  <c r="J163" i="15"/>
  <c r="J164" i="15" a="1"/>
  <c r="J164" i="15" s="1"/>
  <c r="J165" i="15" a="1"/>
  <c r="J165" i="15" s="1"/>
  <c r="J166" i="15" a="1"/>
  <c r="J166" i="15" s="1"/>
  <c r="J167" i="15" a="1"/>
  <c r="J167" i="15"/>
  <c r="J168" i="15" a="1"/>
  <c r="J168" i="15" s="1"/>
  <c r="J169" i="15" a="1"/>
  <c r="J169" i="15" s="1"/>
  <c r="J170" i="15" a="1"/>
  <c r="J170" i="15" s="1"/>
  <c r="J171" i="15" a="1"/>
  <c r="J171" i="15"/>
  <c r="J172" i="15" a="1"/>
  <c r="J172" i="15" s="1"/>
  <c r="J173" i="15" a="1"/>
  <c r="J173" i="15" s="1"/>
  <c r="J174" i="15" a="1"/>
  <c r="J174" i="15" s="1"/>
  <c r="J175" i="15" a="1"/>
  <c r="J175" i="15" s="1"/>
  <c r="J176" i="15" a="1"/>
  <c r="J176" i="15" s="1"/>
  <c r="J177" i="15" a="1"/>
  <c r="J177" i="15" s="1"/>
  <c r="J178" i="15" a="1"/>
  <c r="J178" i="15" s="1"/>
  <c r="J179" i="15" a="1"/>
  <c r="J179" i="15" s="1"/>
  <c r="J180" i="15" a="1"/>
  <c r="J180" i="15" s="1"/>
  <c r="J181" i="15" a="1"/>
  <c r="J181" i="15" s="1"/>
  <c r="J182" i="15" a="1"/>
  <c r="J182" i="15" s="1"/>
  <c r="J183" i="15" a="1"/>
  <c r="J183" i="15" s="1"/>
  <c r="J184" i="15" a="1"/>
  <c r="J184" i="15" s="1"/>
  <c r="J185" i="15" a="1"/>
  <c r="J185" i="15" s="1"/>
  <c r="J186" i="15" a="1"/>
  <c r="J186" i="15" s="1"/>
  <c r="J187" i="15" a="1"/>
  <c r="J187" i="15" s="1"/>
  <c r="J188" i="15" a="1"/>
  <c r="J188" i="15" s="1"/>
  <c r="J189" i="15" a="1"/>
  <c r="J189" i="15" s="1"/>
  <c r="J190" i="15" a="1"/>
  <c r="J190" i="15" s="1"/>
  <c r="J191" i="15" a="1"/>
  <c r="J191" i="15" s="1"/>
  <c r="J192" i="15" a="1"/>
  <c r="J192" i="15" s="1"/>
  <c r="J193" i="15" a="1"/>
  <c r="J193" i="15" s="1"/>
  <c r="J194" i="15" a="1"/>
  <c r="J194" i="15" s="1"/>
  <c r="J195" i="15" a="1"/>
  <c r="J195" i="15" s="1"/>
  <c r="J196" i="15" a="1"/>
  <c r="J196" i="15" s="1"/>
  <c r="J197" i="15" a="1"/>
  <c r="J197" i="15" s="1"/>
  <c r="J198" i="15" a="1"/>
  <c r="J198" i="15" s="1"/>
  <c r="J199" i="15" a="1"/>
  <c r="J199" i="15" s="1"/>
  <c r="J200" i="15" a="1"/>
  <c r="J200" i="15" s="1"/>
  <c r="J201" i="15" a="1"/>
  <c r="J201" i="15" s="1"/>
  <c r="J2" i="15" a="1"/>
  <c r="J2" i="15" s="1"/>
  <c r="E93" i="38"/>
  <c r="AN27" i="38"/>
  <c r="AN26" i="38"/>
  <c r="AN25" i="38"/>
  <c r="AN24" i="38"/>
  <c r="Q2" i="27"/>
  <c r="Q3" i="27"/>
  <c r="Q4" i="27"/>
  <c r="Q5" i="27"/>
  <c r="Q6" i="27"/>
  <c r="Q7" i="27"/>
  <c r="Q8" i="27"/>
  <c r="Q9" i="27"/>
  <c r="Q10" i="27"/>
  <c r="Q11" i="27"/>
  <c r="Q12" i="27"/>
  <c r="Q13" i="27"/>
  <c r="Q14" i="27"/>
  <c r="Q15" i="27"/>
  <c r="Q16" i="27"/>
  <c r="Q17" i="27"/>
  <c r="Q18" i="27"/>
  <c r="Q19" i="27"/>
  <c r="Q20" i="27"/>
  <c r="Q21" i="27"/>
  <c r="Q22" i="27"/>
  <c r="Q23" i="27"/>
  <c r="Q24" i="27"/>
  <c r="Q25" i="27"/>
  <c r="Q26" i="27"/>
  <c r="Q27" i="27"/>
  <c r="Q28" i="27"/>
  <c r="Q29" i="27"/>
  <c r="Q30" i="27"/>
  <c r="Q31" i="27"/>
  <c r="Q32" i="27"/>
  <c r="Q33" i="27"/>
  <c r="Q34" i="27"/>
  <c r="Q35" i="27"/>
  <c r="Q36" i="27"/>
  <c r="Q37" i="27"/>
  <c r="Q38" i="27"/>
  <c r="Q39" i="27"/>
  <c r="Q40" i="27"/>
  <c r="Q41" i="27"/>
  <c r="Q42" i="27"/>
  <c r="Q43" i="27"/>
  <c r="Q44" i="27"/>
  <c r="Q45" i="27"/>
  <c r="Q46" i="27"/>
  <c r="Q47" i="27"/>
  <c r="Q48" i="27"/>
  <c r="Q49" i="27"/>
  <c r="Q50" i="27"/>
  <c r="Q51" i="27"/>
  <c r="Q52" i="27"/>
  <c r="Q53" i="27"/>
  <c r="Q54" i="27"/>
  <c r="Q55" i="27"/>
  <c r="Q56" i="27"/>
  <c r="Q57" i="27"/>
  <c r="Q58" i="27"/>
  <c r="Q59" i="27"/>
  <c r="Q60" i="27"/>
  <c r="Q61" i="27"/>
  <c r="Q62" i="27"/>
  <c r="Q63" i="27"/>
  <c r="Q64" i="27"/>
  <c r="Q65" i="27"/>
  <c r="Q66" i="27"/>
  <c r="Q67" i="27"/>
  <c r="Q68" i="27"/>
  <c r="Q69" i="27"/>
  <c r="Q70" i="27"/>
  <c r="Q71" i="27"/>
  <c r="Q72" i="27"/>
  <c r="Q73" i="27"/>
  <c r="Q74" i="27"/>
  <c r="Q75" i="27"/>
  <c r="Q76" i="27"/>
  <c r="Q77" i="27"/>
  <c r="Q78" i="27"/>
  <c r="Q79" i="27"/>
  <c r="Q80" i="27"/>
  <c r="Q81" i="27"/>
  <c r="Q82" i="27"/>
  <c r="Q83" i="27"/>
  <c r="Q84" i="27"/>
  <c r="Q85" i="27"/>
  <c r="Q86" i="27"/>
  <c r="Q87" i="27"/>
  <c r="Q88" i="27"/>
  <c r="Q89" i="27"/>
  <c r="Q90" i="27"/>
  <c r="Q91" i="27"/>
  <c r="Q92" i="27"/>
  <c r="Q93" i="27"/>
  <c r="Q94" i="27"/>
  <c r="Q95" i="27"/>
  <c r="Q96" i="27"/>
  <c r="Q97" i="27"/>
  <c r="Q98" i="27"/>
  <c r="Q99" i="27"/>
  <c r="Q100" i="27"/>
  <c r="Q101" i="27"/>
  <c r="Q102" i="27"/>
  <c r="Q103" i="27"/>
  <c r="Q104" i="27"/>
  <c r="Q105" i="27"/>
  <c r="Q106" i="27"/>
  <c r="Q107" i="27"/>
  <c r="Q108" i="27"/>
  <c r="Q109" i="27"/>
  <c r="Q110" i="27"/>
  <c r="Q111" i="27"/>
  <c r="Q112" i="27"/>
  <c r="Q113" i="27"/>
  <c r="Q114" i="27"/>
  <c r="Q115" i="27"/>
  <c r="Q116" i="27"/>
  <c r="Q117" i="27"/>
  <c r="Q118" i="27"/>
  <c r="Q119" i="27"/>
  <c r="Q120" i="27"/>
  <c r="Q121" i="27"/>
  <c r="Q122" i="27"/>
  <c r="Q123" i="27"/>
  <c r="Q124" i="27"/>
  <c r="Q125" i="27"/>
  <c r="Q126" i="27"/>
  <c r="Q127" i="27"/>
  <c r="Q128" i="27"/>
  <c r="Q129" i="27"/>
  <c r="Q130" i="27"/>
  <c r="Q131" i="27"/>
  <c r="Q132" i="27"/>
  <c r="Q133" i="27"/>
  <c r="Q134" i="27"/>
  <c r="Q135" i="27"/>
  <c r="Q136" i="27"/>
  <c r="Q137" i="27"/>
  <c r="Q138" i="27"/>
  <c r="Q139" i="27"/>
  <c r="Q140" i="27"/>
  <c r="Q141" i="27"/>
  <c r="Q142" i="27"/>
  <c r="Q143" i="27"/>
  <c r="Q144" i="27"/>
  <c r="Q145" i="27"/>
  <c r="Q146" i="27"/>
  <c r="Q147" i="27"/>
  <c r="Q148" i="27"/>
  <c r="Q149" i="27"/>
  <c r="Q150" i="27"/>
  <c r="Q151" i="27"/>
  <c r="Q152" i="27"/>
  <c r="Q153" i="27"/>
  <c r="Q154" i="27"/>
  <c r="Q155" i="27"/>
  <c r="Q156" i="27"/>
  <c r="Q157" i="27"/>
  <c r="Q158" i="27"/>
  <c r="Q159" i="27"/>
  <c r="Q160" i="27"/>
  <c r="Q161" i="27"/>
  <c r="Q162" i="27"/>
  <c r="Q163" i="27"/>
  <c r="Q164" i="27"/>
  <c r="Q165" i="27"/>
  <c r="Q166" i="27"/>
  <c r="Q167" i="27"/>
  <c r="Q168" i="27"/>
  <c r="Q169" i="27"/>
  <c r="Q170" i="27"/>
  <c r="Q171" i="27"/>
  <c r="Q172" i="27"/>
  <c r="Q173" i="27"/>
  <c r="Q174" i="27"/>
  <c r="Q175" i="27"/>
  <c r="Q176" i="27"/>
  <c r="Q177" i="27"/>
  <c r="Q178" i="27"/>
  <c r="Q179" i="27"/>
  <c r="Q180" i="27"/>
  <c r="Q181" i="27"/>
  <c r="Q182" i="27"/>
  <c r="Q183" i="27"/>
  <c r="Q184" i="27"/>
  <c r="Q185" i="27"/>
  <c r="Q186" i="27"/>
  <c r="Q187" i="27"/>
  <c r="Q188" i="27"/>
  <c r="Q189" i="27"/>
  <c r="Q190" i="27"/>
  <c r="Q191" i="27"/>
  <c r="Q192" i="27"/>
  <c r="Q193" i="27"/>
  <c r="Q194" i="27"/>
  <c r="Q195" i="27"/>
  <c r="Q196" i="27"/>
  <c r="Q197" i="27"/>
  <c r="Q198" i="27"/>
  <c r="Q199" i="27"/>
  <c r="Q200" i="27"/>
  <c r="Q201" i="27"/>
  <c r="Q202" i="27"/>
  <c r="Q203" i="27"/>
  <c r="Q204" i="27"/>
  <c r="Q205" i="27"/>
  <c r="Q206" i="27"/>
  <c r="Q207" i="27"/>
  <c r="Q208" i="27"/>
  <c r="Q209" i="27"/>
  <c r="Q210" i="27"/>
  <c r="Q211" i="27"/>
  <c r="Q212" i="27"/>
  <c r="Q213" i="27"/>
  <c r="Q214" i="27"/>
  <c r="Q215" i="27"/>
  <c r="Q216" i="27"/>
  <c r="Q217" i="27"/>
  <c r="Q218" i="27"/>
  <c r="Q219" i="27"/>
  <c r="Q220" i="27"/>
  <c r="Q221" i="27"/>
  <c r="Q222" i="27"/>
  <c r="Q223" i="27"/>
  <c r="Q224" i="27"/>
  <c r="Q225" i="27"/>
  <c r="Q226" i="27"/>
  <c r="Q227" i="27"/>
  <c r="Q228" i="27"/>
  <c r="Q229" i="27"/>
  <c r="Q230" i="27"/>
  <c r="Q231" i="27"/>
  <c r="Q232" i="27"/>
  <c r="Q233" i="27"/>
  <c r="Q234" i="27"/>
  <c r="Q235" i="27"/>
  <c r="Q236" i="27"/>
  <c r="Q237" i="27"/>
  <c r="Q238" i="27"/>
  <c r="Q239" i="27"/>
  <c r="Q240" i="27"/>
  <c r="Q241" i="27"/>
  <c r="Q242" i="27"/>
  <c r="Q243" i="27"/>
  <c r="Q244" i="27"/>
  <c r="Q245" i="27"/>
  <c r="Q246" i="27"/>
  <c r="Q247" i="27"/>
  <c r="Q248" i="27"/>
  <c r="Q249" i="27"/>
  <c r="Q250" i="27"/>
  <c r="Q251" i="27"/>
  <c r="Q252" i="27"/>
  <c r="Q253" i="27"/>
  <c r="Q254" i="27"/>
  <c r="Q255" i="27"/>
  <c r="Q256" i="27"/>
  <c r="Q257" i="27"/>
  <c r="Q258" i="27"/>
  <c r="Q259" i="27"/>
  <c r="Q260" i="27"/>
  <c r="Q261" i="27"/>
  <c r="Q262" i="27"/>
  <c r="Q263" i="27"/>
  <c r="Q264" i="27"/>
  <c r="Q265" i="27"/>
  <c r="Q266" i="27"/>
  <c r="Q267" i="27"/>
  <c r="Q268" i="27"/>
  <c r="Q269" i="27"/>
  <c r="Q270" i="27"/>
  <c r="Q271" i="27"/>
  <c r="Q272" i="27"/>
  <c r="Q273" i="27"/>
  <c r="Q274" i="27"/>
  <c r="Q275" i="27"/>
  <c r="Q276" i="27"/>
  <c r="Q277" i="27"/>
  <c r="Q278" i="27"/>
  <c r="Q279" i="27"/>
  <c r="Q280" i="27"/>
  <c r="Q281" i="27"/>
  <c r="Q282" i="27"/>
  <c r="Q283" i="27"/>
  <c r="Q284" i="27"/>
  <c r="Q285" i="27"/>
  <c r="Q286" i="27"/>
  <c r="Q287" i="27"/>
  <c r="Q288" i="27"/>
  <c r="Q289" i="27"/>
  <c r="Q290" i="27"/>
  <c r="Q291" i="27"/>
  <c r="Q292" i="27"/>
  <c r="Q293" i="27"/>
  <c r="Q294" i="27"/>
  <c r="Q295" i="27"/>
  <c r="Q296" i="27"/>
  <c r="Q297" i="27"/>
  <c r="Q298" i="27"/>
  <c r="Q299" i="27"/>
  <c r="Q300" i="27"/>
  <c r="Q301" i="27"/>
  <c r="P301" i="27"/>
  <c r="P300" i="27"/>
  <c r="P299" i="27"/>
  <c r="P298" i="27"/>
  <c r="P297" i="27"/>
  <c r="P296" i="27"/>
  <c r="P295" i="27"/>
  <c r="P294" i="27"/>
  <c r="P293" i="27"/>
  <c r="P292" i="27"/>
  <c r="P291" i="27"/>
  <c r="P290" i="27"/>
  <c r="P289" i="27"/>
  <c r="P288" i="27"/>
  <c r="P287" i="27"/>
  <c r="P286" i="27"/>
  <c r="P285" i="27"/>
  <c r="P284" i="27"/>
  <c r="P283" i="27"/>
  <c r="P282" i="27"/>
  <c r="P281" i="27"/>
  <c r="P280" i="27"/>
  <c r="P279" i="27"/>
  <c r="P278" i="27"/>
  <c r="P277" i="27"/>
  <c r="P276" i="27"/>
  <c r="P275" i="27"/>
  <c r="P274" i="27"/>
  <c r="P273" i="27"/>
  <c r="P272" i="27"/>
  <c r="P271" i="27"/>
  <c r="P270" i="27"/>
  <c r="P269" i="27"/>
  <c r="P268" i="27"/>
  <c r="P267" i="27"/>
  <c r="P266" i="27"/>
  <c r="P265" i="27"/>
  <c r="P264" i="27"/>
  <c r="P263" i="27"/>
  <c r="P262" i="27"/>
  <c r="P261" i="27"/>
  <c r="P260" i="27"/>
  <c r="P259" i="27"/>
  <c r="P258" i="27"/>
  <c r="P257" i="27"/>
  <c r="P256" i="27"/>
  <c r="P255" i="27"/>
  <c r="P254" i="27"/>
  <c r="P253" i="27"/>
  <c r="P252" i="27"/>
  <c r="P251" i="27"/>
  <c r="P250" i="27"/>
  <c r="P249" i="27"/>
  <c r="P248" i="27"/>
  <c r="P247" i="27"/>
  <c r="P246" i="27"/>
  <c r="P245" i="27"/>
  <c r="P244" i="27"/>
  <c r="P243" i="27"/>
  <c r="P242" i="27"/>
  <c r="P241" i="27"/>
  <c r="P240" i="27"/>
  <c r="P239" i="27"/>
  <c r="P238" i="27"/>
  <c r="P237" i="27"/>
  <c r="P236" i="27"/>
  <c r="P235" i="27"/>
  <c r="P234" i="27"/>
  <c r="P233" i="27"/>
  <c r="P232" i="27"/>
  <c r="P231" i="27"/>
  <c r="P230" i="27"/>
  <c r="P229" i="27"/>
  <c r="P228" i="27"/>
  <c r="P227" i="27"/>
  <c r="P226" i="27"/>
  <c r="P225" i="27"/>
  <c r="P224" i="27"/>
  <c r="P223" i="27"/>
  <c r="P222" i="27"/>
  <c r="P221" i="27"/>
  <c r="P220" i="27"/>
  <c r="P219" i="27"/>
  <c r="P218" i="27"/>
  <c r="P217" i="27"/>
  <c r="P216" i="27"/>
  <c r="P215" i="27"/>
  <c r="P214" i="27"/>
  <c r="P213" i="27"/>
  <c r="P212" i="27"/>
  <c r="P211" i="27"/>
  <c r="P210" i="27"/>
  <c r="P209" i="27"/>
  <c r="P208" i="27"/>
  <c r="P207" i="27"/>
  <c r="P206" i="27"/>
  <c r="P205" i="27"/>
  <c r="P204" i="27"/>
  <c r="P203" i="27"/>
  <c r="P202" i="27"/>
  <c r="P201" i="27"/>
  <c r="P200" i="27"/>
  <c r="P199" i="27"/>
  <c r="P198" i="27"/>
  <c r="P197" i="27"/>
  <c r="P196" i="27"/>
  <c r="P195" i="27"/>
  <c r="P194" i="27"/>
  <c r="P193" i="27"/>
  <c r="P192" i="27"/>
  <c r="P191" i="27"/>
  <c r="P190" i="27"/>
  <c r="P189" i="27"/>
  <c r="P188" i="27"/>
  <c r="P187" i="27"/>
  <c r="P186" i="27"/>
  <c r="P185" i="27"/>
  <c r="P184" i="27"/>
  <c r="P183" i="27"/>
  <c r="P182" i="27"/>
  <c r="P181" i="27"/>
  <c r="P180" i="27"/>
  <c r="P179" i="27"/>
  <c r="P178" i="27"/>
  <c r="P177" i="27"/>
  <c r="P176" i="27"/>
  <c r="P175" i="27"/>
  <c r="P174" i="27"/>
  <c r="P173" i="27"/>
  <c r="P172" i="27"/>
  <c r="P171" i="27"/>
  <c r="P170" i="27"/>
  <c r="P169" i="27"/>
  <c r="P168" i="27"/>
  <c r="P167" i="27"/>
  <c r="P166" i="27"/>
  <c r="P165" i="27"/>
  <c r="P164" i="27"/>
  <c r="P163" i="27"/>
  <c r="P162" i="27"/>
  <c r="P161" i="27"/>
  <c r="P160" i="27"/>
  <c r="P159" i="27"/>
  <c r="P158" i="27"/>
  <c r="P157" i="27"/>
  <c r="P156" i="27"/>
  <c r="P155" i="27"/>
  <c r="P154" i="27"/>
  <c r="P153" i="27"/>
  <c r="P152" i="27"/>
  <c r="P151" i="27"/>
  <c r="P150" i="27"/>
  <c r="P149" i="27"/>
  <c r="P148" i="27"/>
  <c r="P147" i="27"/>
  <c r="P146" i="27"/>
  <c r="P145" i="27"/>
  <c r="P144" i="27"/>
  <c r="P143" i="27"/>
  <c r="P142" i="27"/>
  <c r="P141" i="27"/>
  <c r="P140" i="27"/>
  <c r="P139" i="27"/>
  <c r="P138" i="27"/>
  <c r="P137" i="27"/>
  <c r="P136" i="27"/>
  <c r="P135" i="27"/>
  <c r="P134" i="27"/>
  <c r="P133" i="27"/>
  <c r="P132" i="27"/>
  <c r="P131" i="27"/>
  <c r="P130" i="27"/>
  <c r="P129" i="27"/>
  <c r="P128" i="27"/>
  <c r="P127" i="27"/>
  <c r="P126" i="27"/>
  <c r="P125" i="27"/>
  <c r="P124" i="27"/>
  <c r="P123" i="27"/>
  <c r="P122" i="27"/>
  <c r="P121" i="27"/>
  <c r="P120" i="27"/>
  <c r="P119" i="27"/>
  <c r="P118" i="27"/>
  <c r="P117" i="27"/>
  <c r="P116" i="27"/>
  <c r="P115" i="27"/>
  <c r="P114" i="27"/>
  <c r="P113" i="27"/>
  <c r="P112" i="27"/>
  <c r="P111" i="27"/>
  <c r="P110" i="27"/>
  <c r="P109" i="27"/>
  <c r="P108" i="27"/>
  <c r="P107" i="27"/>
  <c r="P106" i="27"/>
  <c r="P105" i="27"/>
  <c r="P104" i="27"/>
  <c r="P103" i="27"/>
  <c r="P102" i="27"/>
  <c r="P101" i="27"/>
  <c r="P100" i="27"/>
  <c r="P99" i="27"/>
  <c r="P98" i="27"/>
  <c r="P97" i="27"/>
  <c r="P96" i="27"/>
  <c r="P95" i="27"/>
  <c r="P94" i="27"/>
  <c r="P93" i="27"/>
  <c r="P92" i="27"/>
  <c r="P91" i="27"/>
  <c r="P90" i="27"/>
  <c r="P89" i="27"/>
  <c r="P88" i="27"/>
  <c r="P87" i="27"/>
  <c r="P86" i="27"/>
  <c r="P85" i="27"/>
  <c r="P84" i="27"/>
  <c r="P83" i="27"/>
  <c r="P82" i="27"/>
  <c r="P81" i="27"/>
  <c r="P80" i="27"/>
  <c r="P79" i="27"/>
  <c r="P78" i="27"/>
  <c r="P77" i="27"/>
  <c r="P76" i="27"/>
  <c r="P75" i="27"/>
  <c r="P74" i="27"/>
  <c r="P73" i="27"/>
  <c r="P72" i="27"/>
  <c r="P71" i="27"/>
  <c r="P70" i="27"/>
  <c r="P69" i="27"/>
  <c r="P68" i="27"/>
  <c r="P67" i="27"/>
  <c r="P66" i="27"/>
  <c r="P65" i="27"/>
  <c r="P64" i="27"/>
  <c r="P63" i="27"/>
  <c r="P62" i="27"/>
  <c r="P61" i="27"/>
  <c r="P60" i="27"/>
  <c r="P59" i="27"/>
  <c r="P58" i="27"/>
  <c r="P57" i="27"/>
  <c r="P56" i="27"/>
  <c r="P55" i="27"/>
  <c r="P54" i="27"/>
  <c r="P53" i="27"/>
  <c r="P52" i="27"/>
  <c r="P51" i="27"/>
  <c r="P50" i="27"/>
  <c r="P49" i="27"/>
  <c r="P48" i="27"/>
  <c r="P47" i="27"/>
  <c r="P46" i="27"/>
  <c r="P45" i="27"/>
  <c r="P44" i="27"/>
  <c r="P43" i="27"/>
  <c r="P42" i="27"/>
  <c r="P41" i="27"/>
  <c r="P40" i="27"/>
  <c r="P39" i="27"/>
  <c r="P38" i="27"/>
  <c r="P37" i="27"/>
  <c r="P36" i="27"/>
  <c r="P35" i="27"/>
  <c r="P34" i="27"/>
  <c r="P33" i="27"/>
  <c r="P32" i="27"/>
  <c r="P31" i="27"/>
  <c r="P30" i="27"/>
  <c r="P29" i="27"/>
  <c r="P28" i="27"/>
  <c r="P27" i="27"/>
  <c r="P26" i="27"/>
  <c r="P25" i="27"/>
  <c r="P24" i="27"/>
  <c r="P23" i="27"/>
  <c r="P22" i="27"/>
  <c r="P21" i="27"/>
  <c r="P20" i="27"/>
  <c r="P19" i="27"/>
  <c r="P18" i="27"/>
  <c r="P17" i="27"/>
  <c r="P16" i="27"/>
  <c r="P15" i="27"/>
  <c r="P14" i="27"/>
  <c r="P13" i="27"/>
  <c r="P12" i="27"/>
  <c r="P11" i="27"/>
  <c r="P10" i="27"/>
  <c r="P9" i="27"/>
  <c r="P8" i="27"/>
  <c r="P7" i="27"/>
  <c r="P6" i="27"/>
  <c r="P5" i="27"/>
  <c r="P4" i="27"/>
  <c r="P3" i="27"/>
  <c r="P2" i="27"/>
  <c r="L11" i="26"/>
  <c r="K11" i="26" s="1"/>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 i="15"/>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 i="15"/>
  <c r="Q2" i="14"/>
  <c r="Q3"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P301" i="14"/>
  <c r="P300" i="14"/>
  <c r="P299" i="14"/>
  <c r="P298" i="14"/>
  <c r="P297" i="14"/>
  <c r="P296" i="14"/>
  <c r="P295" i="14"/>
  <c r="P294" i="14"/>
  <c r="P293" i="14"/>
  <c r="P292" i="14"/>
  <c r="P291" i="14"/>
  <c r="P290" i="14"/>
  <c r="P289" i="14"/>
  <c r="P288" i="14"/>
  <c r="P287" i="14"/>
  <c r="P286" i="14"/>
  <c r="P285" i="14"/>
  <c r="P284" i="14"/>
  <c r="P283" i="14"/>
  <c r="P282" i="14"/>
  <c r="P281" i="14"/>
  <c r="P280" i="14"/>
  <c r="P279" i="14"/>
  <c r="P278" i="14"/>
  <c r="P277" i="14"/>
  <c r="P276" i="14"/>
  <c r="P275" i="14"/>
  <c r="P274" i="14"/>
  <c r="P273" i="14"/>
  <c r="P272" i="14"/>
  <c r="P271" i="14"/>
  <c r="P270" i="14"/>
  <c r="P269" i="14"/>
  <c r="P268" i="14"/>
  <c r="P267" i="14"/>
  <c r="P266" i="14"/>
  <c r="P265" i="14"/>
  <c r="P264" i="14"/>
  <c r="P263" i="14"/>
  <c r="P262" i="14"/>
  <c r="P261" i="14"/>
  <c r="P260" i="14"/>
  <c r="P259" i="14"/>
  <c r="P258" i="14"/>
  <c r="P257" i="14"/>
  <c r="P256" i="14"/>
  <c r="P255" i="14"/>
  <c r="P254" i="14"/>
  <c r="P253" i="14"/>
  <c r="P252" i="14"/>
  <c r="P251" i="14"/>
  <c r="P250" i="14"/>
  <c r="P249" i="14"/>
  <c r="P248" i="14"/>
  <c r="P247" i="14"/>
  <c r="P246" i="14"/>
  <c r="P245" i="14"/>
  <c r="P244" i="14"/>
  <c r="P243" i="14"/>
  <c r="P242" i="14"/>
  <c r="P241" i="14"/>
  <c r="P240" i="14"/>
  <c r="P239" i="14"/>
  <c r="P238" i="14"/>
  <c r="P237" i="14"/>
  <c r="P236" i="14"/>
  <c r="P235" i="14"/>
  <c r="P234" i="14"/>
  <c r="P233" i="14"/>
  <c r="P232" i="14"/>
  <c r="P231" i="14"/>
  <c r="P230" i="14"/>
  <c r="P229" i="14"/>
  <c r="P228" i="14"/>
  <c r="P227" i="14"/>
  <c r="P226" i="14"/>
  <c r="P225" i="14"/>
  <c r="P224" i="14"/>
  <c r="P223" i="14"/>
  <c r="P222" i="14"/>
  <c r="P221" i="14"/>
  <c r="P220" i="14"/>
  <c r="P219" i="14"/>
  <c r="P218" i="14"/>
  <c r="P217" i="14"/>
  <c r="P216" i="14"/>
  <c r="P215" i="14"/>
  <c r="P214" i="14"/>
  <c r="P213" i="14"/>
  <c r="P212" i="14"/>
  <c r="P211" i="14"/>
  <c r="P210" i="14"/>
  <c r="P209" i="14"/>
  <c r="P208" i="14"/>
  <c r="P207" i="14"/>
  <c r="P206" i="14"/>
  <c r="P205" i="14"/>
  <c r="P204" i="14"/>
  <c r="P203" i="14"/>
  <c r="P202" i="14"/>
  <c r="P201" i="14"/>
  <c r="P200" i="14"/>
  <c r="P199" i="14"/>
  <c r="P198" i="14"/>
  <c r="P197" i="14"/>
  <c r="P196" i="14"/>
  <c r="P195" i="14"/>
  <c r="P194" i="14"/>
  <c r="P193" i="14"/>
  <c r="P192" i="14"/>
  <c r="P191" i="14"/>
  <c r="P190" i="14"/>
  <c r="P189" i="14"/>
  <c r="P188" i="14"/>
  <c r="P187" i="14"/>
  <c r="P186" i="14"/>
  <c r="P185" i="14"/>
  <c r="P184" i="14"/>
  <c r="P183" i="14"/>
  <c r="P182" i="14"/>
  <c r="P181" i="14"/>
  <c r="P180" i="14"/>
  <c r="P179" i="14"/>
  <c r="P178" i="14"/>
  <c r="P177" i="14"/>
  <c r="P176" i="14"/>
  <c r="P175" i="14"/>
  <c r="P174" i="14"/>
  <c r="P173" i="14"/>
  <c r="P172" i="14"/>
  <c r="P171" i="14"/>
  <c r="P170" i="14"/>
  <c r="P169" i="14"/>
  <c r="P168" i="14"/>
  <c r="P167" i="14"/>
  <c r="P166" i="14"/>
  <c r="P165" i="14"/>
  <c r="P164" i="14"/>
  <c r="P163" i="14"/>
  <c r="P162" i="14"/>
  <c r="P161" i="14"/>
  <c r="P160" i="14"/>
  <c r="P159" i="14"/>
  <c r="P158" i="14"/>
  <c r="P157" i="14"/>
  <c r="P156" i="14"/>
  <c r="P155" i="14"/>
  <c r="P154" i="14"/>
  <c r="P153" i="14"/>
  <c r="P152" i="14"/>
  <c r="P151" i="14"/>
  <c r="P150" i="14"/>
  <c r="P149" i="14"/>
  <c r="P148" i="14"/>
  <c r="P147" i="14"/>
  <c r="P146" i="14"/>
  <c r="P145" i="14"/>
  <c r="P144" i="14"/>
  <c r="P143" i="14"/>
  <c r="P142" i="14"/>
  <c r="P141" i="14"/>
  <c r="P140" i="14"/>
  <c r="P139" i="14"/>
  <c r="P138" i="14"/>
  <c r="P137" i="14"/>
  <c r="P136" i="14"/>
  <c r="P135" i="14"/>
  <c r="P134" i="14"/>
  <c r="P133" i="14"/>
  <c r="P132" i="14"/>
  <c r="P131" i="14"/>
  <c r="P130" i="14"/>
  <c r="P129" i="14"/>
  <c r="P128" i="14"/>
  <c r="P127" i="14"/>
  <c r="P126" i="14"/>
  <c r="P125" i="14"/>
  <c r="P124" i="14"/>
  <c r="P123" i="14"/>
  <c r="P122" i="14"/>
  <c r="P121" i="14"/>
  <c r="P120" i="14"/>
  <c r="P119" i="14"/>
  <c r="P118" i="14"/>
  <c r="P117" i="14"/>
  <c r="P116" i="14"/>
  <c r="P115" i="14"/>
  <c r="P114" i="14"/>
  <c r="P113" i="14"/>
  <c r="P112" i="14"/>
  <c r="P111" i="14"/>
  <c r="P110" i="14"/>
  <c r="P109" i="14"/>
  <c r="P108" i="14"/>
  <c r="P107" i="14"/>
  <c r="P106" i="14"/>
  <c r="P105" i="14"/>
  <c r="P104" i="14"/>
  <c r="P103" i="14"/>
  <c r="P102" i="14"/>
  <c r="P101" i="14"/>
  <c r="P100" i="14"/>
  <c r="P99" i="14"/>
  <c r="P98" i="14"/>
  <c r="P97" i="14"/>
  <c r="P96" i="14"/>
  <c r="P95" i="14"/>
  <c r="P94" i="14"/>
  <c r="P93" i="14"/>
  <c r="P92" i="14"/>
  <c r="P91" i="14"/>
  <c r="P90" i="14"/>
  <c r="P89" i="14"/>
  <c r="P88" i="14"/>
  <c r="P87" i="14"/>
  <c r="P86" i="14"/>
  <c r="P85" i="14"/>
  <c r="P84" i="14"/>
  <c r="P83" i="14"/>
  <c r="P82" i="14"/>
  <c r="P81" i="14"/>
  <c r="P80" i="14"/>
  <c r="P79" i="14"/>
  <c r="P78" i="14"/>
  <c r="P77" i="14"/>
  <c r="P76" i="14"/>
  <c r="P75" i="14"/>
  <c r="P74" i="14"/>
  <c r="P73" i="14"/>
  <c r="P72" i="14"/>
  <c r="P71" i="14"/>
  <c r="P70" i="14"/>
  <c r="P69" i="14"/>
  <c r="P68" i="14"/>
  <c r="P67" i="14"/>
  <c r="P66" i="14"/>
  <c r="P65" i="14"/>
  <c r="P64" i="14"/>
  <c r="P63" i="14"/>
  <c r="P62" i="14"/>
  <c r="P61" i="14"/>
  <c r="P60" i="14"/>
  <c r="P59" i="14"/>
  <c r="P58" i="14"/>
  <c r="P57" i="14"/>
  <c r="P56" i="14"/>
  <c r="P55" i="14"/>
  <c r="P54" i="14"/>
  <c r="P53" i="14"/>
  <c r="P52" i="14"/>
  <c r="P51" i="14"/>
  <c r="P50" i="14"/>
  <c r="P49" i="14"/>
  <c r="P48" i="14"/>
  <c r="P47" i="14"/>
  <c r="P46" i="14"/>
  <c r="P45" i="14"/>
  <c r="P44" i="14"/>
  <c r="P43" i="14"/>
  <c r="P42" i="14"/>
  <c r="P41" i="14"/>
  <c r="P40" i="14"/>
  <c r="P39" i="14"/>
  <c r="P38" i="14"/>
  <c r="P37" i="14"/>
  <c r="P36" i="14"/>
  <c r="P35" i="14"/>
  <c r="P34" i="14"/>
  <c r="P33" i="14"/>
  <c r="P32" i="14"/>
  <c r="P31" i="14"/>
  <c r="P30" i="14"/>
  <c r="P29" i="14"/>
  <c r="P28" i="14"/>
  <c r="P27" i="14"/>
  <c r="P26" i="14"/>
  <c r="P25" i="14"/>
  <c r="P24" i="14"/>
  <c r="P23" i="14"/>
  <c r="P22" i="14"/>
  <c r="P21" i="14"/>
  <c r="P20" i="14"/>
  <c r="P19" i="14"/>
  <c r="P18" i="14"/>
  <c r="P17" i="14"/>
  <c r="P16" i="14"/>
  <c r="P15" i="14"/>
  <c r="P14" i="14"/>
  <c r="P13" i="14"/>
  <c r="P12" i="14"/>
  <c r="P11" i="14"/>
  <c r="P10" i="14"/>
  <c r="P9" i="14"/>
  <c r="P8" i="14"/>
  <c r="P7" i="14"/>
  <c r="P6" i="14"/>
  <c r="P5" i="14"/>
  <c r="P4" i="14"/>
  <c r="P3" i="14"/>
  <c r="P2" i="14"/>
  <c r="P302" i="4"/>
  <c r="P301" i="4"/>
  <c r="P300" i="4"/>
  <c r="P299" i="4"/>
  <c r="P298" i="4"/>
  <c r="P297" i="4"/>
  <c r="P296" i="4"/>
  <c r="P295" i="4"/>
  <c r="P294" i="4"/>
  <c r="P293" i="4"/>
  <c r="P292" i="4"/>
  <c r="P291" i="4"/>
  <c r="P290" i="4"/>
  <c r="P289" i="4"/>
  <c r="P288" i="4"/>
  <c r="P287" i="4"/>
  <c r="P286" i="4"/>
  <c r="P285" i="4"/>
  <c r="P284" i="4"/>
  <c r="P283" i="4"/>
  <c r="P282" i="4"/>
  <c r="P281" i="4"/>
  <c r="P280" i="4"/>
  <c r="P279" i="4"/>
  <c r="P278" i="4"/>
  <c r="P277" i="4"/>
  <c r="P276" i="4"/>
  <c r="P275" i="4"/>
  <c r="P274" i="4"/>
  <c r="P273" i="4"/>
  <c r="P272" i="4"/>
  <c r="P271" i="4"/>
  <c r="P270" i="4"/>
  <c r="P269" i="4"/>
  <c r="P268" i="4"/>
  <c r="P267" i="4"/>
  <c r="P266" i="4"/>
  <c r="P265" i="4"/>
  <c r="P264" i="4"/>
  <c r="P263" i="4"/>
  <c r="P262" i="4"/>
  <c r="P261" i="4"/>
  <c r="P260" i="4"/>
  <c r="P259" i="4"/>
  <c r="P258" i="4"/>
  <c r="P257" i="4"/>
  <c r="P256" i="4"/>
  <c r="P255" i="4"/>
  <c r="P254" i="4"/>
  <c r="P253" i="4"/>
  <c r="P252" i="4"/>
  <c r="P251" i="4"/>
  <c r="P250" i="4"/>
  <c r="P249" i="4"/>
  <c r="P248" i="4"/>
  <c r="P247" i="4"/>
  <c r="P246" i="4"/>
  <c r="P245" i="4"/>
  <c r="P244" i="4"/>
  <c r="P243" i="4"/>
  <c r="P242" i="4"/>
  <c r="P241" i="4"/>
  <c r="P240" i="4"/>
  <c r="P239" i="4"/>
  <c r="P238" i="4"/>
  <c r="P237" i="4"/>
  <c r="P236" i="4"/>
  <c r="P235" i="4"/>
  <c r="P234" i="4"/>
  <c r="P233" i="4"/>
  <c r="P232" i="4"/>
  <c r="P231" i="4"/>
  <c r="P230" i="4"/>
  <c r="P229" i="4"/>
  <c r="P228" i="4"/>
  <c r="P227" i="4"/>
  <c r="P226" i="4"/>
  <c r="P225" i="4"/>
  <c r="P224" i="4"/>
  <c r="P223" i="4"/>
  <c r="P222" i="4"/>
  <c r="P221" i="4"/>
  <c r="P220" i="4"/>
  <c r="P219" i="4"/>
  <c r="P218" i="4"/>
  <c r="P217" i="4"/>
  <c r="P216" i="4"/>
  <c r="P215" i="4"/>
  <c r="P214" i="4"/>
  <c r="P213" i="4"/>
  <c r="P212" i="4"/>
  <c r="P211" i="4"/>
  <c r="P210" i="4"/>
  <c r="P209" i="4"/>
  <c r="P208" i="4"/>
  <c r="P207" i="4"/>
  <c r="P206" i="4"/>
  <c r="P205" i="4"/>
  <c r="P204" i="4"/>
  <c r="P203" i="4"/>
  <c r="P202" i="4"/>
  <c r="P201" i="4"/>
  <c r="P200" i="4"/>
  <c r="P199" i="4"/>
  <c r="P198" i="4"/>
  <c r="P197" i="4"/>
  <c r="P196" i="4"/>
  <c r="P195" i="4"/>
  <c r="P194" i="4"/>
  <c r="P193" i="4"/>
  <c r="P192" i="4"/>
  <c r="P191" i="4"/>
  <c r="P190" i="4"/>
  <c r="P189" i="4"/>
  <c r="P188" i="4"/>
  <c r="P187" i="4"/>
  <c r="P186" i="4"/>
  <c r="P185" i="4"/>
  <c r="P184" i="4"/>
  <c r="P183" i="4"/>
  <c r="P182" i="4"/>
  <c r="P181" i="4"/>
  <c r="P180" i="4"/>
  <c r="P179" i="4"/>
  <c r="P178" i="4"/>
  <c r="P177" i="4"/>
  <c r="P176" i="4"/>
  <c r="P175" i="4"/>
  <c r="P174" i="4"/>
  <c r="P173" i="4"/>
  <c r="P172" i="4"/>
  <c r="P171" i="4"/>
  <c r="P170" i="4"/>
  <c r="P169" i="4"/>
  <c r="P168" i="4"/>
  <c r="P167" i="4"/>
  <c r="P166" i="4"/>
  <c r="P165" i="4"/>
  <c r="P164" i="4"/>
  <c r="P163" i="4"/>
  <c r="P162" i="4"/>
  <c r="P161" i="4"/>
  <c r="P160" i="4"/>
  <c r="P159" i="4"/>
  <c r="P158" i="4"/>
  <c r="P157" i="4"/>
  <c r="P156" i="4"/>
  <c r="P155" i="4"/>
  <c r="P154" i="4"/>
  <c r="P153" i="4"/>
  <c r="P152" i="4"/>
  <c r="P151" i="4"/>
  <c r="P150" i="4"/>
  <c r="P149" i="4"/>
  <c r="P148" i="4"/>
  <c r="P147" i="4"/>
  <c r="P146" i="4"/>
  <c r="P145" i="4"/>
  <c r="P144" i="4"/>
  <c r="P143" i="4"/>
  <c r="P142" i="4"/>
  <c r="P141" i="4"/>
  <c r="P140" i="4"/>
  <c r="P139" i="4"/>
  <c r="P138" i="4"/>
  <c r="P137" i="4"/>
  <c r="P136" i="4"/>
  <c r="P135" i="4"/>
  <c r="P134" i="4"/>
  <c r="P133" i="4"/>
  <c r="P132" i="4"/>
  <c r="P131" i="4"/>
  <c r="P130" i="4"/>
  <c r="P129" i="4"/>
  <c r="P128" i="4"/>
  <c r="P127" i="4"/>
  <c r="P126" i="4"/>
  <c r="P125" i="4"/>
  <c r="P124" i="4"/>
  <c r="P123" i="4"/>
  <c r="P122" i="4"/>
  <c r="P121" i="4"/>
  <c r="P120" i="4"/>
  <c r="P119" i="4"/>
  <c r="P118"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P6" i="4"/>
  <c r="P5" i="4"/>
  <c r="P4" i="4"/>
  <c r="P3" i="4"/>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2BCE00-1F41-48C2-BE79-E78568BDE6E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7E8FD6C3-A325-49DC-91EC-D781BF07BC20}"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276F17AC-7AC0-4DF3-B8E4-FDFFA4B5A452}"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4" xr16:uid="{8B031379-2DF8-4F80-A898-078B63BBE936}"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5" xr16:uid="{2B90A91E-6354-40E2-870E-20A22DE5B6F4}" keepAlive="1" name="Query - Table1 (5)" description="Connection to the 'Table1 (5)' query in the workbook." type="5" refreshedVersion="8" background="1" saveData="1">
    <dbPr connection="Provider=Microsoft.Mashup.OleDb.1;Data Source=$Workbook$;Location=&quot;Table1 (5)&quot;;Extended Properties=&quot;&quot;" command="SELECT * FROM [Table1 (5)]"/>
  </connection>
  <connection id="6" xr16:uid="{55474EF4-F002-4B37-9FDE-B511F5FD7A59}"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7" xr16:uid="{F5C6D6E6-B0FE-4A4C-A158-6DE2D8453743}" keepAlive="1" name="Query - Table1_145" description="Connection to the 'Table1_145' query in the workbook." type="5" refreshedVersion="8" background="1" saveData="1">
    <dbPr connection="Provider=Microsoft.Mashup.OleDb.1;Data Source=$Workbook$;Location=Table1_145;Extended Properties=&quot;&quot;" command="SELECT * FROM [Table1_14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<sst xmlns="http://schemas.openxmlformats.org/spreadsheetml/2006/main" count="25471" uniqueCount="510">
  <si>
    <t>Post ID</t>
  </si>
  <si>
    <t>Platform</t>
  </si>
  <si>
    <t>Date</t>
  </si>
  <si>
    <t>Content Type</t>
  </si>
  <si>
    <t>Post Text</t>
  </si>
  <si>
    <t>Likes</t>
  </si>
  <si>
    <t>Shares</t>
  </si>
  <si>
    <t>Comments</t>
  </si>
  <si>
    <t>Impressions</t>
  </si>
  <si>
    <t>Reach</t>
  </si>
  <si>
    <t>Clicks</t>
  </si>
  <si>
    <t>Hashtags Used</t>
  </si>
  <si>
    <t>Campaign_Name</t>
  </si>
  <si>
    <t>P001</t>
  </si>
  <si>
    <t>Twitter</t>
  </si>
  <si>
    <t>Reel</t>
  </si>
  <si>
    <t>Check out our latest reel on twitter!</t>
  </si>
  <si>
    <t>CybertruckLaunch</t>
  </si>
  <si>
    <t>P002</t>
  </si>
  <si>
    <t>Text</t>
  </si>
  <si>
    <t>Check out our latest text on twitter!</t>
  </si>
  <si>
    <t>ModelYCampaign</t>
  </si>
  <si>
    <t>P003</t>
  </si>
  <si>
    <t>YouTube</t>
  </si>
  <si>
    <t>Check out our latest reel on youtube!</t>
  </si>
  <si>
    <t>#TeslaCoInnovation</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</si>
  <si>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</si>
  <si>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</si>
  <si>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</si>
  <si>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</si>
  <si>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</si>
  <si>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</si>
  <si>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</si>
  <si>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</si>
  <si>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</si>
  <si>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</si>
  <si>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</si>
  <si>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</si>
  <si>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</si>
  <si>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</si>
  <si>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</si>
  <si>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</si>
  <si>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</si>
  <si>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</si>
  <si>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</si>
  <si>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</si>
  <si>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</si>
  <si>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</si>
  <si>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#FutureOfDriving</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</si>
  <si>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</si>
  <si>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</si>
  <si>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</si>
  <si>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</si>
  <si>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</si>
  <si>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</si>
  <si>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</si>
  <si>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</si>
  <si>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</si>
  <si>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</si>
  <si>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</si>
  <si>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</si>
  <si>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</si>
  <si>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</si>
  <si>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</si>
  <si>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</si>
  <si>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</si>
  <si>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</si>
  <si>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</si>
  <si>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</si>
  <si>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</si>
  <si>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</si>
  <si>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</si>
  <si>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</si>
  <si>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</si>
  <si>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</si>
  <si>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</si>
  <si>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</si>
  <si>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</si>
  <si>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</si>
  <si>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</si>
  <si>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</si>
  <si>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</si>
  <si>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</si>
  <si>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</si>
  <si>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</si>
  <si>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</si>
  <si>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</si>
  <si>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</si>
  <si>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</si>
  <si>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</si>
  <si>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</si>
  <si>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</si>
  <si>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</si>
  <si>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</si>
  <si>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</si>
  <si>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</si>
  <si>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</si>
  <si>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</si>
  <si>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</si>
  <si>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</si>
  <si>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</si>
  <si>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</si>
  <si>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</si>
  <si>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</si>
  <si>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</si>
  <si>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</si>
  <si>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</si>
  <si>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</si>
  <si>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</si>
  <si>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</si>
  <si>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</si>
  <si>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</si>
  <si>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</si>
  <si>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</si>
  <si>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</si>
  <si>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</si>
  <si>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</si>
  <si>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</si>
  <si>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</si>
  <si>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</si>
  <si>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</si>
  <si>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</si>
  <si>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</si>
  <si>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</si>
  <si>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</si>
  <si>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</si>
  <si>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</si>
  <si>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</si>
  <si>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</si>
  <si>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</si>
  <si>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</si>
  <si>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</si>
  <si>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</si>
  <si>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</si>
  <si>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</si>
  <si>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</si>
  <si>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</si>
  <si>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</si>
  <si>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</si>
  <si>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</si>
  <si>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</si>
  <si>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</si>
  <si>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</si>
  <si>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</si>
  <si>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</si>
  <si>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</si>
  <si>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</si>
  <si>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</si>
  <si>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</si>
  <si>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</si>
  <si>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</si>
  <si>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</si>
  <si>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</si>
  <si>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</si>
  <si>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</si>
  <si>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</si>
  <si>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</si>
  <si>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</si>
  <si>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</si>
  <si>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</si>
  <si>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</si>
  <si>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</si>
  <si>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</si>
  <si>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</si>
  <si>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</si>
  <si>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</si>
  <si>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</si>
  <si>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</si>
  <si>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</si>
  <si>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</si>
  <si>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</si>
  <si>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</si>
  <si>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</si>
  <si>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</si>
  <si>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</si>
  <si>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</si>
  <si>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</si>
  <si>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</si>
  <si>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</si>
  <si>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</si>
  <si>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</si>
  <si>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</si>
  <si>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</si>
  <si>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</si>
  <si>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</si>
  <si>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</si>
  <si>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</si>
  <si>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</si>
  <si>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</si>
  <si>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</si>
  <si>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</si>
  <si>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</si>
  <si>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</si>
  <si>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</si>
  <si>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</si>
  <si>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</si>
  <si>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</si>
  <si>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</si>
  <si>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</si>
  <si>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</si>
  <si>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</si>
  <si>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</si>
  <si>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</si>
  <si>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</si>
  <si>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</si>
  <si>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</si>
  <si>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</si>
  <si>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</si>
  <si>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</si>
  <si>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</si>
  <si>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</si>
  <si>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</si>
  <si>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</si>
  <si>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</si>
  <si>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</si>
  <si>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</si>
  <si>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</si>
  <si>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</si>
  <si>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</si>
  <si>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</si>
  <si>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</si>
  <si>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</si>
  <si>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</si>
  <si>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</si>
  <si>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</si>
  <si>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</si>
  <si>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</si>
  <si>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</si>
  <si>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</si>
  <si>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</si>
  <si>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</si>
  <si>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</si>
  <si>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</si>
  <si>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</si>
  <si>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</si>
  <si>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</si>
  <si>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</si>
  <si>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</si>
  <si>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</si>
  <si>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</si>
  <si>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</si>
  <si>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</si>
  <si>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</si>
  <si>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</si>
  <si>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</si>
  <si>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</si>
  <si>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</si>
  <si>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</si>
  <si>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</si>
  <si>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</si>
  <si>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</si>
  <si>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</si>
  <si>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</si>
  <si>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</si>
  <si>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</si>
  <si>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</si>
  <si>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</si>
  <si>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</si>
  <si>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</si>
  <si>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</si>
  <si>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</si>
  <si>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</si>
  <si>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</si>
  <si>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</si>
  <si>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</si>
  <si>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</si>
  <si>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</si>
  <si>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</si>
  <si>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</si>
  <si>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</si>
  <si>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</si>
  <si>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</si>
  <si>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</si>
  <si>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</si>
  <si>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</si>
  <si>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</si>
  <si>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</si>
  <si>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</si>
  <si>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</si>
  <si>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</si>
  <si>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</si>
  <si>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</si>
  <si>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</si>
  <si>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</si>
  <si>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</si>
  <si>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</si>
  <si>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</si>
  <si>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</si>
  <si>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</si>
  <si>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</si>
  <si>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</si>
  <si>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</si>
  <si>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</si>
  <si>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</si>
  <si>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</si>
  <si>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</si>
  <si>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</si>
  <si>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</si>
  <si>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</si>
  <si>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</si>
  <si>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</si>
  <si>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</si>
  <si>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</si>
  <si>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</si>
  <si>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</si>
  <si>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</si>
  <si>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</si>
  <si>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</si>
  <si>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</si>
  <si>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</si>
  <si>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</si>
  <si>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</si>
  <si>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</si>
  <si>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</si>
  <si>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</si>
  <si>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</si>
  <si>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</si>
  <si>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</si>
  <si>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</si>
  <si>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</si>
  <si>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</si>
  <si>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</si>
  <si>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</si>
  <si>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</si>
  <si>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</si>
  <si>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</si>
  <si>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</si>
  <si>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</si>
  <si>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</si>
  <si>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</si>
  <si>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</si>
  <si>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</si>
  <si>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</si>
  <si>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</si>
  <si>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</si>
  <si>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</si>
  <si>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</si>
  <si>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</si>
  <si>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</si>
  <si>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</si>
  <si>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</si>
  <si>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</si>
  <si>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</si>
  <si>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</si>
  <si>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</si>
  <si>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</si>
  <si>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</si>
  <si>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</si>
  <si>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</si>
  <si>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</si>
  <si>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</si>
  <si>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</si>
  <si>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</si>
  <si>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</si>
  <si>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#AnytimeIsTeslaTime</t>
  </si>
  <si>
    <t>#BetterWithTesla</t>
  </si>
  <si>
    <t>#SmoothLikeNitroTesla</t>
  </si>
  <si>
    <t>Hashtags-1</t>
  </si>
  <si>
    <t>Hashtags_2</t>
  </si>
  <si>
    <t>no data</t>
  </si>
  <si>
    <t>unknown</t>
  </si>
  <si>
    <t>Engagement rate</t>
  </si>
  <si>
    <t>Row Labels</t>
  </si>
  <si>
    <t>Grand Total</t>
  </si>
  <si>
    <t>Average of Engagement rate</t>
  </si>
  <si>
    <t>Instagram has the highest Average Engagement Rate</t>
  </si>
  <si>
    <t>TOP 10 POSTS WITH HIGHEST ENGAGEMENT RATE(HIGHLIGHTED IN GREEN)</t>
  </si>
  <si>
    <t xml:space="preserve">  TOTAL LIKES, SHARES, COMMENTS BY CONTENT TYPE AND PLATFORM</t>
  </si>
  <si>
    <t>Column Labels</t>
  </si>
  <si>
    <t>Sum of Likes</t>
  </si>
  <si>
    <t>Sum of Shares</t>
  </si>
  <si>
    <t>Sum of Comments</t>
  </si>
  <si>
    <t>Attribute</t>
  </si>
  <si>
    <t>Hashtags</t>
  </si>
  <si>
    <t>Average of Clicks</t>
  </si>
  <si>
    <t xml:space="preserve">  AVERAGE CLICKS PER POSTS BY HASHTAGS</t>
  </si>
  <si>
    <t xml:space="preserve"> Top performing Hashtags</t>
  </si>
  <si>
    <t>Total_Engagement</t>
  </si>
  <si>
    <t>Sum of Total_Engagement</t>
  </si>
  <si>
    <t>Platform with highest engagement is Facebook</t>
  </si>
  <si>
    <t>#AnytimelsTeslaTime,#TeslaColnnovation are top performing Hashtags</t>
  </si>
  <si>
    <t>Week_Start_Date</t>
  </si>
  <si>
    <t>New_Followers</t>
  </si>
  <si>
    <t>Unfollows</t>
  </si>
  <si>
    <t>Total_Followers</t>
  </si>
  <si>
    <t>Engagement_Rate</t>
  </si>
  <si>
    <t>Ad_Spend</t>
  </si>
  <si>
    <t>2024-06-03</t>
  </si>
  <si>
    <t>2024-06-10</t>
  </si>
  <si>
    <t>2024-06-17</t>
  </si>
  <si>
    <t>2024-06-24</t>
  </si>
  <si>
    <t>2024-07-01</t>
  </si>
  <si>
    <t>2024-07-08</t>
  </si>
  <si>
    <t>2024-07-15</t>
  </si>
  <si>
    <t>2024-07-22</t>
  </si>
  <si>
    <t>2024-07-29</t>
  </si>
  <si>
    <t>2024-08-05</t>
  </si>
  <si>
    <t>2024-08-12</t>
  </si>
  <si>
    <t>2024-08-19</t>
  </si>
  <si>
    <t>2024-08-26</t>
  </si>
  <si>
    <t>2024-09-02</t>
  </si>
  <si>
    <t>2024-09-09</t>
  </si>
  <si>
    <t>2024-09-16</t>
  </si>
  <si>
    <t>2024-09-23</t>
  </si>
  <si>
    <t>2024-09-30</t>
  </si>
  <si>
    <t>2024-10-07</t>
  </si>
  <si>
    <t>2024-10-14</t>
  </si>
  <si>
    <t>2024-10-21</t>
  </si>
  <si>
    <t>2024-10-28</t>
  </si>
  <si>
    <t>2024-11-04</t>
  </si>
  <si>
    <t>2024-11-11</t>
  </si>
  <si>
    <t>2024-11-18</t>
  </si>
  <si>
    <t>2024-11-25</t>
  </si>
  <si>
    <t>2024-12-02</t>
  </si>
  <si>
    <t>2024-12-09</t>
  </si>
  <si>
    <t>2024-12-16</t>
  </si>
  <si>
    <t>2024-12-23</t>
  </si>
  <si>
    <t>2024-12-30</t>
  </si>
  <si>
    <t>2025-01-06</t>
  </si>
  <si>
    <t>2025-01-13</t>
  </si>
  <si>
    <t>2025-01-20</t>
  </si>
  <si>
    <t>2025-01-27</t>
  </si>
  <si>
    <t>2025-02-03</t>
  </si>
  <si>
    <t>2025-02-10</t>
  </si>
  <si>
    <t>2025-02-17</t>
  </si>
  <si>
    <t>2025-02-24</t>
  </si>
  <si>
    <t>2025-03-03</t>
  </si>
  <si>
    <t>2025-03-10</t>
  </si>
  <si>
    <t>2025-03-17</t>
  </si>
  <si>
    <t>2025-03-24</t>
  </si>
  <si>
    <t>2025-03-31</t>
  </si>
  <si>
    <t>2025-04-07</t>
  </si>
  <si>
    <t>2025-04-14</t>
  </si>
  <si>
    <t>2025-04-21</t>
  </si>
  <si>
    <t>2025-04-28</t>
  </si>
  <si>
    <t>2025-05-05</t>
  </si>
  <si>
    <t>2025-05-12</t>
  </si>
  <si>
    <t>Growth rate</t>
  </si>
  <si>
    <t>Net Followers</t>
  </si>
  <si>
    <t>Average percentage of Growth rate</t>
  </si>
  <si>
    <t>Follower Growth comparision across platforms</t>
  </si>
  <si>
    <t xml:space="preserve">Twitter shows the highest follower growth rate, and then Youtube, indicating these are the </t>
  </si>
  <si>
    <t>fastest-growing platform for Tesla's social media presence.</t>
  </si>
  <si>
    <t>Sum of Ad_Spend</t>
  </si>
  <si>
    <t>Average of Engagement_Rate</t>
  </si>
  <si>
    <t>Ad Spend Vs Engagement Rate by Platform</t>
  </si>
  <si>
    <t>Although Facebook had the highest ad spend, Instagram delivered higher engagement rates, suggesting</t>
  </si>
  <si>
    <t>better ROI(Return on Investment) for ads on Instagram.</t>
  </si>
  <si>
    <t>Based on the analysis across engagement, follower growth, and ad performance, Tesla should maintain a multi-platform stratergy while using Twitter and YouTube for specialized content.</t>
  </si>
  <si>
    <t>*  From Task_3.2, Twitter and Youtube have shown the highest follower growth rates, it means these are the effective platforms for Product launches, demos, and real-time updates.</t>
  </si>
  <si>
    <t>*  From Task_3.1 and Task_3.3, Facebook and Instagram consistently generate higher engagement and better ROI(Return of Investment), making them crucial for brand storytelling, community engagement, and audience retention.</t>
  </si>
  <si>
    <t>*  So, from the above data Tesla should continue investing across all platforms. This multi-platform approach ensures Tesla reaches a diverse audience, this way it can maximize visibility, engagement, and return on ad investment.</t>
  </si>
  <si>
    <t xml:space="preserve">           Strategic Recommendation</t>
  </si>
  <si>
    <t>Role</t>
  </si>
  <si>
    <t>Real-time news, product announcements</t>
  </si>
  <si>
    <t>Youtube</t>
  </si>
  <si>
    <t>Demos, launches, long-form content</t>
  </si>
  <si>
    <t>Visual campaigns, audience interaction</t>
  </si>
  <si>
    <t>Community engagement, broad reach</t>
  </si>
  <si>
    <t>SustainabilityDrive campaign generated the highest engagement rate across platforms, showing strong audience interest in Tesla’s new product announcement.</t>
  </si>
  <si>
    <t>Average performance of posts containing each hashtag</t>
  </si>
  <si>
    <t>#EVRevolution generated the highest engagement rate, suggesting strong audience interest in sustainability and innovation themes,</t>
  </si>
  <si>
    <t>followed by #TeslaCoInnovation and #FutureOfDriving.</t>
  </si>
  <si>
    <t>This shows that posts focusing on electric vehicle innovation and future mobility themes resonate most strongly with Tesla’s audience.</t>
  </si>
  <si>
    <t>Hashtags centered on innovation and technology generate greater user interaction compared to product-specific tags like #Cybertruck or #ModelY.</t>
  </si>
  <si>
    <t>Content performance(Videos vs Image vs Carousel)</t>
  </si>
  <si>
    <t>Both Carousels and Videos achieved the highest average engagement rate (14.8%), followed by Images.</t>
  </si>
  <si>
    <t>This indicates that Tesla’s audience responds equally well to interactive visual content (Carousels highlighting features and comparisons) and dynamic video content (e.g. product demos).</t>
  </si>
  <si>
    <t>Images, while performing decently, generate relatively lower engagement, suggesting Tesla should continue prioritizing video and carousel formats for future campaigns.</t>
  </si>
  <si>
    <t>Highest Performing Content type</t>
  </si>
  <si>
    <t>Engagement Rate</t>
  </si>
  <si>
    <t>Select Platform</t>
  </si>
  <si>
    <t xml:space="preserve">  Content type priorities per platform recommendation</t>
  </si>
  <si>
    <t>Tesla should adopt a platform-specific content strategy:</t>
  </si>
  <si>
    <t>* Use Reels and Stories to drive engagement on Instagram and Twitter.</t>
  </si>
  <si>
    <t>* Use Text + Image posts on Facebook for informative storytelling.</t>
  </si>
  <si>
    <t>* Use Carousel-style playlists or feature showcases on YouTube for detailed product comparisons.</t>
  </si>
  <si>
    <t>Period</t>
  </si>
  <si>
    <t>Sum of Impressions</t>
  </si>
  <si>
    <t>Average of Likes</t>
  </si>
  <si>
    <t>Average of Impressions</t>
  </si>
  <si>
    <t>Sum of Clicks</t>
  </si>
  <si>
    <t>Average of Clicks2</t>
  </si>
  <si>
    <t>Total Impressions, Likes and Clicks per Campaign</t>
  </si>
  <si>
    <t>Before</t>
  </si>
  <si>
    <t>During</t>
  </si>
  <si>
    <t xml:space="preserve">  Engagement uplift during vs. before campaigns</t>
  </si>
  <si>
    <t>Average of Ad_Spend</t>
  </si>
  <si>
    <t>Percentage of ROI</t>
  </si>
  <si>
    <t>Highest ROI (engagement vs. spend)</t>
  </si>
  <si>
    <t>According to the campaign metadata, SustainabilityDrive (focused on Community Growth on Instagram &amp; Twitter)</t>
  </si>
  <si>
    <t>achieved the highest ROI, aligning with its objective and budget strategy.</t>
  </si>
  <si>
    <t>Sum of New_Followers</t>
  </si>
  <si>
    <t>Total_Follower_Gain</t>
  </si>
  <si>
    <t>Average_Follower_Gain</t>
  </si>
  <si>
    <t>SustainabilityDrive achieved the highest total follower gain (56,133), followed closely by ModelYCampaign (52,999).</t>
  </si>
  <si>
    <t>This indicates that campaigns focused on sustainability attracted the strongest new audience growth for Tesla.</t>
  </si>
  <si>
    <t xml:space="preserve">   Strongest Follower Growth by Campaign</t>
  </si>
  <si>
    <t>Weekly Follower Growth by Platform</t>
  </si>
  <si>
    <t>Peak week of follower gain</t>
  </si>
  <si>
    <t>The peak follower growth occurred during the week starting 30-Dec-2024, coinciding with</t>
  </si>
  <si>
    <t>overlapping campaigns — ModelYCampaign, SustainabilityDrive, and CybertruckLaunch.</t>
  </si>
  <si>
    <t>This synergy across campaigns led to Tesla’s strongest follower surge of the year.</t>
  </si>
  <si>
    <t>Moving averages to smooth growth trends</t>
  </si>
  <si>
    <t>Correlation Between Ad Spend and Follower Growth</t>
  </si>
  <si>
    <t>The scatter plot shows a weak correlation between ad spend and follower growth,</t>
  </si>
  <si>
    <t>suggesting that follower increase is influenced by other factors such as content quality</t>
  </si>
  <si>
    <t>or campaign timing rather than budget alone.</t>
  </si>
  <si>
    <t>(blank)</t>
  </si>
  <si>
    <t>VIDEO LINK:  https://drive.google.com/file/d/1PG2tgybdCnV3v3Y8htU-99GwQ1IP1Lev/view?usp=sharing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</si>
</sst>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
    <numFmt numFmtId="165" formatCode="0.0000"/>
    <numFmt numFmtId="166" formatCode="0.0"/>
    <numFmt numFmtId="167" formatCode="0.000"/>
    <numFmt numFmtId="168" formatCode="0.0%"/>
    <numFmt numFmtId="169" formatCode="0.0000%"/>
  </numFmts>
  <fonts count="35" x14ac:knownFonts="1">
    <font>
      <sz val="11"/>
      <color theme="1"/>
      <name val="Calibri"/>
      <family val="2"/>
      <scheme val="minor"/>
    </font>
    <font>
      <sz val="11"/>
      <color theme="1" tint="4.9989318521683403E-2"/>
      <name val="Calibri"/>
      <family val="2"/>
      <scheme val="minor"/>
    </font>
    <font>
      <b/>
      <sz val="14"/>
      <color rgb="FFFF0000"/>
      <name val="Calibri"/>
      <family val="2"/>
      <scheme val="minor"/>
    </font>
    <font>
      <sz val="11"/>
      <color rgb="FF00B050"/>
      <name val="Calibri"/>
      <family val="2"/>
      <scheme val="minor"/>
    </font>
    <font>
      <b/>
      <sz val="22"/>
      <color rgb="FF00B050"/>
      <name val="Calibri"/>
      <family val="2"/>
      <scheme val="minor"/>
    </font>
    <font>
      <sz val="22"/>
      <color rgb="FF00B050"/>
      <name val="Calibri"/>
      <family val="2"/>
      <scheme val="minor"/>
    </font>
    <font>
      <b/>
      <sz val="22"/>
      <color theme="1"/>
      <name val="Calibri"/>
      <family val="2"/>
      <scheme val="minor"/>
    </font>
    <font>
      <sz val="22"/>
      <color theme="1"/>
      <name val="Calibri"/>
      <family val="2"/>
      <scheme val="minor"/>
    </font>
    <font>
      <b/>
      <sz val="16"/>
      <color rgb="FFFF0000"/>
      <name val="Calibri"/>
      <family val="2"/>
      <scheme val="minor"/>
    </font>
    <font>
      <b/>
      <sz val="28"/>
      <color theme="1"/>
      <name val="Calibri"/>
      <family val="2"/>
      <scheme val="minor"/>
    </font>
    <font>
      <sz val="28"/>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2"/>
      <color rgb="FFFF0000"/>
      <name val="Calibri"/>
      <family val="2"/>
      <scheme val="minor"/>
    </font>
    <font>
      <b/>
      <sz val="24"/>
      <color theme="1"/>
      <name val="Calibri"/>
      <family val="2"/>
      <scheme val="minor"/>
    </font>
    <font>
      <sz val="24"/>
      <color theme="1"/>
      <name val="Calibri"/>
      <family val="2"/>
      <scheme val="minor"/>
    </font>
    <font>
      <sz val="14"/>
      <color theme="1"/>
      <name val="Calibri"/>
      <family val="2"/>
      <scheme val="minor"/>
    </font>
    <font>
      <b/>
      <sz val="12"/>
      <color theme="1"/>
      <name val="Calibri"/>
      <family val="2"/>
      <scheme val="minor"/>
    </font>
    <font>
      <b/>
      <sz val="16"/>
      <color rgb="FF00B050"/>
      <name val="Calibri"/>
      <family val="2"/>
      <scheme val="minor"/>
    </font>
    <font>
      <b/>
      <sz val="14"/>
      <color theme="1"/>
      <name val="Calibri"/>
      <family val="2"/>
      <scheme val="minor"/>
    </font>
    <font>
      <b/>
      <sz val="14"/>
      <color rgb="FFC00000"/>
      <name val="Calibri"/>
      <family val="2"/>
      <scheme val="minor"/>
    </font>
    <font>
      <sz val="14"/>
      <color rgb="FFC00000"/>
      <name val="Calibri"/>
      <family val="2"/>
      <scheme val="minor"/>
    </font>
    <font>
      <sz val="11"/>
      <color rgb="FFC00000"/>
      <name val="Calibri"/>
      <family val="2"/>
      <scheme val="minor"/>
    </font>
    <font>
      <b/>
      <sz val="20"/>
      <color theme="1"/>
      <name val="Calibri"/>
      <family val="2"/>
      <scheme val="minor"/>
    </font>
    <font>
      <sz val="12"/>
      <color theme="1"/>
      <name val="Calibri"/>
      <family val="2"/>
      <scheme val="minor"/>
    </font>
    <font>
      <b/>
      <sz val="14"/>
      <color rgb="FF0070C0"/>
      <name val="Calibri"/>
      <family val="2"/>
      <scheme val="minor"/>
    </font>
    <font>
      <b/>
      <sz val="16"/>
      <color rgb="FF0070C0"/>
      <name val="Calibri"/>
      <family val="2"/>
      <scheme val="minor"/>
    </font>
    <font>
      <b/>
      <sz val="18"/>
      <color theme="1"/>
      <name val="Calibri"/>
      <family val="2"/>
      <scheme val="minor"/>
    </font>
    <font>
      <b/>
      <sz val="14"/>
      <color rgb="FF002060"/>
      <name val="Calibri"/>
      <family val="2"/>
      <scheme val="minor"/>
    </font>
    <font>
      <sz val="11"/>
      <color rgb="FF002060"/>
      <name val="Calibri"/>
      <family val="2"/>
      <scheme val="minor"/>
    </font>
    <font>
      <b/>
      <sz val="14"/>
      <color theme="3"/>
      <name val="Calibri"/>
      <family val="2"/>
      <scheme val="minor"/>
    </font>
    <font>
      <b/>
      <sz val="26"/>
      <color theme="1"/>
      <name val="Calibri"/>
      <family val="2"/>
      <scheme val="minor"/>
    </font>
    <font>
      <sz val="11"/>
      <color rgb="FF0070C0"/>
      <name val="Calibri"/>
      <family val="2"/>
      <scheme val="minor"/>
    </font>
    <font>
      <sz val="20"/>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rgb="FFFFCCCC"/>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rgb="FFFF9999"/>
        <bgColor indexed="64"/>
      </patternFill>
    </fill>
    <fill>
      <patternFill patternType="solid">
        <fgColor rgb="FFFFCCFF"/>
        <bgColor indexed="64"/>
      </patternFill>
    </fill>
    <fill>
      <patternFill patternType="solid">
        <fgColor theme="3"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107">
    <xf numFmtId="0" fontId="0" fillId="0" borderId="0" xfId="0"/>
    <xf numFmtId="0" fontId="0" fillId="0" borderId="1" xfId="0" applyBorder="1"/>
    <xf numFmtId="14" fontId="0" fillId="0" borderId="0" xfId="0" applyNumberFormat="1"/>
    <xf numFmtId="0" fontId="1" fillId="2" borderId="4" xfId="0" applyFont="1" applyFill="1" applyBorder="1"/>
    <xf numFmtId="0" fontId="1" fillId="2" borderId="5" xfId="0" applyFont="1" applyFill="1" applyBorder="1"/>
    <xf numFmtId="0" fontId="1" fillId="2" borderId="6" xfId="0" applyFont="1" applyFill="1" applyBorder="1"/>
    <xf numFmtId="0" fontId="0" fillId="0" borderId="2" xfId="0" applyBorder="1"/>
    <xf numFmtId="14" fontId="0" fillId="0" borderId="1" xfId="0" applyNumberFormat="1" applyBorder="1"/>
    <xf numFmtId="0" fontId="0" fillId="0" borderId="3" xfId="0" applyBorder="1"/>
    <xf numFmtId="0" fontId="0" fillId="0" borderId="7" xfId="0" applyBorder="1"/>
    <xf numFmtId="0" fontId="0" fillId="0" borderId="8" xfId="0" applyBorder="1"/>
    <xf numFmtId="14" fontId="0" fillId="0" borderId="8" xfId="0" applyNumberFormat="1" applyBorder="1"/>
    <xf numFmtId="0" fontId="0" fillId="0" borderId="9" xfId="0" applyBorder="1"/>
    <xf numFmtId="164" fontId="0" fillId="0" borderId="1" xfId="0" applyNumberFormat="1" applyBorder="1"/>
    <xf numFmtId="165" fontId="0" fillId="0" borderId="5" xfId="0" applyNumberFormat="1" applyBorder="1"/>
    <xf numFmtId="165" fontId="0" fillId="0" borderId="1" xfId="0" applyNumberFormat="1" applyBorder="1"/>
    <xf numFmtId="165" fontId="0" fillId="0" borderId="8" xfId="0" applyNumberFormat="1" applyBorder="1"/>
    <xf numFmtId="0" fontId="0" fillId="0" borderId="1" xfId="0" pivotButton="1" applyBorder="1"/>
    <xf numFmtId="0" fontId="0" fillId="3" borderId="1" xfId="0" applyFill="1" applyBorder="1" applyAlignment="1">
      <alignment horizontal="left"/>
    </xf>
    <xf numFmtId="164" fontId="0" fillId="3" borderId="1" xfId="0" applyNumberFormat="1" applyFill="1" applyBorder="1"/>
    <xf numFmtId="0" fontId="0" fillId="0" borderId="1" xfId="0" applyBorder="1" applyAlignment="1">
      <alignment horizontal="left"/>
    </xf>
    <xf numFmtId="0" fontId="2" fillId="0" borderId="0" xfId="0" applyFont="1"/>
    <xf numFmtId="0" fontId="3" fillId="0" borderId="0" xfId="0" applyFont="1"/>
    <xf numFmtId="0" fontId="4" fillId="0" borderId="0" xfId="0" applyFont="1"/>
    <xf numFmtId="0" fontId="5" fillId="0" borderId="0" xfId="0" applyFont="1"/>
    <xf numFmtId="0" fontId="0" fillId="2" borderId="1" xfId="0" applyFill="1" applyBorder="1"/>
    <xf numFmtId="0" fontId="6" fillId="2" borderId="1" xfId="0" applyFont="1" applyFill="1" applyBorder="1"/>
    <xf numFmtId="0" fontId="7" fillId="2" borderId="1" xfId="0" applyFont="1" applyFill="1" applyBorder="1"/>
    <xf numFmtId="0" fontId="7" fillId="4" borderId="0" xfId="0" applyFont="1" applyFill="1"/>
    <xf numFmtId="0" fontId="0" fillId="4" borderId="0" xfId="0" applyFill="1"/>
    <xf numFmtId="14" fontId="1" fillId="2" borderId="5" xfId="0" applyNumberFormat="1" applyFont="1" applyFill="1" applyBorder="1"/>
    <xf numFmtId="166" fontId="0" fillId="0" borderId="1" xfId="0" applyNumberFormat="1" applyBorder="1"/>
    <xf numFmtId="166" fontId="0" fillId="3" borderId="1" xfId="0" applyNumberFormat="1" applyFill="1" applyBorder="1"/>
    <xf numFmtId="0" fontId="0" fillId="0" borderId="5" xfId="0" applyBorder="1"/>
    <xf numFmtId="0" fontId="8" fillId="0" borderId="0" xfId="0" applyFont="1"/>
    <xf numFmtId="0" fontId="0" fillId="3" borderId="1" xfId="0" applyFill="1" applyBorder="1"/>
    <xf numFmtId="0" fontId="9" fillId="2" borderId="1" xfId="0" applyFont="1" applyFill="1" applyBorder="1"/>
    <xf numFmtId="0" fontId="10" fillId="2" borderId="1" xfId="0" applyFont="1" applyFill="1" applyBorder="1"/>
    <xf numFmtId="0" fontId="13" fillId="2" borderId="1" xfId="0" applyFont="1" applyFill="1" applyBorder="1" applyAlignment="1">
      <alignment horizontal="center" vertical="top"/>
    </xf>
    <xf numFmtId="0" fontId="11" fillId="0" borderId="1" xfId="0" applyFont="1" applyBorder="1"/>
    <xf numFmtId="167" fontId="0" fillId="0" borderId="1" xfId="0" applyNumberFormat="1" applyBorder="1"/>
    <xf numFmtId="10" fontId="0" fillId="0" borderId="1" xfId="0" applyNumberFormat="1" applyBorder="1"/>
    <xf numFmtId="10" fontId="0" fillId="3" borderId="1" xfId="0" applyNumberFormat="1" applyFill="1" applyBorder="1"/>
    <xf numFmtId="0" fontId="14" fillId="0" borderId="0" xfId="0" applyFont="1"/>
    <xf numFmtId="0" fontId="12" fillId="0" borderId="0" xfId="0" applyFont="1"/>
    <xf numFmtId="0" fontId="15" fillId="2" borderId="1" xfId="0" applyFont="1" applyFill="1" applyBorder="1"/>
    <xf numFmtId="0" fontId="16" fillId="2" borderId="1" xfId="0" applyFont="1" applyFill="1" applyBorder="1"/>
    <xf numFmtId="0" fontId="2" fillId="0" borderId="0" xfId="0" applyFont="1" applyAlignment="1">
      <alignment horizontal="left"/>
    </xf>
    <xf numFmtId="0" fontId="17" fillId="0" borderId="0" xfId="0" applyFont="1"/>
    <xf numFmtId="0" fontId="18" fillId="0" borderId="0" xfId="0" applyFont="1"/>
    <xf numFmtId="0" fontId="19" fillId="0" borderId="1" xfId="0" applyFont="1" applyBorder="1" applyAlignment="1">
      <alignment horizontal="left"/>
    </xf>
    <xf numFmtId="0" fontId="3" fillId="0" borderId="1" xfId="0" applyFont="1" applyBorder="1" applyAlignment="1">
      <alignment horizontal="left"/>
    </xf>
    <xf numFmtId="0" fontId="13" fillId="2" borderId="1" xfId="0" applyFont="1" applyFill="1" applyBorder="1"/>
    <xf numFmtId="165" fontId="0" fillId="3" borderId="1" xfId="0" applyNumberFormat="1" applyFill="1" applyBorder="1"/>
    <xf numFmtId="0" fontId="20" fillId="5" borderId="3" xfId="0" applyFont="1" applyFill="1" applyBorder="1"/>
    <xf numFmtId="0" fontId="18" fillId="5" borderId="10" xfId="0" applyFont="1" applyFill="1" applyBorder="1"/>
    <xf numFmtId="0" fontId="13" fillId="5" borderId="10" xfId="0" applyFont="1" applyFill="1" applyBorder="1"/>
    <xf numFmtId="0" fontId="13" fillId="5" borderId="2" xfId="0" applyFont="1" applyFill="1" applyBorder="1"/>
    <xf numFmtId="0" fontId="0" fillId="5" borderId="1" xfId="0" applyFill="1" applyBorder="1"/>
    <xf numFmtId="168" fontId="0" fillId="0" borderId="1" xfId="0" applyNumberFormat="1" applyBorder="1"/>
    <xf numFmtId="0" fontId="20" fillId="4" borderId="0" xfId="0" applyFont="1" applyFill="1"/>
    <xf numFmtId="0" fontId="15" fillId="5" borderId="1" xfId="0" applyFont="1" applyFill="1" applyBorder="1"/>
    <xf numFmtId="0" fontId="21" fillId="4" borderId="0" xfId="0" applyFont="1" applyFill="1"/>
    <xf numFmtId="0" fontId="22" fillId="4" borderId="0" xfId="0" applyFont="1" applyFill="1"/>
    <xf numFmtId="0" fontId="23" fillId="4" borderId="0" xfId="0" applyFont="1" applyFill="1"/>
    <xf numFmtId="2" fontId="0" fillId="0" borderId="1" xfId="0" applyNumberFormat="1" applyBorder="1"/>
    <xf numFmtId="0" fontId="25" fillId="0" borderId="1" xfId="0" pivotButton="1" applyFont="1" applyBorder="1"/>
    <xf numFmtId="0" fontId="25" fillId="0" borderId="1" xfId="0" applyFont="1" applyBorder="1"/>
    <xf numFmtId="0" fontId="18" fillId="6" borderId="1" xfId="0" applyFont="1" applyFill="1" applyBorder="1" applyAlignment="1">
      <alignment horizontal="left"/>
    </xf>
    <xf numFmtId="168" fontId="18" fillId="6" borderId="1" xfId="0" applyNumberFormat="1" applyFont="1" applyFill="1" applyBorder="1"/>
    <xf numFmtId="0" fontId="25" fillId="0" borderId="1" xfId="0" applyFont="1" applyBorder="1" applyAlignment="1">
      <alignment horizontal="left"/>
    </xf>
    <xf numFmtId="168" fontId="25" fillId="0" borderId="1" xfId="0" applyNumberFormat="1" applyFont="1" applyBorder="1"/>
    <xf numFmtId="0" fontId="21" fillId="4" borderId="0" xfId="0" applyFont="1" applyFill="1" applyAlignment="1">
      <alignment horizontal="left" vertical="center" indent="1"/>
    </xf>
    <xf numFmtId="168" fontId="0" fillId="2" borderId="1" xfId="0" applyNumberFormat="1" applyFill="1" applyBorder="1"/>
    <xf numFmtId="0" fontId="27" fillId="0" borderId="1" xfId="0" applyFont="1" applyBorder="1" applyAlignment="1">
      <alignment horizontal="center"/>
    </xf>
    <xf numFmtId="168" fontId="27" fillId="0" borderId="1" xfId="0" applyNumberFormat="1" applyFont="1" applyBorder="1" applyAlignment="1">
      <alignment horizontal="center"/>
    </xf>
    <xf numFmtId="0" fontId="18" fillId="7" borderId="0" xfId="0" applyFont="1" applyFill="1"/>
    <xf numFmtId="0" fontId="28" fillId="2" borderId="1" xfId="0" applyFont="1" applyFill="1" applyBorder="1" applyAlignment="1">
      <alignment horizontal="center"/>
    </xf>
    <xf numFmtId="0" fontId="18" fillId="5" borderId="0" xfId="0" applyFont="1" applyFill="1"/>
    <xf numFmtId="0" fontId="0" fillId="5" borderId="0" xfId="0" applyFill="1"/>
    <xf numFmtId="0" fontId="0" fillId="0" borderId="5" xfId="0" applyBorder="1" applyAlignment="1">
      <alignment horizontal="center"/>
    </xf>
    <xf numFmtId="0" fontId="0" fillId="0" borderId="1" xfId="0" applyBorder="1" applyAlignment="1">
      <alignment horizontal="center"/>
    </xf>
    <xf numFmtId="0" fontId="0" fillId="0" borderId="8" xfId="0" applyBorder="1" applyAlignment="1">
      <alignment horizontal="center"/>
    </xf>
    <xf numFmtId="0" fontId="0" fillId="9" borderId="1" xfId="0" applyFill="1" applyBorder="1"/>
    <xf numFmtId="0" fontId="24" fillId="9" borderId="1" xfId="0" applyFont="1" applyFill="1" applyBorder="1"/>
    <xf numFmtId="169" fontId="0" fillId="0" borderId="1" xfId="0" applyNumberFormat="1" applyBorder="1"/>
    <xf numFmtId="0" fontId="0" fillId="5" borderId="1" xfId="0" applyFill="1" applyBorder="1" applyAlignment="1">
      <alignment horizontal="left"/>
    </xf>
    <xf numFmtId="0" fontId="0" fillId="8" borderId="1" xfId="0" applyFill="1" applyBorder="1" applyAlignment="1">
      <alignment horizontal="left"/>
    </xf>
    <xf numFmtId="2" fontId="0" fillId="8" borderId="1" xfId="0" applyNumberFormat="1" applyFill="1" applyBorder="1"/>
    <xf numFmtId="167" fontId="0" fillId="8" borderId="1" xfId="0" applyNumberFormat="1" applyFill="1" applyBorder="1"/>
    <xf numFmtId="169" fontId="0" fillId="8" borderId="1" xfId="0" applyNumberFormat="1" applyFill="1" applyBorder="1"/>
    <xf numFmtId="0" fontId="29" fillId="0" borderId="0" xfId="0" applyFont="1"/>
    <xf numFmtId="0" fontId="29" fillId="4" borderId="0" xfId="0" applyFont="1" applyFill="1"/>
    <xf numFmtId="0" fontId="30" fillId="0" borderId="0" xfId="0" applyFont="1"/>
    <xf numFmtId="0" fontId="15" fillId="9" borderId="1" xfId="0" applyFont="1" applyFill="1" applyBorder="1"/>
    <xf numFmtId="0" fontId="16" fillId="9" borderId="1" xfId="0" applyFont="1" applyFill="1" applyBorder="1"/>
    <xf numFmtId="0" fontId="31" fillId="4" borderId="0" xfId="0" applyFont="1" applyFill="1"/>
    <xf numFmtId="0" fontId="17" fillId="4" borderId="0" xfId="0" applyFont="1" applyFill="1"/>
    <xf numFmtId="0" fontId="15" fillId="9" borderId="3" xfId="0" applyFont="1" applyFill="1" applyBorder="1"/>
    <xf numFmtId="14" fontId="0" fillId="0" borderId="1" xfId="0" applyNumberFormat="1" applyBorder="1" applyAlignment="1">
      <alignment horizontal="left"/>
    </xf>
    <xf numFmtId="0" fontId="32" fillId="9" borderId="1" xfId="0" applyFont="1" applyFill="1" applyBorder="1"/>
    <xf numFmtId="0" fontId="26" fillId="0" borderId="0" xfId="0" applyFont="1"/>
    <xf numFmtId="0" fontId="33" fillId="0" borderId="0" xfId="0" applyFont="1"/>
    <xf numFmtId="0" fontId="21" fillId="0" borderId="0" xfId="0" applyFont="1"/>
    <xf numFmtId="0" fontId="23" fillId="0" borderId="0" xfId="0" applyFont="1"/>
    <xf numFmtId="0" fontId="0" fillId="10" borderId="0" xfId="0" applyFill="1"/>
    <xf numFmtId="0" fontId="34" fillId="0" borderId="1" xfId="0" applyFont="1" applyBorder="1"/>
  </cellXfs>
  <cellStyles count="1">
    <cellStyle name="Normal" xfId="0" builtinId="0"/>
  </cellStyles>
  <dxfs count="27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4" tint="0.59996337778862885"/>
        </patternFill>
      </fill>
    </dxf>
    <dxf>
      <font>
        <color rgb="FF9C0006"/>
      </font>
      <fill>
        <patternFill>
          <bgColor rgb="FFFFC7CE"/>
        </patternFill>
      </fill>
    </dxf>
    <dxf>
      <fill>
        <patternFill>
          <bgColor theme="4" tint="0.5999633777886288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CC"/>
        </patternFill>
      </fill>
    </dxf>
    <dxf>
      <fill>
        <patternFill>
          <bgColor rgb="FFFF9999"/>
        </patternFill>
      </fill>
    </dxf>
    <dxf>
      <fill>
        <patternFill patternType="solid">
          <bgColor rgb="FFFFCCCC"/>
        </patternFill>
      </fill>
    </dxf>
    <dxf>
      <fill>
        <patternFill patternType="solid">
          <bgColor rgb="FFFFCCCC"/>
        </patternFill>
      </fill>
    </dxf>
    <dxf>
      <numFmt numFmtId="169" formatCode="0.0000%"/>
    </dxf>
    <dxf>
      <numFmt numFmtId="167" formatCode="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
    </dxf>
    <dxf>
      <numFmt numFmtId="165" formatCode="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0.000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1" tint="4.9989318521683403E-2"/>
        <name val="Calibri"/>
        <family val="2"/>
        <scheme val="minor"/>
      </font>
      <fill>
        <patternFill patternType="solid">
          <fgColor indexed="64"/>
          <bgColor rgb="FFFFFF00"/>
        </patternFill>
      </fill>
      <border diagonalUp="0" diagonalDown="0">
        <left style="thin">
          <color indexed="64"/>
        </left>
        <right style="thin">
          <color indexed="64"/>
        </right>
        <top/>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sz val="12"/>
      </font>
    </dxf>
    <dxf>
      <font>
        <sz val="12"/>
      </font>
    </dxf>
    <dxf>
      <font>
        <sz val="12"/>
      </font>
    </dxf>
    <dxf>
      <font>
        <sz val="12"/>
      </font>
    </dxf>
    <dxf>
      <font>
        <sz val="12"/>
      </font>
    </dxf>
    <dxf>
      <font>
        <b/>
      </font>
    </dxf>
    <dxf>
      <font>
        <b/>
      </font>
    </dxf>
    <dxf>
      <fill>
        <patternFill patternType="solid">
          <bgColor theme="3" tint="0.39997558519241921"/>
        </patternFill>
      </fill>
    </dxf>
    <dxf>
      <numFmt numFmtId="168"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numFmt numFmtId="168"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1" tint="4.9989318521683403E-2"/>
        <name val="Calibri"/>
        <family val="2"/>
        <scheme val="minor"/>
      </font>
      <fill>
        <patternFill patternType="solid">
          <fgColor indexed="64"/>
          <bgColor rgb="FFFFFF00"/>
        </patternFill>
      </fill>
      <border diagonalUp="0" diagonalDown="0">
        <left style="thin">
          <color indexed="64"/>
        </left>
        <right style="thin">
          <color indexed="64"/>
        </right>
        <top/>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1" tint="4.9989318521683403E-2"/>
        <name val="Calibri"/>
        <family val="2"/>
        <scheme val="minor"/>
      </font>
      <fill>
        <patternFill patternType="solid">
          <fgColor indexed="64"/>
          <bgColor rgb="FFFFFF00"/>
        </patternFill>
      </fill>
      <border diagonalUp="0" diagonalDown="0">
        <left style="thin">
          <color indexed="64"/>
        </left>
        <right style="thin">
          <color indexed="64"/>
        </right>
        <top/>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1" tint="4.9989318521683403E-2"/>
        <name val="Calibri"/>
        <family val="2"/>
        <scheme val="minor"/>
      </font>
      <fill>
        <patternFill patternType="solid">
          <fgColor indexed="64"/>
          <bgColor rgb="FFFFFF00"/>
        </patternFill>
      </fill>
      <border diagonalUp="0" diagonalDown="0">
        <left style="thin">
          <color indexed="64"/>
        </left>
        <right style="thin">
          <color indexed="64"/>
        </right>
        <top/>
        <bottom/>
        <vertical style="thin">
          <color indexed="64"/>
        </vertical>
        <horizontal style="thin">
          <color indexed="64"/>
        </horizontal>
      </border>
    </dxf>
    <dxf>
      <numFmt numFmtId="165" formatCode="0.000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1" tint="4.9989318521683403E-2"/>
        <name val="Calibri"/>
        <family val="2"/>
        <scheme val="minor"/>
      </font>
      <fill>
        <patternFill patternType="solid">
          <fgColor indexed="64"/>
          <bgColor rgb="FFFFFF00"/>
        </patternFill>
      </fill>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numFmt numFmtId="164" formatCode="0.00000"/>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1" tint="4.9989318521683403E-2"/>
        <name val="Calibri"/>
        <family val="2"/>
        <scheme val="minor"/>
      </font>
      <fill>
        <patternFill patternType="solid">
          <fgColor indexed="64"/>
          <bgColor rgb="FFFFFF00"/>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CCCC"/>
      <color rgb="FFFF99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3.xml"/><Relationship Id="rId21" Type="http://schemas.openxmlformats.org/officeDocument/2006/relationships/worksheet" Target="worksheets/sheet21.xml"/><Relationship Id="rId34" Type="http://schemas.openxmlformats.org/officeDocument/2006/relationships/pivotCacheDefinition" Target="pivotCache/pivotCacheDefinition6.xml"/><Relationship Id="rId42" Type="http://schemas.microsoft.com/office/2007/relationships/slicerCache" Target="slicerCaches/slicerCache6.xml"/><Relationship Id="rId47" Type="http://schemas.openxmlformats.org/officeDocument/2006/relationships/sheetMetadata" Target="metadata.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4.xml"/><Relationship Id="rId37" Type="http://schemas.microsoft.com/office/2007/relationships/slicerCache" Target="slicerCaches/slicerCache1.xml"/><Relationship Id="rId40" Type="http://schemas.microsoft.com/office/2007/relationships/slicerCache" Target="slicerCaches/slicerCache4.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8.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3.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openxmlformats.org/officeDocument/2006/relationships/pivotCacheDefinition" Target="pivotCache/pivotCacheDefinition7.xml"/><Relationship Id="rId43" Type="http://schemas.openxmlformats.org/officeDocument/2006/relationships/theme" Target="theme/theme1.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5.xml"/><Relationship Id="rId38" Type="http://schemas.microsoft.com/office/2007/relationships/slicerCache" Target="slicerCaches/slicerCache2.xml"/><Relationship Id="rId46" Type="http://schemas.openxmlformats.org/officeDocument/2006/relationships/sharedStrings" Target="sharedStrings.xml"/><Relationship Id="rId20" Type="http://schemas.openxmlformats.org/officeDocument/2006/relationships/worksheet" Target="worksheets/sheet20.xml"/><Relationship Id="rId41"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[PROJECT(Tesla_Social_Media_Analysis).xlsx]Task_2.1!PivotTable1</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Platform</a:t>
            </a:r>
            <a:r>
              <a:rPr lang="en-IN" sz="1600" b="1" baseline="0"/>
              <a:t> vs Engagement rate</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Task_2.1!$S$9</c:f>
              <c:strCache>
                <c:ptCount val="1"/>
                <c:pt idx="0">
                  <c:v>Total</c:v>
                </c:pt>
              </c:strCache>
            </c:strRef>
          </c:tx>
          <c:spPr>
            <a:solidFill>
              <a:schemeClr val="accent1"/>
            </a:solidFill>
            <a:ln>
              <a:noFill/>
            </a:ln>
            <a:effectLst/>
          </c:spPr>
          <c:invertIfNegative val="0"/>
          <c:cat>
            <c:strRef>
              <c:f>Task_2.1!$R$10:$R$14</c:f>
              <c:strCache>
                <c:ptCount val="4"/>
                <c:pt idx="0">
                  <c:v>Instagram</c:v>
                </c:pt>
                <c:pt idx="1">
                  <c:v>Twitter</c:v>
                </c:pt>
                <c:pt idx="2">
                  <c:v>YouTube</c:v>
                </c:pt>
                <c:pt idx="3">
                  <c:v>Facebook</c:v>
                </c:pt>
              </c:strCache>
            </c:strRef>
          </c:cat>
          <c:val>
            <c:numRef>
              <c:f>Task_2.1!$S$10:$S$14</c:f>
              <c:numCache>
                <c:formatCode>0.00000</c:formatCode>
                <c:ptCount val="4"/>
                <c:pt idx="0">
                  <c:v>0.19329257693923488</c:v>
                </c:pt>
                <c:pt idx="1">
                  <c:v>0.14368407434207892</c:v>
                </c:pt>
                <c:pt idx="2">
                  <c:v>0.13118493770753806</c:v>
                </c:pt>
                <c:pt idx="3">
                  <c:v>0.12197289956132547</c:v>
                </c:pt>
              </c:numCache>
            </c:numRef>
          </c:val>
          <c:extLst>
            <c:ext xmlns:c16="http://schemas.microsoft.com/office/drawing/2014/chart" uri="{C3380CC4-5D6E-409C-BE32-E72D297353CC}">
              <c16:uniqueId val="{00000000-5F90-4EBB-9F04-0E05B889E1CA}"/>
            </c:ext>
          </c:extLst>
        </c:ser>
        <c:dLbls>
          <c:showLegendKey val="0"/>
          <c:showVal val="0"/>
          <c:showCatName val="0"/>
          <c:showSerName val="0"/>
          <c:showPercent val="0"/>
          <c:showBubbleSize val="0"/>
        </c:dLbls>
        <c:gapWidth val="219"/>
        <c:overlap val="-27"/>
        <c:axId val="683782240"/>
        <c:axId val="683782720"/>
      </c:barChart>
      <c:catAx>
        <c:axId val="68378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782720"/>
        <c:crosses val="autoZero"/>
        <c:auto val="1"/>
        <c:lblAlgn val="ctr"/>
        <c:lblOffset val="100"/>
        <c:noMultiLvlLbl val="0"/>
      </c:catAx>
      <c:valAx>
        <c:axId val="683782720"/>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78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[PROJECT(Tesla_Social_Media_Analysis).xlsx]Task_2.3(1)!PivotTable2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'Task_2.3(1)'!$B$7:$B$9</c:f>
              <c:strCache>
                <c:ptCount val="1"/>
                <c:pt idx="0">
                  <c:v>Facebook - Sum of Likes</c:v>
                </c:pt>
              </c:strCache>
            </c:strRef>
          </c:tx>
          <c:spPr>
            <a:solidFill>
              <a:schemeClr val="accent1"/>
            </a:solidFill>
            <a:ln>
              <a:noFill/>
            </a:ln>
            <a:effectLst/>
          </c:spPr>
          <c:invertIfNegative val="0"/>
          <c:cat>
            <c:strRef>
              <c:f>'Task_2.3(1)'!$A$10:$A$13</c:f>
              <c:strCache>
                <c:ptCount val="4"/>
                <c:pt idx="0">
                  <c:v>Carousel</c:v>
                </c:pt>
                <c:pt idx="1">
                  <c:v>Story</c:v>
                </c:pt>
                <c:pt idx="2">
                  <c:v>Text</c:v>
                </c:pt>
                <c:pt idx="3">
                  <c:v>Video</c:v>
                </c:pt>
              </c:strCache>
            </c:strRef>
          </c:cat>
          <c:val>
            <c:numRef>
              <c:f>'Task_2.3(1)'!$B$10:$B$13</c:f>
              <c:numCache>
                <c:formatCode>General</c:formatCode>
                <c:ptCount val="4"/>
                <c:pt idx="0">
                  <c:v>44476</c:v>
                </c:pt>
                <c:pt idx="1">
                  <c:v>29405</c:v>
                </c:pt>
                <c:pt idx="2">
                  <c:v>31963</c:v>
                </c:pt>
                <c:pt idx="3">
                  <c:v>28947</c:v>
                </c:pt>
              </c:numCache>
            </c:numRef>
          </c:val>
          <c:extLst>
            <c:ext xmlns:c16="http://schemas.microsoft.com/office/drawing/2014/chart" uri="{C3380CC4-5D6E-409C-BE32-E72D297353CC}">
              <c16:uniqueId val="{00000000-C3A7-49C5-9648-B1F3A367858A}"/>
            </c:ext>
          </c:extLst>
        </c:ser>
        <c:ser>
          <c:idx val="1"/>
          <c:order val="1"/>
          <c:tx>
            <c:strRef>
              <c:f>'Task_2.3(1)'!$C$7:$C$9</c:f>
              <c:strCache>
                <c:ptCount val="1"/>
                <c:pt idx="0">
                  <c:v>Facebook - Sum of Shares</c:v>
                </c:pt>
              </c:strCache>
            </c:strRef>
          </c:tx>
          <c:spPr>
            <a:solidFill>
              <a:schemeClr val="accent2"/>
            </a:solidFill>
            <a:ln>
              <a:noFill/>
            </a:ln>
            <a:effectLst/>
          </c:spPr>
          <c:invertIfNegative val="0"/>
          <c:cat>
            <c:strRef>
              <c:f>'Task_2.3(1)'!$A$10:$A$13</c:f>
              <c:strCache>
                <c:ptCount val="4"/>
                <c:pt idx="0">
                  <c:v>Carousel</c:v>
                </c:pt>
                <c:pt idx="1">
                  <c:v>Story</c:v>
                </c:pt>
                <c:pt idx="2">
                  <c:v>Text</c:v>
                </c:pt>
                <c:pt idx="3">
                  <c:v>Video</c:v>
                </c:pt>
              </c:strCache>
            </c:strRef>
          </c:cat>
          <c:val>
            <c:numRef>
              <c:f>'Task_2.3(1)'!$C$10:$C$13</c:f>
              <c:numCache>
                <c:formatCode>General</c:formatCode>
                <c:ptCount val="4"/>
                <c:pt idx="0">
                  <c:v>7400</c:v>
                </c:pt>
                <c:pt idx="1">
                  <c:v>4950</c:v>
                </c:pt>
                <c:pt idx="2">
                  <c:v>4792</c:v>
                </c:pt>
                <c:pt idx="3">
                  <c:v>3171</c:v>
                </c:pt>
              </c:numCache>
            </c:numRef>
          </c:val>
          <c:extLst>
            <c:ext xmlns:c16="http://schemas.microsoft.com/office/drawing/2014/chart" uri="{C3380CC4-5D6E-409C-BE32-E72D297353CC}">
              <c16:uniqueId val="{00000001-C3A7-49C5-9648-B1F3A367858A}"/>
            </c:ext>
          </c:extLst>
        </c:ser>
        <c:ser>
          <c:idx val="2"/>
          <c:order val="2"/>
          <c:tx>
            <c:strRef>
              <c:f>'Task_2.3(1)'!$D$7:$D$9</c:f>
              <c:strCache>
                <c:ptCount val="1"/>
                <c:pt idx="0">
                  <c:v>Facebook - Sum of Comments</c:v>
                </c:pt>
              </c:strCache>
            </c:strRef>
          </c:tx>
          <c:spPr>
            <a:solidFill>
              <a:schemeClr val="accent3"/>
            </a:solidFill>
            <a:ln>
              <a:noFill/>
            </a:ln>
            <a:effectLst/>
          </c:spPr>
          <c:invertIfNegative val="0"/>
          <c:cat>
            <c:strRef>
              <c:f>'Task_2.3(1)'!$A$10:$A$13</c:f>
              <c:strCache>
                <c:ptCount val="4"/>
                <c:pt idx="0">
                  <c:v>Carousel</c:v>
                </c:pt>
                <c:pt idx="1">
                  <c:v>Story</c:v>
                </c:pt>
                <c:pt idx="2">
                  <c:v>Text</c:v>
                </c:pt>
                <c:pt idx="3">
                  <c:v>Video</c:v>
                </c:pt>
              </c:strCache>
            </c:strRef>
          </c:cat>
          <c:val>
            <c:numRef>
              <c:f>'Task_2.3(1)'!$D$10:$D$13</c:f>
              <c:numCache>
                <c:formatCode>General</c:formatCode>
                <c:ptCount val="4"/>
                <c:pt idx="0">
                  <c:v>4589</c:v>
                </c:pt>
                <c:pt idx="1">
                  <c:v>3223</c:v>
                </c:pt>
                <c:pt idx="2">
                  <c:v>3377</c:v>
                </c:pt>
                <c:pt idx="3">
                  <c:v>2263</c:v>
                </c:pt>
              </c:numCache>
            </c:numRef>
          </c:val>
          <c:extLst>
            <c:ext xmlns:c16="http://schemas.microsoft.com/office/drawing/2014/chart" uri="{C3380CC4-5D6E-409C-BE32-E72D297353CC}">
              <c16:uniqueId val="{00000002-C3A7-49C5-9648-B1F3A367858A}"/>
            </c:ext>
          </c:extLst>
        </c:ser>
        <c:ser>
          <c:idx val="3"/>
          <c:order val="3"/>
          <c:tx>
            <c:strRef>
              <c:f>'Task_2.3(1)'!$E$7:$E$9</c:f>
              <c:strCache>
                <c:ptCount val="1"/>
                <c:pt idx="0">
                  <c:v>Instagram - Sum of Likes</c:v>
                </c:pt>
              </c:strCache>
            </c:strRef>
          </c:tx>
          <c:spPr>
            <a:solidFill>
              <a:schemeClr val="accent4"/>
            </a:solidFill>
            <a:ln>
              <a:noFill/>
            </a:ln>
            <a:effectLst/>
          </c:spPr>
          <c:invertIfNegative val="0"/>
          <c:cat>
            <c:strRef>
              <c:f>'Task_2.3(1)'!$A$10:$A$13</c:f>
              <c:strCache>
                <c:ptCount val="4"/>
                <c:pt idx="0">
                  <c:v>Carousel</c:v>
                </c:pt>
                <c:pt idx="1">
                  <c:v>Story</c:v>
                </c:pt>
                <c:pt idx="2">
                  <c:v>Text</c:v>
                </c:pt>
                <c:pt idx="3">
                  <c:v>Video</c:v>
                </c:pt>
              </c:strCache>
            </c:strRef>
          </c:cat>
          <c:val>
            <c:numRef>
              <c:f>'Task_2.3(1)'!$E$10:$E$13</c:f>
              <c:numCache>
                <c:formatCode>General</c:formatCode>
                <c:ptCount val="4"/>
                <c:pt idx="0">
                  <c:v>43948</c:v>
                </c:pt>
                <c:pt idx="1">
                  <c:v>42649</c:v>
                </c:pt>
                <c:pt idx="2">
                  <c:v>25567</c:v>
                </c:pt>
                <c:pt idx="3">
                  <c:v>25770</c:v>
                </c:pt>
              </c:numCache>
            </c:numRef>
          </c:val>
          <c:extLst>
            <c:ext xmlns:c16="http://schemas.microsoft.com/office/drawing/2014/chart" uri="{C3380CC4-5D6E-409C-BE32-E72D297353CC}">
              <c16:uniqueId val="{00000006-0C54-4090-B457-590B1CCD17DC}"/>
            </c:ext>
          </c:extLst>
        </c:ser>
        <c:ser>
          <c:idx val="4"/>
          <c:order val="4"/>
          <c:tx>
            <c:strRef>
              <c:f>'Task_2.3(1)'!$F$7:$F$9</c:f>
              <c:strCache>
                <c:ptCount val="1"/>
                <c:pt idx="0">
                  <c:v>Instagram - Sum of Shares</c:v>
                </c:pt>
              </c:strCache>
            </c:strRef>
          </c:tx>
          <c:spPr>
            <a:solidFill>
              <a:schemeClr val="accent5"/>
            </a:solidFill>
            <a:ln>
              <a:noFill/>
            </a:ln>
            <a:effectLst/>
          </c:spPr>
          <c:invertIfNegative val="0"/>
          <c:cat>
            <c:strRef>
              <c:f>'Task_2.3(1)'!$A$10:$A$13</c:f>
              <c:strCache>
                <c:ptCount val="4"/>
                <c:pt idx="0">
                  <c:v>Carousel</c:v>
                </c:pt>
                <c:pt idx="1">
                  <c:v>Story</c:v>
                </c:pt>
                <c:pt idx="2">
                  <c:v>Text</c:v>
                </c:pt>
                <c:pt idx="3">
                  <c:v>Video</c:v>
                </c:pt>
              </c:strCache>
            </c:strRef>
          </c:cat>
          <c:val>
            <c:numRef>
              <c:f>'Task_2.3(1)'!$F$10:$F$13</c:f>
              <c:numCache>
                <c:formatCode>General</c:formatCode>
                <c:ptCount val="4"/>
                <c:pt idx="0">
                  <c:v>6975</c:v>
                </c:pt>
                <c:pt idx="1">
                  <c:v>10049</c:v>
                </c:pt>
                <c:pt idx="2">
                  <c:v>5112</c:v>
                </c:pt>
                <c:pt idx="3">
                  <c:v>5912</c:v>
                </c:pt>
              </c:numCache>
            </c:numRef>
          </c:val>
          <c:extLst>
            <c:ext xmlns:c16="http://schemas.microsoft.com/office/drawing/2014/chart" uri="{C3380CC4-5D6E-409C-BE32-E72D297353CC}">
              <c16:uniqueId val="{00000007-0C54-4090-B457-590B1CCD17DC}"/>
            </c:ext>
          </c:extLst>
        </c:ser>
        <c:ser>
          <c:idx val="5"/>
          <c:order val="5"/>
          <c:tx>
            <c:strRef>
              <c:f>'Task_2.3(1)'!$G$7:$G$9</c:f>
              <c:strCache>
                <c:ptCount val="1"/>
                <c:pt idx="0">
                  <c:v>Instagram - Sum of Comments</c:v>
                </c:pt>
              </c:strCache>
            </c:strRef>
          </c:tx>
          <c:spPr>
            <a:solidFill>
              <a:schemeClr val="accent6"/>
            </a:solidFill>
            <a:ln>
              <a:noFill/>
            </a:ln>
            <a:effectLst/>
          </c:spPr>
          <c:invertIfNegative val="0"/>
          <c:cat>
            <c:strRef>
              <c:f>'Task_2.3(1)'!$A$10:$A$13</c:f>
              <c:strCache>
                <c:ptCount val="4"/>
                <c:pt idx="0">
                  <c:v>Carousel</c:v>
                </c:pt>
                <c:pt idx="1">
                  <c:v>Story</c:v>
                </c:pt>
                <c:pt idx="2">
                  <c:v>Text</c:v>
                </c:pt>
                <c:pt idx="3">
                  <c:v>Video</c:v>
                </c:pt>
              </c:strCache>
            </c:strRef>
          </c:cat>
          <c:val>
            <c:numRef>
              <c:f>'Task_2.3(1)'!$G$10:$G$13</c:f>
              <c:numCache>
                <c:formatCode>General</c:formatCode>
                <c:ptCount val="4"/>
                <c:pt idx="0">
                  <c:v>3890</c:v>
                </c:pt>
                <c:pt idx="1">
                  <c:v>3846</c:v>
                </c:pt>
                <c:pt idx="2">
                  <c:v>1946</c:v>
                </c:pt>
                <c:pt idx="3">
                  <c:v>2128</c:v>
                </c:pt>
              </c:numCache>
            </c:numRef>
          </c:val>
          <c:extLst>
            <c:ext xmlns:c16="http://schemas.microsoft.com/office/drawing/2014/chart" uri="{C3380CC4-5D6E-409C-BE32-E72D297353CC}">
              <c16:uniqueId val="{00000008-0C54-4090-B457-590B1CCD17DC}"/>
            </c:ext>
          </c:extLst>
        </c:ser>
        <c:ser>
          <c:idx val="6"/>
          <c:order val="6"/>
          <c:tx>
            <c:strRef>
              <c:f>'Task_2.3(1)'!$H$7:$H$9</c:f>
              <c:strCache>
                <c:ptCount val="1"/>
                <c:pt idx="0">
                  <c:v>Twitter - Sum of Likes</c:v>
                </c:pt>
              </c:strCache>
            </c:strRef>
          </c:tx>
          <c:spPr>
            <a:solidFill>
              <a:schemeClr val="accent1">
                <a:lumMod val="60000"/>
              </a:schemeClr>
            </a:solidFill>
            <a:ln>
              <a:noFill/>
            </a:ln>
            <a:effectLst/>
          </c:spPr>
          <c:invertIfNegative val="0"/>
          <c:cat>
            <c:strRef>
              <c:f>'Task_2.3(1)'!$A$10:$A$13</c:f>
              <c:strCache>
                <c:ptCount val="4"/>
                <c:pt idx="0">
                  <c:v>Carousel</c:v>
                </c:pt>
                <c:pt idx="1">
                  <c:v>Story</c:v>
                </c:pt>
                <c:pt idx="2">
                  <c:v>Text</c:v>
                </c:pt>
                <c:pt idx="3">
                  <c:v>Video</c:v>
                </c:pt>
              </c:strCache>
            </c:strRef>
          </c:cat>
          <c:val>
            <c:numRef>
              <c:f>'Task_2.3(1)'!$H$10:$H$13</c:f>
              <c:numCache>
                <c:formatCode>General</c:formatCode>
                <c:ptCount val="4"/>
                <c:pt idx="0">
                  <c:v>48649</c:v>
                </c:pt>
                <c:pt idx="1">
                  <c:v>20466</c:v>
                </c:pt>
                <c:pt idx="2">
                  <c:v>31899</c:v>
                </c:pt>
                <c:pt idx="3">
                  <c:v>29593</c:v>
                </c:pt>
              </c:numCache>
            </c:numRef>
          </c:val>
          <c:extLst>
            <c:ext xmlns:c16="http://schemas.microsoft.com/office/drawing/2014/chart" uri="{C3380CC4-5D6E-409C-BE32-E72D297353CC}">
              <c16:uniqueId val="{00000019-0C54-4090-B457-590B1CCD17DC}"/>
            </c:ext>
          </c:extLst>
        </c:ser>
        <c:ser>
          <c:idx val="7"/>
          <c:order val="7"/>
          <c:tx>
            <c:strRef>
              <c:f>'Task_2.3(1)'!$I$7:$I$9</c:f>
              <c:strCache>
                <c:ptCount val="1"/>
                <c:pt idx="0">
                  <c:v>Twitter - Sum of Shares</c:v>
                </c:pt>
              </c:strCache>
            </c:strRef>
          </c:tx>
          <c:spPr>
            <a:solidFill>
              <a:schemeClr val="accent2">
                <a:lumMod val="60000"/>
              </a:schemeClr>
            </a:solidFill>
            <a:ln>
              <a:noFill/>
            </a:ln>
            <a:effectLst/>
          </c:spPr>
          <c:invertIfNegative val="0"/>
          <c:cat>
            <c:strRef>
              <c:f>'Task_2.3(1)'!$A$10:$A$13</c:f>
              <c:strCache>
                <c:ptCount val="4"/>
                <c:pt idx="0">
                  <c:v>Carousel</c:v>
                </c:pt>
                <c:pt idx="1">
                  <c:v>Story</c:v>
                </c:pt>
                <c:pt idx="2">
                  <c:v>Text</c:v>
                </c:pt>
                <c:pt idx="3">
                  <c:v>Video</c:v>
                </c:pt>
              </c:strCache>
            </c:strRef>
          </c:cat>
          <c:val>
            <c:numRef>
              <c:f>'Task_2.3(1)'!$I$10:$I$13</c:f>
              <c:numCache>
                <c:formatCode>General</c:formatCode>
                <c:ptCount val="4"/>
                <c:pt idx="0">
                  <c:v>5791</c:v>
                </c:pt>
                <c:pt idx="1">
                  <c:v>5090</c:v>
                </c:pt>
                <c:pt idx="2">
                  <c:v>4861</c:v>
                </c:pt>
                <c:pt idx="3">
                  <c:v>6326</c:v>
                </c:pt>
              </c:numCache>
            </c:numRef>
          </c:val>
          <c:extLst>
            <c:ext xmlns:c16="http://schemas.microsoft.com/office/drawing/2014/chart" uri="{C3380CC4-5D6E-409C-BE32-E72D297353CC}">
              <c16:uniqueId val="{0000001A-0C54-4090-B457-590B1CCD17DC}"/>
            </c:ext>
          </c:extLst>
        </c:ser>
        <c:ser>
          <c:idx val="8"/>
          <c:order val="8"/>
          <c:tx>
            <c:strRef>
              <c:f>'Task_2.3(1)'!$J$7:$J$9</c:f>
              <c:strCache>
                <c:ptCount val="1"/>
                <c:pt idx="0">
                  <c:v>Twitter - Sum of Comments</c:v>
                </c:pt>
              </c:strCache>
            </c:strRef>
          </c:tx>
          <c:spPr>
            <a:solidFill>
              <a:schemeClr val="accent3">
                <a:lumMod val="60000"/>
              </a:schemeClr>
            </a:solidFill>
            <a:ln>
              <a:noFill/>
            </a:ln>
            <a:effectLst/>
          </c:spPr>
          <c:invertIfNegative val="0"/>
          <c:cat>
            <c:strRef>
              <c:f>'Task_2.3(1)'!$A$10:$A$13</c:f>
              <c:strCache>
                <c:ptCount val="4"/>
                <c:pt idx="0">
                  <c:v>Carousel</c:v>
                </c:pt>
                <c:pt idx="1">
                  <c:v>Story</c:v>
                </c:pt>
                <c:pt idx="2">
                  <c:v>Text</c:v>
                </c:pt>
                <c:pt idx="3">
                  <c:v>Video</c:v>
                </c:pt>
              </c:strCache>
            </c:strRef>
          </c:cat>
          <c:val>
            <c:numRef>
              <c:f>'Task_2.3(1)'!$J$10:$J$13</c:f>
              <c:numCache>
                <c:formatCode>General</c:formatCode>
                <c:ptCount val="4"/>
                <c:pt idx="0">
                  <c:v>3607</c:v>
                </c:pt>
                <c:pt idx="1">
                  <c:v>3026</c:v>
                </c:pt>
                <c:pt idx="2">
                  <c:v>3910</c:v>
                </c:pt>
                <c:pt idx="3">
                  <c:v>3299</c:v>
                </c:pt>
              </c:numCache>
            </c:numRef>
          </c:val>
          <c:extLst>
            <c:ext xmlns:c16="http://schemas.microsoft.com/office/drawing/2014/chart" uri="{C3380CC4-5D6E-409C-BE32-E72D297353CC}">
              <c16:uniqueId val="{0000001B-0C54-4090-B457-590B1CCD17DC}"/>
            </c:ext>
          </c:extLst>
        </c:ser>
        <c:ser>
          <c:idx val="9"/>
          <c:order val="9"/>
          <c:tx>
            <c:strRef>
              <c:f>'Task_2.3(1)'!$K$7:$K$9</c:f>
              <c:strCache>
                <c:ptCount val="1"/>
                <c:pt idx="0">
                  <c:v>YouTube - Sum of Likes</c:v>
                </c:pt>
              </c:strCache>
            </c:strRef>
          </c:tx>
          <c:spPr>
            <a:solidFill>
              <a:schemeClr val="accent4">
                <a:lumMod val="60000"/>
              </a:schemeClr>
            </a:solidFill>
            <a:ln>
              <a:noFill/>
            </a:ln>
            <a:effectLst/>
          </c:spPr>
          <c:invertIfNegative val="0"/>
          <c:cat>
            <c:strRef>
              <c:f>'Task_2.3(1)'!$A$10:$A$13</c:f>
              <c:strCache>
                <c:ptCount val="4"/>
                <c:pt idx="0">
                  <c:v>Carousel</c:v>
                </c:pt>
                <c:pt idx="1">
                  <c:v>Story</c:v>
                </c:pt>
                <c:pt idx="2">
                  <c:v>Text</c:v>
                </c:pt>
                <c:pt idx="3">
                  <c:v>Video</c:v>
                </c:pt>
              </c:strCache>
            </c:strRef>
          </c:cat>
          <c:val>
            <c:numRef>
              <c:f>'Task_2.3(1)'!$K$10:$K$13</c:f>
              <c:numCache>
                <c:formatCode>General</c:formatCode>
                <c:ptCount val="4"/>
                <c:pt idx="0">
                  <c:v>24926</c:v>
                </c:pt>
                <c:pt idx="1">
                  <c:v>31968</c:v>
                </c:pt>
                <c:pt idx="2">
                  <c:v>27067</c:v>
                </c:pt>
                <c:pt idx="3">
                  <c:v>31285</c:v>
                </c:pt>
              </c:numCache>
            </c:numRef>
          </c:val>
          <c:extLst>
            <c:ext xmlns:c16="http://schemas.microsoft.com/office/drawing/2014/chart" uri="{C3380CC4-5D6E-409C-BE32-E72D297353CC}">
              <c16:uniqueId val="{0000001C-0C54-4090-B457-590B1CCD17DC}"/>
            </c:ext>
          </c:extLst>
        </c:ser>
        <c:ser>
          <c:idx val="10"/>
          <c:order val="10"/>
          <c:tx>
            <c:strRef>
              <c:f>'Task_2.3(1)'!$L$7:$L$9</c:f>
              <c:strCache>
                <c:ptCount val="1"/>
                <c:pt idx="0">
                  <c:v>YouTube - Sum of Shares</c:v>
                </c:pt>
              </c:strCache>
            </c:strRef>
          </c:tx>
          <c:spPr>
            <a:solidFill>
              <a:schemeClr val="accent5">
                <a:lumMod val="60000"/>
              </a:schemeClr>
            </a:solidFill>
            <a:ln>
              <a:noFill/>
            </a:ln>
            <a:effectLst/>
          </c:spPr>
          <c:invertIfNegative val="0"/>
          <c:cat>
            <c:strRef>
              <c:f>'Task_2.3(1)'!$A$10:$A$13</c:f>
              <c:strCache>
                <c:ptCount val="4"/>
                <c:pt idx="0">
                  <c:v>Carousel</c:v>
                </c:pt>
                <c:pt idx="1">
                  <c:v>Story</c:v>
                </c:pt>
                <c:pt idx="2">
                  <c:v>Text</c:v>
                </c:pt>
                <c:pt idx="3">
                  <c:v>Video</c:v>
                </c:pt>
              </c:strCache>
            </c:strRef>
          </c:cat>
          <c:val>
            <c:numRef>
              <c:f>'Task_2.3(1)'!$L$10:$L$13</c:f>
              <c:numCache>
                <c:formatCode>General</c:formatCode>
                <c:ptCount val="4"/>
                <c:pt idx="0">
                  <c:v>6305</c:v>
                </c:pt>
                <c:pt idx="1">
                  <c:v>3866</c:v>
                </c:pt>
                <c:pt idx="2">
                  <c:v>3928</c:v>
                </c:pt>
                <c:pt idx="3">
                  <c:v>5586</c:v>
                </c:pt>
              </c:numCache>
            </c:numRef>
          </c:val>
          <c:extLst>
            <c:ext xmlns:c16="http://schemas.microsoft.com/office/drawing/2014/chart" uri="{C3380CC4-5D6E-409C-BE32-E72D297353CC}">
              <c16:uniqueId val="{0000001D-0C54-4090-B457-590B1CCD17DC}"/>
            </c:ext>
          </c:extLst>
        </c:ser>
        <c:ser>
          <c:idx val="11"/>
          <c:order val="11"/>
          <c:tx>
            <c:strRef>
              <c:f>'Task_2.3(1)'!$M$7:$M$9</c:f>
              <c:strCache>
                <c:ptCount val="1"/>
                <c:pt idx="0">
                  <c:v>YouTube - Sum of Comments</c:v>
                </c:pt>
              </c:strCache>
            </c:strRef>
          </c:tx>
          <c:spPr>
            <a:solidFill>
              <a:schemeClr val="accent6">
                <a:lumMod val="60000"/>
              </a:schemeClr>
            </a:solidFill>
            <a:ln>
              <a:noFill/>
            </a:ln>
            <a:effectLst/>
          </c:spPr>
          <c:invertIfNegative val="0"/>
          <c:cat>
            <c:strRef>
              <c:f>'Task_2.3(1)'!$A$10:$A$13</c:f>
              <c:strCache>
                <c:ptCount val="4"/>
                <c:pt idx="0">
                  <c:v>Carousel</c:v>
                </c:pt>
                <c:pt idx="1">
                  <c:v>Story</c:v>
                </c:pt>
                <c:pt idx="2">
                  <c:v>Text</c:v>
                </c:pt>
                <c:pt idx="3">
                  <c:v>Video</c:v>
                </c:pt>
              </c:strCache>
            </c:strRef>
          </c:cat>
          <c:val>
            <c:numRef>
              <c:f>'Task_2.3(1)'!$M$10:$M$13</c:f>
              <c:numCache>
                <c:formatCode>General</c:formatCode>
                <c:ptCount val="4"/>
                <c:pt idx="0">
                  <c:v>2422</c:v>
                </c:pt>
                <c:pt idx="1">
                  <c:v>2012</c:v>
                </c:pt>
                <c:pt idx="2">
                  <c:v>1052</c:v>
                </c:pt>
                <c:pt idx="3">
                  <c:v>2589</c:v>
                </c:pt>
              </c:numCache>
            </c:numRef>
          </c:val>
          <c:extLst>
            <c:ext xmlns:c16="http://schemas.microsoft.com/office/drawing/2014/chart" uri="{C3380CC4-5D6E-409C-BE32-E72D297353CC}">
              <c16:uniqueId val="{0000001E-0C54-4090-B457-590B1CCD17DC}"/>
            </c:ext>
          </c:extLst>
        </c:ser>
        <c:dLbls>
          <c:showLegendKey val="0"/>
          <c:showVal val="0"/>
          <c:showCatName val="0"/>
          <c:showSerName val="0"/>
          <c:showPercent val="0"/>
          <c:showBubbleSize val="0"/>
        </c:dLbls>
        <c:gapWidth val="219"/>
        <c:overlap val="-27"/>
        <c:axId val="1664366624"/>
        <c:axId val="1664350304"/>
      </c:barChart>
      <c:catAx>
        <c:axId val="166436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50304"/>
        <c:crosses val="autoZero"/>
        <c:auto val="1"/>
        <c:lblAlgn val="ctr"/>
        <c:lblOffset val="100"/>
        <c:noMultiLvlLbl val="0"/>
      </c:catAx>
      <c:valAx>
        <c:axId val="166435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6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[PROJECT(Tesla_Social_Media_Analysis).xlsx]Task_2.3(2)!PivotTable4</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Clicks</a:t>
            </a:r>
            <a:r>
              <a:rPr lang="en-US" sz="1800" b="1" baseline="0"/>
              <a:t> per posts by Hashtags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'Task_2.3(2)'!$C$14</c:f>
              <c:strCache>
                <c:ptCount val="1"/>
                <c:pt idx="0">
                  <c:v>Total</c:v>
                </c:pt>
              </c:strCache>
            </c:strRef>
          </c:tx>
          <c:spPr>
            <a:solidFill>
              <a:schemeClr val="accent1"/>
            </a:solidFill>
            <a:ln>
              <a:noFill/>
            </a:ln>
            <a:effectLst/>
          </c:spPr>
          <c:invertIfNegative val="0"/>
          <c:cat>
            <c:strRef>
              <c:f>'Task_2.3(2)'!$B$15:$B$21</c:f>
              <c:strCache>
                <c:ptCount val="6"/>
                <c:pt idx="0">
                  <c:v>#AnytimeIsTeslaTime</c:v>
                </c:pt>
                <c:pt idx="1">
                  <c:v>#TeslaCoInnovation</c:v>
                </c:pt>
                <c:pt idx="2">
                  <c:v>#EVRevolution</c:v>
                </c:pt>
                <c:pt idx="3">
                  <c:v>#FutureOfDriving</c:v>
                </c:pt>
                <c:pt idx="4">
                  <c:v>#BetterWithTesla</c:v>
                </c:pt>
                <c:pt idx="5">
                  <c:v>#SmoothLikeNitroTesla</c:v>
                </c:pt>
              </c:strCache>
            </c:strRef>
          </c:cat>
          <c:val>
            <c:numRef>
              <c:f>'Task_2.3(2)'!$C$15:$C$21</c:f>
              <c:numCache>
                <c:formatCode>0.0</c:formatCode>
                <c:ptCount val="6"/>
                <c:pt idx="0">
                  <c:v>161.19999999999999</c:v>
                </c:pt>
                <c:pt idx="1">
                  <c:v>158.65420560747663</c:v>
                </c:pt>
                <c:pt idx="2">
                  <c:v>151.52941176470588</c:v>
                </c:pt>
                <c:pt idx="3">
                  <c:v>144.03883495145632</c:v>
                </c:pt>
                <c:pt idx="4">
                  <c:v>114.85714285714286</c:v>
                </c:pt>
                <c:pt idx="5">
                  <c:v>111.8</c:v>
                </c:pt>
              </c:numCache>
            </c:numRef>
          </c:val>
          <c:extLst>
            <c:ext xmlns:c16="http://schemas.microsoft.com/office/drawing/2014/chart" uri="{C3380CC4-5D6E-409C-BE32-E72D297353CC}">
              <c16:uniqueId val="{00000000-5623-473D-8CE4-D687F5F17B41}"/>
            </c:ext>
          </c:extLst>
        </c:ser>
        <c:dLbls>
          <c:showLegendKey val="0"/>
          <c:showVal val="0"/>
          <c:showCatName val="0"/>
          <c:showSerName val="0"/>
          <c:showPercent val="0"/>
          <c:showBubbleSize val="0"/>
        </c:dLbls>
        <c:gapWidth val="219"/>
        <c:overlap val="-27"/>
        <c:axId val="1791087296"/>
        <c:axId val="1791082016"/>
      </c:barChart>
      <c:catAx>
        <c:axId val="179108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82016"/>
        <c:crosses val="autoZero"/>
        <c:auto val="1"/>
        <c:lblAlgn val="ctr"/>
        <c:lblOffset val="100"/>
        <c:noMultiLvlLbl val="0"/>
      </c:catAx>
      <c:valAx>
        <c:axId val="179108201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8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[PROJECT(Tesla_Social_Media_Analysis).xlsx]Task_2.4!PivotTable6</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Hashtags</a:t>
            </a:r>
            <a:r>
              <a:rPr lang="en-US" sz="1600" b="1" baseline="0"/>
              <a:t> vs Clicks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Task_2.4!$D$12</c:f>
              <c:strCache>
                <c:ptCount val="1"/>
                <c:pt idx="0">
                  <c:v>Total</c:v>
                </c:pt>
              </c:strCache>
            </c:strRef>
          </c:tx>
          <c:spPr>
            <a:solidFill>
              <a:schemeClr val="accent1"/>
            </a:solidFill>
            <a:ln>
              <a:noFill/>
            </a:ln>
            <a:effectLst/>
          </c:spPr>
          <c:invertIfNegative val="0"/>
          <c:cat>
            <c:strRef>
              <c:f>Task_2.4!$C$13:$C$19</c:f>
              <c:strCache>
                <c:ptCount val="6"/>
                <c:pt idx="0">
                  <c:v>#AnytimeIsTeslaTime</c:v>
                </c:pt>
                <c:pt idx="1">
                  <c:v>#TeslaCoInnovation</c:v>
                </c:pt>
                <c:pt idx="2">
                  <c:v>#EVRevolution</c:v>
                </c:pt>
                <c:pt idx="3">
                  <c:v>#FutureOfDriving</c:v>
                </c:pt>
                <c:pt idx="4">
                  <c:v>#BetterWithTesla</c:v>
                </c:pt>
                <c:pt idx="5">
                  <c:v>#SmoothLikeNitroTesla</c:v>
                </c:pt>
              </c:strCache>
            </c:strRef>
          </c:cat>
          <c:val>
            <c:numRef>
              <c:f>Task_2.4!$D$13:$D$19</c:f>
              <c:numCache>
                <c:formatCode>0.0</c:formatCode>
                <c:ptCount val="6"/>
                <c:pt idx="0">
                  <c:v>161.19999999999999</c:v>
                </c:pt>
                <c:pt idx="1">
                  <c:v>158.65420560747663</c:v>
                </c:pt>
                <c:pt idx="2">
                  <c:v>151.52941176470588</c:v>
                </c:pt>
                <c:pt idx="3">
                  <c:v>144.03883495145632</c:v>
                </c:pt>
                <c:pt idx="4">
                  <c:v>114.85714285714286</c:v>
                </c:pt>
                <c:pt idx="5">
                  <c:v>111.8</c:v>
                </c:pt>
              </c:numCache>
            </c:numRef>
          </c:val>
          <c:extLst>
            <c:ext xmlns:c16="http://schemas.microsoft.com/office/drawing/2014/chart" uri="{C3380CC4-5D6E-409C-BE32-E72D297353CC}">
              <c16:uniqueId val="{00000000-936D-4D12-BD55-6F67AF244E14}"/>
            </c:ext>
          </c:extLst>
        </c:ser>
        <c:dLbls>
          <c:showLegendKey val="0"/>
          <c:showVal val="0"/>
          <c:showCatName val="0"/>
          <c:showSerName val="0"/>
          <c:showPercent val="0"/>
          <c:showBubbleSize val="0"/>
        </c:dLbls>
        <c:gapWidth val="182"/>
        <c:axId val="1772033424"/>
        <c:axId val="1772031984"/>
      </c:barChart>
      <c:catAx>
        <c:axId val="177203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1984"/>
        <c:crosses val="autoZero"/>
        <c:auto val="1"/>
        <c:lblAlgn val="ctr"/>
        <c:lblOffset val="100"/>
        <c:noMultiLvlLbl val="0"/>
      </c:catAx>
      <c:valAx>
        <c:axId val="177203198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[PROJECT(Tesla_Social_Media_Analysis).xlsx]Task_3.1!PivotTable1</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Platform</a:t>
            </a:r>
            <a:r>
              <a:rPr lang="en-US" sz="1800" b="1" baseline="0"/>
              <a:t> vs Engagement</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Task_3.1!$U$8</c:f>
              <c:strCache>
                <c:ptCount val="1"/>
                <c:pt idx="0">
                  <c:v>Total</c:v>
                </c:pt>
              </c:strCache>
            </c:strRef>
          </c:tx>
          <c:spPr>
            <a:solidFill>
              <a:schemeClr val="accent1"/>
            </a:solidFill>
            <a:ln>
              <a:noFill/>
            </a:ln>
            <a:effectLst/>
          </c:spPr>
          <c:invertIfNegative val="0"/>
          <c:cat>
            <c:strRef>
              <c:f>Task_3.1!$T$9:$T$13</c:f>
              <c:strCache>
                <c:ptCount val="4"/>
                <c:pt idx="0">
                  <c:v>Facebook</c:v>
                </c:pt>
                <c:pt idx="1">
                  <c:v>Instagram</c:v>
                </c:pt>
                <c:pt idx="2">
                  <c:v>Twitter</c:v>
                </c:pt>
                <c:pt idx="3">
                  <c:v>YouTube</c:v>
                </c:pt>
              </c:strCache>
            </c:strRef>
          </c:cat>
          <c:val>
            <c:numRef>
              <c:f>Task_3.1!$U$9:$U$13</c:f>
              <c:numCache>
                <c:formatCode>General</c:formatCode>
                <c:ptCount val="4"/>
                <c:pt idx="0">
                  <c:v>305242</c:v>
                </c:pt>
                <c:pt idx="1">
                  <c:v>263579</c:v>
                </c:pt>
                <c:pt idx="2">
                  <c:v>256005</c:v>
                </c:pt>
                <c:pt idx="3">
                  <c:v>212941</c:v>
                </c:pt>
              </c:numCache>
            </c:numRef>
          </c:val>
          <c:extLst>
            <c:ext xmlns:c16="http://schemas.microsoft.com/office/drawing/2014/chart" uri="{C3380CC4-5D6E-409C-BE32-E72D297353CC}">
              <c16:uniqueId val="{00000000-A820-458F-8F83-3099C9A2E386}"/>
            </c:ext>
          </c:extLst>
        </c:ser>
        <c:dLbls>
          <c:showLegendKey val="0"/>
          <c:showVal val="0"/>
          <c:showCatName val="0"/>
          <c:showSerName val="0"/>
          <c:showPercent val="0"/>
          <c:showBubbleSize val="0"/>
        </c:dLbls>
        <c:gapWidth val="219"/>
        <c:overlap val="-27"/>
        <c:axId val="984640576"/>
        <c:axId val="984668896"/>
      </c:barChart>
      <c:catAx>
        <c:axId val="98464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68896"/>
        <c:crosses val="autoZero"/>
        <c:auto val="1"/>
        <c:lblAlgn val="ctr"/>
        <c:lblOffset val="100"/>
        <c:noMultiLvlLbl val="0"/>
      </c:catAx>
      <c:valAx>
        <c:axId val="98466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4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[PROJECT(Tesla_Social_Media_Analysis).xlsx]Task_3.2!PivotTable1</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Follower</a:t>
            </a:r>
            <a:r>
              <a:rPr lang="en-US" sz="1600" b="1" baseline="0"/>
              <a:t> Growth vs Platform</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Task_3.2!$D$12</c:f>
              <c:strCache>
                <c:ptCount val="1"/>
                <c:pt idx="0">
                  <c:v>Total</c:v>
                </c:pt>
              </c:strCache>
            </c:strRef>
          </c:tx>
          <c:spPr>
            <a:solidFill>
              <a:schemeClr val="accent1"/>
            </a:solidFill>
            <a:ln>
              <a:noFill/>
            </a:ln>
            <a:effectLst/>
          </c:spPr>
          <c:invertIfNegative val="0"/>
          <c:cat>
            <c:strRef>
              <c:f>Task_3.2!$C$13:$C$16</c:f>
              <c:strCache>
                <c:ptCount val="4"/>
                <c:pt idx="0">
                  <c:v>Twitter</c:v>
                </c:pt>
                <c:pt idx="1">
                  <c:v>YouTube</c:v>
                </c:pt>
                <c:pt idx="2">
                  <c:v>Instagram</c:v>
                </c:pt>
                <c:pt idx="3">
                  <c:v>Facebook</c:v>
                </c:pt>
              </c:strCache>
            </c:strRef>
          </c:cat>
          <c:val>
            <c:numRef>
              <c:f>Task_3.2!$D$13:$D$16</c:f>
              <c:numCache>
                <c:formatCode>0.00%</c:formatCode>
                <c:ptCount val="4"/>
                <c:pt idx="0">
                  <c:v>9.2800256766213396E-3</c:v>
                </c:pt>
                <c:pt idx="1">
                  <c:v>9.021066631336009E-3</c:v>
                </c:pt>
                <c:pt idx="2">
                  <c:v>5.7625321264951823E-3</c:v>
                </c:pt>
                <c:pt idx="3">
                  <c:v>5.4649906832972654E-3</c:v>
                </c:pt>
              </c:numCache>
            </c:numRef>
          </c:val>
          <c:extLst>
            <c:ext xmlns:c16="http://schemas.microsoft.com/office/drawing/2014/chart" uri="{C3380CC4-5D6E-409C-BE32-E72D297353CC}">
              <c16:uniqueId val="{00000000-D781-4E50-8A24-EC969B7E6BB3}"/>
            </c:ext>
          </c:extLst>
        </c:ser>
        <c:dLbls>
          <c:showLegendKey val="0"/>
          <c:showVal val="0"/>
          <c:showCatName val="0"/>
          <c:showSerName val="0"/>
          <c:showPercent val="0"/>
          <c:showBubbleSize val="0"/>
        </c:dLbls>
        <c:gapWidth val="219"/>
        <c:overlap val="-27"/>
        <c:axId val="857692144"/>
        <c:axId val="857692624"/>
      </c:barChart>
      <c:catAx>
        <c:axId val="8576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92624"/>
        <c:crosses val="autoZero"/>
        <c:auto val="1"/>
        <c:lblAlgn val="ctr"/>
        <c:lblOffset val="100"/>
        <c:noMultiLvlLbl val="0"/>
      </c:catAx>
      <c:valAx>
        <c:axId val="857692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9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[PROJECT(Tesla_Social_Media_Analysis).xlsx]Task_3.3!PivotTable2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Task_3.3!$D$11</c:f>
              <c:strCache>
                <c:ptCount val="1"/>
                <c:pt idx="0">
                  <c:v>Sum of Ad_Spend</c:v>
                </c:pt>
              </c:strCache>
            </c:strRef>
          </c:tx>
          <c:spPr>
            <a:solidFill>
              <a:schemeClr val="accent1"/>
            </a:solidFill>
            <a:ln>
              <a:noFill/>
            </a:ln>
            <a:effectLst/>
          </c:spPr>
          <c:invertIfNegative val="0"/>
          <c:cat>
            <c:strRef>
              <c:f>Task_3.3!$C$12:$C$15</c:f>
              <c:strCache>
                <c:ptCount val="4"/>
                <c:pt idx="0">
                  <c:v>Facebook</c:v>
                </c:pt>
                <c:pt idx="1">
                  <c:v>Instagram</c:v>
                </c:pt>
                <c:pt idx="2">
                  <c:v>Twitter</c:v>
                </c:pt>
                <c:pt idx="3">
                  <c:v>YouTube</c:v>
                </c:pt>
              </c:strCache>
            </c:strRef>
          </c:cat>
          <c:val>
            <c:numRef>
              <c:f>Task_3.3!$D$12:$D$15</c:f>
              <c:numCache>
                <c:formatCode>General</c:formatCode>
                <c:ptCount val="4"/>
                <c:pt idx="0">
                  <c:v>1379539</c:v>
                </c:pt>
                <c:pt idx="1">
                  <c:v>1164373</c:v>
                </c:pt>
                <c:pt idx="2">
                  <c:v>1060357</c:v>
                </c:pt>
                <c:pt idx="3">
                  <c:v>1228647</c:v>
                </c:pt>
              </c:numCache>
            </c:numRef>
          </c:val>
          <c:extLst>
            <c:ext xmlns:c16="http://schemas.microsoft.com/office/drawing/2014/chart" uri="{C3380CC4-5D6E-409C-BE32-E72D297353CC}">
              <c16:uniqueId val="{00000000-A87C-4EC1-ABCE-3A49464A5456}"/>
            </c:ext>
          </c:extLst>
        </c:ser>
        <c:dLbls>
          <c:showLegendKey val="0"/>
          <c:showVal val="0"/>
          <c:showCatName val="0"/>
          <c:showSerName val="0"/>
          <c:showPercent val="0"/>
          <c:showBubbleSize val="0"/>
        </c:dLbls>
        <c:gapWidth val="219"/>
        <c:axId val="1862281344"/>
        <c:axId val="1862281824"/>
      </c:barChart>
      <c:lineChart>
        <c:grouping val="standard"/>
        <c:varyColors val="0"/>
        <c:ser>
          <c:idx val="1"/>
          <c:order val="1"/>
          <c:tx>
            <c:strRef>
              <c:f>Task_3.3!$E$11</c:f>
              <c:strCache>
                <c:ptCount val="1"/>
                <c:pt idx="0">
                  <c:v>Average of Engagement_Rate</c:v>
                </c:pt>
              </c:strCache>
            </c:strRef>
          </c:tx>
          <c:spPr>
            <a:ln w="28575" cap="rnd">
              <a:solidFill>
                <a:schemeClr val="accent2"/>
              </a:solidFill>
              <a:round/>
            </a:ln>
            <a:effectLst/>
          </c:spPr>
          <c:marker>
            <c:symbol val="none"/>
          </c:marker>
          <c:cat>
            <c:strRef>
              <c:f>Task_3.3!$C$12:$C$15</c:f>
              <c:strCache>
                <c:ptCount val="4"/>
                <c:pt idx="0">
                  <c:v>Facebook</c:v>
                </c:pt>
                <c:pt idx="1">
                  <c:v>Instagram</c:v>
                </c:pt>
                <c:pt idx="2">
                  <c:v>Twitter</c:v>
                </c:pt>
                <c:pt idx="3">
                  <c:v>YouTube</c:v>
                </c:pt>
              </c:strCache>
            </c:strRef>
          </c:cat>
          <c:val>
            <c:numRef>
              <c:f>Task_3.3!$E$12:$E$15</c:f>
              <c:numCache>
                <c:formatCode>General</c:formatCode>
                <c:ptCount val="4"/>
                <c:pt idx="0">
                  <c:v>5.6486000000000001</c:v>
                </c:pt>
                <c:pt idx="1">
                  <c:v>5.7156000000000002</c:v>
                </c:pt>
                <c:pt idx="2">
                  <c:v>5.6558000000000002</c:v>
                </c:pt>
                <c:pt idx="3">
                  <c:v>5.5587999999999997</c:v>
                </c:pt>
              </c:numCache>
            </c:numRef>
          </c:val>
          <c:smooth val="0"/>
          <c:extLst>
            <c:ext xmlns:c16="http://schemas.microsoft.com/office/drawing/2014/chart" uri="{C3380CC4-5D6E-409C-BE32-E72D297353CC}">
              <c16:uniqueId val="{00000001-A87C-4EC1-ABCE-3A49464A5456}"/>
            </c:ext>
          </c:extLst>
        </c:ser>
        <c:dLbls>
          <c:showLegendKey val="0"/>
          <c:showVal val="0"/>
          <c:showCatName val="0"/>
          <c:showSerName val="0"/>
          <c:showPercent val="0"/>
          <c:showBubbleSize val="0"/>
        </c:dLbls>
        <c:marker val="1"/>
        <c:smooth val="0"/>
        <c:axId val="1734209232"/>
        <c:axId val="1734197232"/>
      </c:lineChart>
      <c:catAx>
        <c:axId val="18622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81824"/>
        <c:crosses val="autoZero"/>
        <c:auto val="1"/>
        <c:lblAlgn val="ctr"/>
        <c:lblOffset val="100"/>
        <c:noMultiLvlLbl val="0"/>
      </c:catAx>
      <c:valAx>
        <c:axId val="186228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81344"/>
        <c:crosses val="autoZero"/>
        <c:crossBetween val="between"/>
      </c:valAx>
      <c:valAx>
        <c:axId val="17341972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209232"/>
        <c:crosses val="max"/>
        <c:crossBetween val="between"/>
      </c:valAx>
      <c:catAx>
        <c:axId val="1734209232"/>
        <c:scaling>
          <c:orientation val="minMax"/>
        </c:scaling>
        <c:delete val="1"/>
        <c:axPos val="b"/>
        <c:numFmt formatCode="General" sourceLinked="1"/>
        <c:majorTickMark val="out"/>
        <c:minorTickMark val="none"/>
        <c:tickLblPos val="nextTo"/>
        <c:crossAx val="17341972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[PROJECT(Tesla_Social_Media_Analysis).xlsx]Task_4.1!PivotTable3</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Engagement rate by Campaign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Task_4.1!$D$13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Task_4.1!$C$14:$C$17</c:f>
              <c:strCache>
                <c:ptCount val="4"/>
                <c:pt idx="0">
                  <c:v>SustainabilityDrive</c:v>
                </c:pt>
                <c:pt idx="1">
                  <c:v>FSDUpdate</c:v>
                </c:pt>
                <c:pt idx="2">
                  <c:v>ModelYCampaign</c:v>
                </c:pt>
                <c:pt idx="3">
                  <c:v>CybertruckLaunch</c:v>
                </c:pt>
              </c:strCache>
            </c:strRef>
          </c:cat>
          <c:val>
            <c:numRef>
              <c:f>Task_4.1!$D$14:$D$17</c:f>
              <c:numCache>
                <c:formatCode>0.0000</c:formatCode>
                <c:ptCount val="4"/>
                <c:pt idx="0">
                  <c:v>0.15203855581054102</c:v>
                </c:pt>
                <c:pt idx="1">
                  <c:v>0.14399918848283899</c:v>
                </c:pt>
                <c:pt idx="2">
                  <c:v>0.14125279041043609</c:v>
                </c:pt>
                <c:pt idx="3">
                  <c:v>0.12925933904631151</c:v>
                </c:pt>
              </c:numCache>
            </c:numRef>
          </c:val>
          <c:extLst>
            <c:ext xmlns:c16="http://schemas.microsoft.com/office/drawing/2014/chart" uri="{C3380CC4-5D6E-409C-BE32-E72D297353CC}">
              <c16:uniqueId val="{00000000-F43D-4124-B492-E4741872988C}"/>
            </c:ext>
          </c:extLst>
        </c:ser>
        <c:dLbls>
          <c:dLblPos val="outEnd"/>
          <c:showLegendKey val="0"/>
          <c:showVal val="1"/>
          <c:showCatName val="0"/>
          <c:showSerName val="0"/>
          <c:showPercent val="0"/>
          <c:showBubbleSize val="0"/>
        </c:dLbls>
        <c:gapWidth val="219"/>
        <c:overlap val="-27"/>
        <c:axId val="1734191472"/>
        <c:axId val="1734191952"/>
      </c:barChart>
      <c:catAx>
        <c:axId val="173419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91952"/>
        <c:crosses val="autoZero"/>
        <c:auto val="1"/>
        <c:lblAlgn val="ctr"/>
        <c:lblOffset val="100"/>
        <c:noMultiLvlLbl val="0"/>
      </c:catAx>
      <c:valAx>
        <c:axId val="173419195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9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[PROJECT(Tesla_Social_Media_Analysis).xlsx]Task_4.2!PivotTable5</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Engagement rate by Hashtags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7040307710540167"/>
          <c:y val="0.21897195646243148"/>
          <c:w val="0.45029174640022585"/>
          <c:h val="0.78102804353756861"/>
        </c:manualLayout>
      </c:layout>
      <c:doughnutChart>
        <c:varyColors val="1"/>
        <c:ser>
          <c:idx val="0"/>
          <c:order val="0"/>
          <c:tx>
            <c:strRef>
              <c:f>Task_4.2!$C$9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481-432F-86B8-B616A174E8C5}"/>
              </c:ext>
            </c:extLst>
          </c:dPt>
          <c:dPt>
            <c:idx val="1"/>
            <c:bubble3D val="0"/>
            <c:spPr>
              <a:solidFill>
                <a:schemeClr val="accent2"/>
              </a:solidFill>
              <a:ln>
                <a:noFill/>
              </a:ln>
              <a:effectLst/>
            </c:spPr>
            <c:extLst>
              <c:ext xmlns:c16="http://schemas.microsoft.com/office/drawing/2014/chart" uri="{C3380CC4-5D6E-409C-BE32-E72D297353CC}">
                <c16:uniqueId val="{00000003-E481-432F-86B8-B616A174E8C5}"/>
              </c:ext>
            </c:extLst>
          </c:dPt>
          <c:dPt>
            <c:idx val="2"/>
            <c:bubble3D val="0"/>
            <c:spPr>
              <a:solidFill>
                <a:schemeClr val="accent3"/>
              </a:solidFill>
              <a:ln>
                <a:noFill/>
              </a:ln>
              <a:effectLst/>
            </c:spPr>
            <c:extLst>
              <c:ext xmlns:c16="http://schemas.microsoft.com/office/drawing/2014/chart" uri="{C3380CC4-5D6E-409C-BE32-E72D297353CC}">
                <c16:uniqueId val="{00000005-E481-432F-86B8-B616A174E8C5}"/>
              </c:ext>
            </c:extLst>
          </c:dPt>
          <c:dPt>
            <c:idx val="3"/>
            <c:bubble3D val="0"/>
            <c:spPr>
              <a:solidFill>
                <a:schemeClr val="accent4"/>
              </a:solidFill>
              <a:ln>
                <a:noFill/>
              </a:ln>
              <a:effectLst/>
            </c:spPr>
            <c:extLst>
              <c:ext xmlns:c16="http://schemas.microsoft.com/office/drawing/2014/chart" uri="{C3380CC4-5D6E-409C-BE32-E72D297353CC}">
                <c16:uniqueId val="{00000007-E481-432F-86B8-B616A174E8C5}"/>
              </c:ext>
            </c:extLst>
          </c:dPt>
          <c:dPt>
            <c:idx val="4"/>
            <c:bubble3D val="0"/>
            <c:spPr>
              <a:solidFill>
                <a:schemeClr val="accent5"/>
              </a:solidFill>
              <a:ln>
                <a:noFill/>
              </a:ln>
              <a:effectLst/>
            </c:spPr>
            <c:extLst>
              <c:ext xmlns:c16="http://schemas.microsoft.com/office/drawing/2014/chart" uri="{C3380CC4-5D6E-409C-BE32-E72D297353CC}">
                <c16:uniqueId val="{00000009-E481-432F-86B8-B616A174E8C5}"/>
              </c:ext>
            </c:extLst>
          </c:dPt>
          <c:dPt>
            <c:idx val="5"/>
            <c:bubble3D val="0"/>
            <c:spPr>
              <a:solidFill>
                <a:schemeClr val="accent6"/>
              </a:solidFill>
              <a:ln>
                <a:noFill/>
              </a:ln>
              <a:effectLst/>
            </c:spPr>
            <c:extLst>
              <c:ext xmlns:c16="http://schemas.microsoft.com/office/drawing/2014/chart" uri="{C3380CC4-5D6E-409C-BE32-E72D297353CC}">
                <c16:uniqueId val="{0000000B-E481-432F-86B8-B616A174E8C5}"/>
              </c:ext>
            </c:extLst>
          </c:dPt>
          <c:dLbls>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Task_4.2!$B$10:$B$14</c:f>
              <c:strCache>
                <c:ptCount val="5"/>
                <c:pt idx="0">
                  <c:v>#TeslaCoInnovation</c:v>
                </c:pt>
                <c:pt idx="1">
                  <c:v>#FutureOfDriving</c:v>
                </c:pt>
                <c:pt idx="2">
                  <c:v>#BetterWithTesla</c:v>
                </c:pt>
                <c:pt idx="3">
                  <c:v>#SmoothLikeNitroTesla</c:v>
                </c:pt>
                <c:pt idx="4">
                  <c:v>#AnytimeIsTeslaTime</c:v>
                </c:pt>
              </c:strCache>
            </c:strRef>
          </c:cat>
          <c:val>
            <c:numRef>
              <c:f>Task_4.2!$C$10:$C$14</c:f>
              <c:numCache>
                <c:formatCode>0.0%</c:formatCode>
                <c:ptCount val="5"/>
                <c:pt idx="0">
                  <c:v>0.14471339381780796</c:v>
                </c:pt>
                <c:pt idx="1">
                  <c:v>0.13857976961822341</c:v>
                </c:pt>
                <c:pt idx="2">
                  <c:v>0.13494405008865157</c:v>
                </c:pt>
                <c:pt idx="3">
                  <c:v>0.11566320297628388</c:v>
                </c:pt>
                <c:pt idx="4">
                  <c:v>0.11063720939078141</c:v>
                </c:pt>
              </c:numCache>
            </c:numRef>
          </c:val>
          <c:extLst>
            <c:ext xmlns:c16="http://schemas.microsoft.com/office/drawing/2014/chart" uri="{C3380CC4-5D6E-409C-BE32-E72D297353CC}">
              <c16:uniqueId val="{00000000-7D77-47A0-A517-68B2BB0688B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[PROJECT(Tesla_Social_Media_Analysis).xlsx]Task_4.3!PivotTable6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Average Engagement Rate by Content Type</a:t>
            </a:r>
          </a:p>
          <a:p>
            <a:pPr>
              <a:defRPr/>
            </a:pPr>
            <a:r>
              <a:rPr lang="en-US" sz="1400" b="1" i="0" u="none" strike="noStrike" kern="1200" spc="0" baseline="0">
                <a:solidFill>
                  <a:sysClr val="windowText" lastClr="000000">
                    <a:lumMod val="65000"/>
                    <a:lumOff val="35000"/>
                  </a:sysClr>
                </a:solidFill>
              </a:rPr>
              <a:t>(Video vs Image vs  Carousel)</a:t>
            </a:r>
          </a:p>
          <a:p>
            <a:pPr>
              <a:defRPr/>
            </a:pPr>
            <a:endParaRPr lang="en-US"/>
          </a:p>
        </c:rich>
      </c:tx>
      <c:layout>
        <c:manualLayout>
          <c:xMode val="edge"/>
          <c:yMode val="edge"/>
          <c:x val="0.25090110396505783"/>
          <c:y val="3.78171986042347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7339731388538263"/>
          <c:y val="0.21268368136117555"/>
          <c:w val="0.37580944080463224"/>
          <c:h val="0.68535085956482822"/>
        </c:manualLayout>
      </c:layout>
      <c:pieChart>
        <c:varyColors val="1"/>
        <c:ser>
          <c:idx val="0"/>
          <c:order val="0"/>
          <c:tx>
            <c:strRef>
              <c:f>Task_4.3!$D$12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B6-4832-89B3-908E0B98D7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B6-4832-89B3-908E0B98D7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B6-4832-89B3-908E0B98D7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DE-49D3-8748-0AE8607D38B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Task_4.3!$C$13:$C$16</c:f>
              <c:strCache>
                <c:ptCount val="4"/>
                <c:pt idx="0">
                  <c:v>Carousel</c:v>
                </c:pt>
                <c:pt idx="1">
                  <c:v>Video</c:v>
                </c:pt>
                <c:pt idx="2">
                  <c:v>Image</c:v>
                </c:pt>
                <c:pt idx="3">
                  <c:v>Text</c:v>
                </c:pt>
              </c:strCache>
            </c:strRef>
          </c:cat>
          <c:val>
            <c:numRef>
              <c:f>Task_4.3!$D$13:$D$16</c:f>
              <c:numCache>
                <c:formatCode>0.0%</c:formatCode>
                <c:ptCount val="4"/>
                <c:pt idx="0">
                  <c:v>0.15130647394700394</c:v>
                </c:pt>
                <c:pt idx="1">
                  <c:v>0.14171390230700856</c:v>
                </c:pt>
                <c:pt idx="2">
                  <c:v>0.14055105527506045</c:v>
                </c:pt>
                <c:pt idx="3">
                  <c:v>0.11493409110463296</c:v>
                </c:pt>
              </c:numCache>
            </c:numRef>
          </c:val>
          <c:extLst>
            <c:ext xmlns:c16="http://schemas.microsoft.com/office/drawing/2014/chart" uri="{C3380CC4-5D6E-409C-BE32-E72D297353CC}">
              <c16:uniqueId val="{00000000-6F49-4EE3-B0FA-46B48E93E3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[PROJECT(Tesla_Social_Media_Analysis).xlsx]Task_5.1!PivotTable9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274656241740276E-2"/>
          <c:y val="0.13956753429536722"/>
          <c:w val="0.71009761074947597"/>
          <c:h val="0.47867929552284227"/>
        </c:manualLayout>
      </c:layout>
      <c:bar3DChart>
        <c:barDir val="col"/>
        <c:grouping val="clustered"/>
        <c:varyColors val="0"/>
        <c:ser>
          <c:idx val="0"/>
          <c:order val="0"/>
          <c:tx>
            <c:strRef>
              <c:f>Task_5.1!$B$8</c:f>
              <c:strCache>
                <c:ptCount val="1"/>
                <c:pt idx="0">
                  <c:v>Sum of Impressions</c:v>
                </c:pt>
              </c:strCache>
            </c:strRef>
          </c:tx>
          <c:spPr>
            <a:solidFill>
              <a:schemeClr val="accent1"/>
            </a:solidFill>
            <a:ln>
              <a:noFill/>
            </a:ln>
            <a:effectLst/>
            <a:sp3d/>
          </c:spPr>
          <c:invertIfNegative val="0"/>
          <c:cat>
            <c:strRef>
              <c:f>Task_5.1!$A$9:$A$12</c:f>
              <c:strCache>
                <c:ptCount val="4"/>
                <c:pt idx="0">
                  <c:v>CybertruckLaunch</c:v>
                </c:pt>
                <c:pt idx="1">
                  <c:v>FSDUpdate</c:v>
                </c:pt>
                <c:pt idx="2">
                  <c:v>ModelYCampaign</c:v>
                </c:pt>
                <c:pt idx="3">
                  <c:v>SustainabilityDrive</c:v>
                </c:pt>
              </c:strCache>
            </c:strRef>
          </c:cat>
          <c:val>
            <c:numRef>
              <c:f>Task_5.1!$B$9:$B$12</c:f>
              <c:numCache>
                <c:formatCode>General</c:formatCode>
                <c:ptCount val="4"/>
                <c:pt idx="0">
                  <c:v>1846272</c:v>
                </c:pt>
                <c:pt idx="1">
                  <c:v>2266053</c:v>
                </c:pt>
                <c:pt idx="2">
                  <c:v>1986356</c:v>
                </c:pt>
                <c:pt idx="3">
                  <c:v>2464864</c:v>
                </c:pt>
              </c:numCache>
            </c:numRef>
          </c:val>
          <c:extLst>
            <c:ext xmlns:c16="http://schemas.microsoft.com/office/drawing/2014/chart" uri="{C3380CC4-5D6E-409C-BE32-E72D297353CC}">
              <c16:uniqueId val="{00000000-21CA-4831-9573-4E0464052679}"/>
            </c:ext>
          </c:extLst>
        </c:ser>
        <c:ser>
          <c:idx val="1"/>
          <c:order val="1"/>
          <c:tx>
            <c:strRef>
              <c:f>Task_5.1!$C$8</c:f>
              <c:strCache>
                <c:ptCount val="1"/>
                <c:pt idx="0">
                  <c:v>Average of Impressions</c:v>
                </c:pt>
              </c:strCache>
            </c:strRef>
          </c:tx>
          <c:spPr>
            <a:solidFill>
              <a:schemeClr val="accent2"/>
            </a:solidFill>
            <a:ln>
              <a:noFill/>
            </a:ln>
            <a:effectLst/>
            <a:sp3d/>
          </c:spPr>
          <c:invertIfNegative val="0"/>
          <c:cat>
            <c:strRef>
              <c:f>Task_5.1!$A$9:$A$12</c:f>
              <c:strCache>
                <c:ptCount val="4"/>
                <c:pt idx="0">
                  <c:v>CybertruckLaunch</c:v>
                </c:pt>
                <c:pt idx="1">
                  <c:v>FSDUpdate</c:v>
                </c:pt>
                <c:pt idx="2">
                  <c:v>ModelYCampaign</c:v>
                </c:pt>
                <c:pt idx="3">
                  <c:v>SustainabilityDrive</c:v>
                </c:pt>
              </c:strCache>
            </c:strRef>
          </c:cat>
          <c:val>
            <c:numRef>
              <c:f>Task_5.1!$C$9:$C$12</c:f>
              <c:numCache>
                <c:formatCode>0.0</c:formatCode>
                <c:ptCount val="4"/>
                <c:pt idx="0">
                  <c:v>38464</c:v>
                </c:pt>
                <c:pt idx="1">
                  <c:v>33821.686567164179</c:v>
                </c:pt>
                <c:pt idx="2">
                  <c:v>34247.517241379312</c:v>
                </c:pt>
                <c:pt idx="3">
                  <c:v>34716.394366197186</c:v>
                </c:pt>
              </c:numCache>
            </c:numRef>
          </c:val>
          <c:extLst>
            <c:ext xmlns:c16="http://schemas.microsoft.com/office/drawing/2014/chart" uri="{C3380CC4-5D6E-409C-BE32-E72D297353CC}">
              <c16:uniqueId val="{00000001-21CA-4831-9573-4E0464052679}"/>
            </c:ext>
          </c:extLst>
        </c:ser>
        <c:ser>
          <c:idx val="2"/>
          <c:order val="2"/>
          <c:tx>
            <c:strRef>
              <c:f>Task_5.1!$D$8</c:f>
              <c:strCache>
                <c:ptCount val="1"/>
                <c:pt idx="0">
                  <c:v>Sum of Likes</c:v>
                </c:pt>
              </c:strCache>
            </c:strRef>
          </c:tx>
          <c:spPr>
            <a:solidFill>
              <a:schemeClr val="accent3"/>
            </a:solidFill>
            <a:ln>
              <a:noFill/>
            </a:ln>
            <a:effectLst/>
            <a:sp3d/>
          </c:spPr>
          <c:invertIfNegative val="0"/>
          <c:cat>
            <c:strRef>
              <c:f>Task_5.1!$A$9:$A$12</c:f>
              <c:strCache>
                <c:ptCount val="4"/>
                <c:pt idx="0">
                  <c:v>CybertruckLaunch</c:v>
                </c:pt>
                <c:pt idx="1">
                  <c:v>FSDUpdate</c:v>
                </c:pt>
                <c:pt idx="2">
                  <c:v>ModelYCampaign</c:v>
                </c:pt>
                <c:pt idx="3">
                  <c:v>SustainabilityDrive</c:v>
                </c:pt>
              </c:strCache>
            </c:strRef>
          </c:cat>
          <c:val>
            <c:numRef>
              <c:f>Task_5.1!$D$9:$D$12</c:f>
              <c:numCache>
                <c:formatCode>General</c:formatCode>
                <c:ptCount val="4"/>
                <c:pt idx="0">
                  <c:v>138793</c:v>
                </c:pt>
                <c:pt idx="1">
                  <c:v>183346</c:v>
                </c:pt>
                <c:pt idx="2">
                  <c:v>159783</c:v>
                </c:pt>
                <c:pt idx="3">
                  <c:v>187909</c:v>
                </c:pt>
              </c:numCache>
            </c:numRef>
          </c:val>
          <c:extLst>
            <c:ext xmlns:c16="http://schemas.microsoft.com/office/drawing/2014/chart" uri="{C3380CC4-5D6E-409C-BE32-E72D297353CC}">
              <c16:uniqueId val="{00000002-21CA-4831-9573-4E0464052679}"/>
            </c:ext>
          </c:extLst>
        </c:ser>
        <c:ser>
          <c:idx val="3"/>
          <c:order val="3"/>
          <c:tx>
            <c:strRef>
              <c:f>Task_5.1!$E$8</c:f>
              <c:strCache>
                <c:ptCount val="1"/>
                <c:pt idx="0">
                  <c:v>Average of Likes</c:v>
                </c:pt>
              </c:strCache>
            </c:strRef>
          </c:tx>
          <c:spPr>
            <a:solidFill>
              <a:schemeClr val="accent4"/>
            </a:solidFill>
            <a:ln>
              <a:noFill/>
            </a:ln>
            <a:effectLst/>
            <a:sp3d/>
          </c:spPr>
          <c:invertIfNegative val="0"/>
          <c:cat>
            <c:strRef>
              <c:f>Task_5.1!$A$9:$A$12</c:f>
              <c:strCache>
                <c:ptCount val="4"/>
                <c:pt idx="0">
                  <c:v>CybertruckLaunch</c:v>
                </c:pt>
                <c:pt idx="1">
                  <c:v>FSDUpdate</c:v>
                </c:pt>
                <c:pt idx="2">
                  <c:v>ModelYCampaign</c:v>
                </c:pt>
                <c:pt idx="3">
                  <c:v>SustainabilityDrive</c:v>
                </c:pt>
              </c:strCache>
            </c:strRef>
          </c:cat>
          <c:val>
            <c:numRef>
              <c:f>Task_5.1!$E$9:$E$12</c:f>
              <c:numCache>
                <c:formatCode>0.00</c:formatCode>
                <c:ptCount val="4"/>
                <c:pt idx="0">
                  <c:v>2891.5208333333335</c:v>
                </c:pt>
                <c:pt idx="1">
                  <c:v>2736.5074626865671</c:v>
                </c:pt>
                <c:pt idx="2">
                  <c:v>2754.8793103448274</c:v>
                </c:pt>
                <c:pt idx="3">
                  <c:v>2646.605633802817</c:v>
                </c:pt>
              </c:numCache>
            </c:numRef>
          </c:val>
          <c:extLst>
            <c:ext xmlns:c16="http://schemas.microsoft.com/office/drawing/2014/chart" uri="{C3380CC4-5D6E-409C-BE32-E72D297353CC}">
              <c16:uniqueId val="{00000003-21CA-4831-9573-4E0464052679}"/>
            </c:ext>
          </c:extLst>
        </c:ser>
        <c:ser>
          <c:idx val="4"/>
          <c:order val="4"/>
          <c:tx>
            <c:strRef>
              <c:f>Task_5.1!$F$8</c:f>
              <c:strCache>
                <c:ptCount val="1"/>
                <c:pt idx="0">
                  <c:v>Sum of Clicks</c:v>
                </c:pt>
              </c:strCache>
            </c:strRef>
          </c:tx>
          <c:spPr>
            <a:solidFill>
              <a:schemeClr val="accent5"/>
            </a:solidFill>
            <a:ln>
              <a:noFill/>
            </a:ln>
            <a:effectLst/>
            <a:sp3d/>
          </c:spPr>
          <c:invertIfNegative val="0"/>
          <c:cat>
            <c:strRef>
              <c:f>Task_5.1!$A$9:$A$12</c:f>
              <c:strCache>
                <c:ptCount val="4"/>
                <c:pt idx="0">
                  <c:v>CybertruckLaunch</c:v>
                </c:pt>
                <c:pt idx="1">
                  <c:v>FSDUpdate</c:v>
                </c:pt>
                <c:pt idx="2">
                  <c:v>ModelYCampaign</c:v>
                </c:pt>
                <c:pt idx="3">
                  <c:v>SustainabilityDrive</c:v>
                </c:pt>
              </c:strCache>
            </c:strRef>
          </c:cat>
          <c:val>
            <c:numRef>
              <c:f>Task_5.1!$F$9:$F$12</c:f>
              <c:numCache>
                <c:formatCode>General</c:formatCode>
                <c:ptCount val="4"/>
                <c:pt idx="0">
                  <c:v>6434</c:v>
                </c:pt>
                <c:pt idx="1">
                  <c:v>10032</c:v>
                </c:pt>
                <c:pt idx="2">
                  <c:v>9872</c:v>
                </c:pt>
                <c:pt idx="3">
                  <c:v>10689</c:v>
                </c:pt>
              </c:numCache>
            </c:numRef>
          </c:val>
          <c:extLst>
            <c:ext xmlns:c16="http://schemas.microsoft.com/office/drawing/2014/chart" uri="{C3380CC4-5D6E-409C-BE32-E72D297353CC}">
              <c16:uniqueId val="{00000004-21CA-4831-9573-4E0464052679}"/>
            </c:ext>
          </c:extLst>
        </c:ser>
        <c:ser>
          <c:idx val="5"/>
          <c:order val="5"/>
          <c:tx>
            <c:strRef>
              <c:f>Task_5.1!$G$8</c:f>
              <c:strCache>
                <c:ptCount val="1"/>
                <c:pt idx="0">
                  <c:v>Average of Clicks2</c:v>
                </c:pt>
              </c:strCache>
            </c:strRef>
          </c:tx>
          <c:spPr>
            <a:solidFill>
              <a:schemeClr val="accent6"/>
            </a:solidFill>
            <a:ln>
              <a:noFill/>
            </a:ln>
            <a:effectLst/>
            <a:sp3d/>
          </c:spPr>
          <c:invertIfNegative val="0"/>
          <c:cat>
            <c:strRef>
              <c:f>Task_5.1!$A$9:$A$12</c:f>
              <c:strCache>
                <c:ptCount val="4"/>
                <c:pt idx="0">
                  <c:v>CybertruckLaunch</c:v>
                </c:pt>
                <c:pt idx="1">
                  <c:v>FSDUpdate</c:v>
                </c:pt>
                <c:pt idx="2">
                  <c:v>ModelYCampaign</c:v>
                </c:pt>
                <c:pt idx="3">
                  <c:v>SustainabilityDrive</c:v>
                </c:pt>
              </c:strCache>
            </c:strRef>
          </c:cat>
          <c:val>
            <c:numRef>
              <c:f>Task_5.1!$G$9:$G$12</c:f>
              <c:numCache>
                <c:formatCode>0.00</c:formatCode>
                <c:ptCount val="4"/>
                <c:pt idx="0">
                  <c:v>134.04166666666666</c:v>
                </c:pt>
                <c:pt idx="1">
                  <c:v>149.73134328358208</c:v>
                </c:pt>
                <c:pt idx="2">
                  <c:v>170.20689655172413</c:v>
                </c:pt>
                <c:pt idx="3">
                  <c:v>150.54929577464787</c:v>
                </c:pt>
              </c:numCache>
            </c:numRef>
          </c:val>
          <c:extLst>
            <c:ext xmlns:c16="http://schemas.microsoft.com/office/drawing/2014/chart" uri="{C3380CC4-5D6E-409C-BE32-E72D297353CC}">
              <c16:uniqueId val="{00000005-21CA-4831-9573-4E0464052679}"/>
            </c:ext>
          </c:extLst>
        </c:ser>
        <c:dLbls>
          <c:showLegendKey val="0"/>
          <c:showVal val="0"/>
          <c:showCatName val="0"/>
          <c:showSerName val="0"/>
          <c:showPercent val="0"/>
          <c:showBubbleSize val="0"/>
        </c:dLbls>
        <c:gapWidth val="219"/>
        <c:shape val="box"/>
        <c:axId val="1685113840"/>
        <c:axId val="1685130640"/>
        <c:axId val="0"/>
      </c:bar3DChart>
      <c:catAx>
        <c:axId val="168511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30640"/>
        <c:crosses val="autoZero"/>
        <c:auto val="1"/>
        <c:lblAlgn val="ctr"/>
        <c:lblOffset val="100"/>
        <c:noMultiLvlLbl val="0"/>
      </c:catAx>
      <c:valAx>
        <c:axId val="168513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13840"/>
        <c:crosses val="autoZero"/>
        <c:crossBetween val="between"/>
      </c:valAx>
      <c:spPr>
        <a:noFill/>
        <a:ln>
          <a:noFill/>
        </a:ln>
        <a:effectLst/>
      </c:spPr>
    </c:plotArea>
    <c:legend>
      <c:legendPos val="r"/>
      <c:layout>
        <c:manualLayout>
          <c:xMode val="edge"/>
          <c:yMode val="edge"/>
          <c:x val="0.81113026855249648"/>
          <c:y val="0.24576127588794483"/>
          <c:w val="0.17716012957396718"/>
          <c:h val="0.653404638649417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[PROJECT(Tesla_Social_Media_Analysis).xlsx]Task_5.2!PivotTable10</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Campaign</a:t>
            </a:r>
            <a:r>
              <a:rPr lang="en-IN" sz="1600" b="1" baseline="0"/>
              <a:t> vs Period(Before and During)</a:t>
            </a:r>
            <a:endParaRPr lang="en-IN" sz="1600" b="1"/>
          </a:p>
        </c:rich>
      </c:tx>
      <c:layout>
        <c:manualLayout>
          <c:xMode val="edge"/>
          <c:yMode val="edge"/>
          <c:x val="0.26581423192494841"/>
          <c:y val="4.100430842371119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Task_5.2!$D$14:$D$15</c:f>
              <c:strCache>
                <c:ptCount val="1"/>
                <c:pt idx="0">
                  <c:v>Before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Task_5.2!$C$16:$C$19</c:f>
              <c:strCache>
                <c:ptCount val="4"/>
                <c:pt idx="0">
                  <c:v>CybertruckLaunch</c:v>
                </c:pt>
                <c:pt idx="1">
                  <c:v>FSDUpdate</c:v>
                </c:pt>
                <c:pt idx="2">
                  <c:v>ModelYCampaign</c:v>
                </c:pt>
                <c:pt idx="3">
                  <c:v>SustainabilityDrive</c:v>
                </c:pt>
              </c:strCache>
            </c:strRef>
          </c:cat>
          <c:val>
            <c:numRef>
              <c:f>Task_5.2!$D$16:$D$19</c:f>
              <c:numCache>
                <c:formatCode>0.0000</c:formatCode>
                <c:ptCount val="4"/>
                <c:pt idx="0">
                  <c:v>0.1297607809164176</c:v>
                </c:pt>
                <c:pt idx="1">
                  <c:v>0.14263967420418613</c:v>
                </c:pt>
                <c:pt idx="2">
                  <c:v>0.15557755326558192</c:v>
                </c:pt>
                <c:pt idx="3">
                  <c:v>7.0822181933293038E-2</c:v>
                </c:pt>
              </c:numCache>
            </c:numRef>
          </c:val>
          <c:smooth val="0"/>
          <c:extLst>
            <c:ext xmlns:c16="http://schemas.microsoft.com/office/drawing/2014/chart" uri="{C3380CC4-5D6E-409C-BE32-E72D297353CC}">
              <c16:uniqueId val="{00000000-D636-4796-BE9D-826A690A78C7}"/>
            </c:ext>
          </c:extLst>
        </c:ser>
        <c:ser>
          <c:idx val="1"/>
          <c:order val="1"/>
          <c:tx>
            <c:strRef>
              <c:f>Task_5.2!$E$14:$E$15</c:f>
              <c:strCache>
                <c:ptCount val="1"/>
                <c:pt idx="0">
                  <c:v>During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Task_5.2!$C$16:$C$19</c:f>
              <c:strCache>
                <c:ptCount val="4"/>
                <c:pt idx="0">
                  <c:v>CybertruckLaunch</c:v>
                </c:pt>
                <c:pt idx="1">
                  <c:v>FSDUpdate</c:v>
                </c:pt>
                <c:pt idx="2">
                  <c:v>ModelYCampaign</c:v>
                </c:pt>
                <c:pt idx="3">
                  <c:v>SustainabilityDrive</c:v>
                </c:pt>
              </c:strCache>
            </c:strRef>
          </c:cat>
          <c:val>
            <c:numRef>
              <c:f>Task_5.2!$E$16:$E$19</c:f>
              <c:numCache>
                <c:formatCode>0.0000</c:formatCode>
                <c:ptCount val="4"/>
                <c:pt idx="0">
                  <c:v>7.4955508769615056E-2</c:v>
                </c:pt>
                <c:pt idx="1">
                  <c:v>0.18818340253905913</c:v>
                </c:pt>
                <c:pt idx="2">
                  <c:v>0.11674187599999968</c:v>
                </c:pt>
                <c:pt idx="3">
                  <c:v>0.1134905095848751</c:v>
                </c:pt>
              </c:numCache>
            </c:numRef>
          </c:val>
          <c:smooth val="0"/>
          <c:extLst>
            <c:ext xmlns:c16="http://schemas.microsoft.com/office/drawing/2014/chart" uri="{C3380CC4-5D6E-409C-BE32-E72D297353CC}">
              <c16:uniqueId val="{00000001-D636-4796-BE9D-826A690A78C7}"/>
            </c:ext>
          </c:extLst>
        </c:ser>
        <c:dLbls>
          <c:dLblPos val="t"/>
          <c:showLegendKey val="0"/>
          <c:showVal val="1"/>
          <c:showCatName val="0"/>
          <c:showSerName val="0"/>
          <c:showPercent val="0"/>
          <c:showBubbleSize val="0"/>
        </c:dLbls>
        <c:smooth val="0"/>
        <c:axId val="181062576"/>
        <c:axId val="181063056"/>
      </c:lineChart>
      <c:catAx>
        <c:axId val="18106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63056"/>
        <c:crosses val="autoZero"/>
        <c:auto val="1"/>
        <c:lblAlgn val="ctr"/>
        <c:lblOffset val="100"/>
        <c:noMultiLvlLbl val="0"/>
      </c:catAx>
      <c:valAx>
        <c:axId val="18106305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6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[PROJECT(Tesla_Social_Media_Analysis).xlsx]Task_5.3!PivotTable11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Task_5.3!$C$13</c:f>
              <c:strCache>
                <c:ptCount val="1"/>
                <c:pt idx="0">
                  <c:v>Average of Ad_Spend</c:v>
                </c:pt>
              </c:strCache>
            </c:strRef>
          </c:tx>
          <c:spPr>
            <a:solidFill>
              <a:schemeClr val="accent1"/>
            </a:solidFill>
            <a:ln>
              <a:noFill/>
            </a:ln>
            <a:effectLst/>
          </c:spPr>
          <c:invertIfNegative val="0"/>
          <c:cat>
            <c:strRef>
              <c:f>Task_5.3!$B$14:$B$18</c:f>
              <c:strCache>
                <c:ptCount val="5"/>
                <c:pt idx="0">
                  <c:v>SustainabilityDrive</c:v>
                </c:pt>
                <c:pt idx="1">
                  <c:v>FSDUpdate</c:v>
                </c:pt>
                <c:pt idx="2">
                  <c:v>CybertruckLaunch</c:v>
                </c:pt>
                <c:pt idx="3">
                  <c:v>unknown</c:v>
                </c:pt>
                <c:pt idx="4">
                  <c:v>(blank)</c:v>
                </c:pt>
              </c:strCache>
            </c:strRef>
          </c:cat>
          <c:val>
            <c:numRef>
              <c:f>Task_5.3!$C$14:$C$18</c:f>
              <c:numCache>
                <c:formatCode>0.00</c:formatCode>
                <c:ptCount val="5"/>
                <c:pt idx="0">
                  <c:v>23520.173076923078</c:v>
                </c:pt>
                <c:pt idx="1">
                  <c:v>25042.39393939394</c:v>
                </c:pt>
                <c:pt idx="2">
                  <c:v>26579.064516129034</c:v>
                </c:pt>
                <c:pt idx="3">
                  <c:v>21994.128205128207</c:v>
                </c:pt>
              </c:numCache>
            </c:numRef>
          </c:val>
          <c:extLst>
            <c:ext xmlns:c16="http://schemas.microsoft.com/office/drawing/2014/chart" uri="{C3380CC4-5D6E-409C-BE32-E72D297353CC}">
              <c16:uniqueId val="{00000000-178D-44BB-A6C9-2AF0BBA8D723}"/>
            </c:ext>
          </c:extLst>
        </c:ser>
        <c:ser>
          <c:idx val="1"/>
          <c:order val="1"/>
          <c:tx>
            <c:strRef>
              <c:f>Task_5.3!$D$13</c:f>
              <c:strCache>
                <c:ptCount val="1"/>
                <c:pt idx="0">
                  <c:v>Average of Engagement_Rate</c:v>
                </c:pt>
              </c:strCache>
            </c:strRef>
          </c:tx>
          <c:spPr>
            <a:solidFill>
              <a:schemeClr val="accent2"/>
            </a:solidFill>
            <a:ln>
              <a:noFill/>
            </a:ln>
            <a:effectLst/>
          </c:spPr>
          <c:invertIfNegative val="0"/>
          <c:cat>
            <c:strRef>
              <c:f>Task_5.3!$B$14:$B$18</c:f>
              <c:strCache>
                <c:ptCount val="5"/>
                <c:pt idx="0">
                  <c:v>SustainabilityDrive</c:v>
                </c:pt>
                <c:pt idx="1">
                  <c:v>FSDUpdate</c:v>
                </c:pt>
                <c:pt idx="2">
                  <c:v>CybertruckLaunch</c:v>
                </c:pt>
                <c:pt idx="3">
                  <c:v>unknown</c:v>
                </c:pt>
                <c:pt idx="4">
                  <c:v>(blank)</c:v>
                </c:pt>
              </c:strCache>
            </c:strRef>
          </c:cat>
          <c:val>
            <c:numRef>
              <c:f>Task_5.3!$D$14:$D$18</c:f>
              <c:numCache>
                <c:formatCode>0.000</c:formatCode>
                <c:ptCount val="5"/>
                <c:pt idx="0">
                  <c:v>5.6165384615384601</c:v>
                </c:pt>
                <c:pt idx="1">
                  <c:v>5.9003030303030304</c:v>
                </c:pt>
                <c:pt idx="2">
                  <c:v>6.1706451612903228</c:v>
                </c:pt>
                <c:pt idx="3">
                  <c:v>4.8507692307692318</c:v>
                </c:pt>
              </c:numCache>
            </c:numRef>
          </c:val>
          <c:extLst>
            <c:ext xmlns:c16="http://schemas.microsoft.com/office/drawing/2014/chart" uri="{C3380CC4-5D6E-409C-BE32-E72D297353CC}">
              <c16:uniqueId val="{00000001-178D-44BB-A6C9-2AF0BBA8D723}"/>
            </c:ext>
          </c:extLst>
        </c:ser>
        <c:dLbls>
          <c:showLegendKey val="0"/>
          <c:showVal val="0"/>
          <c:showCatName val="0"/>
          <c:showSerName val="0"/>
          <c:showPercent val="0"/>
          <c:showBubbleSize val="0"/>
        </c:dLbls>
        <c:gapWidth val="219"/>
        <c:axId val="133314976"/>
        <c:axId val="133307776"/>
      </c:barChart>
      <c:lineChart>
        <c:grouping val="standard"/>
        <c:varyColors val="0"/>
        <c:ser>
          <c:idx val="2"/>
          <c:order val="2"/>
          <c:tx>
            <c:strRef>
              <c:f>Task_5.3!$E$13</c:f>
              <c:strCache>
                <c:ptCount val="1"/>
                <c:pt idx="0">
                  <c:v>Percentage of ROI</c:v>
                </c:pt>
              </c:strCache>
            </c:strRef>
          </c:tx>
          <c:spPr>
            <a:ln w="28575" cap="rnd">
              <a:solidFill>
                <a:schemeClr val="accent3"/>
              </a:solidFill>
              <a:round/>
            </a:ln>
            <a:effectLst/>
          </c:spPr>
          <c:marker>
            <c:symbol val="none"/>
          </c:marker>
          <c:cat>
            <c:strRef>
              <c:f>Task_5.3!$B$14:$B$18</c:f>
              <c:strCache>
                <c:ptCount val="5"/>
                <c:pt idx="0">
                  <c:v>SustainabilityDrive</c:v>
                </c:pt>
                <c:pt idx="1">
                  <c:v>FSDUpdate</c:v>
                </c:pt>
                <c:pt idx="2">
                  <c:v>CybertruckLaunch</c:v>
                </c:pt>
                <c:pt idx="3">
                  <c:v>unknown</c:v>
                </c:pt>
                <c:pt idx="4">
                  <c:v>(blank)</c:v>
                </c:pt>
              </c:strCache>
            </c:strRef>
          </c:cat>
          <c:val>
            <c:numRef>
              <c:f>Task_5.3!$E$14:$E$18</c:f>
              <c:numCache>
                <c:formatCode>0.0000%</c:formatCode>
                <c:ptCount val="5"/>
                <c:pt idx="0">
                  <c:v>2.3879664674105448E-4</c:v>
                </c:pt>
                <c:pt idx="1">
                  <c:v>2.3561257939566725E-4</c:v>
                </c:pt>
                <c:pt idx="2">
                  <c:v>2.3216186399433949E-4</c:v>
                </c:pt>
                <c:pt idx="3">
                  <c:v>2.205483747993346E-4</c:v>
                </c:pt>
                <c:pt idx="4">
                  <c:v>#N/A</c:v>
                </c:pt>
              </c:numCache>
            </c:numRef>
          </c:val>
          <c:smooth val="0"/>
          <c:extLst>
            <c:ext xmlns:c16="http://schemas.microsoft.com/office/drawing/2014/chart" uri="{C3380CC4-5D6E-409C-BE32-E72D297353CC}">
              <c16:uniqueId val="{00000002-178D-44BB-A6C9-2AF0BBA8D723}"/>
            </c:ext>
          </c:extLst>
        </c:ser>
        <c:dLbls>
          <c:showLegendKey val="0"/>
          <c:showVal val="0"/>
          <c:showCatName val="0"/>
          <c:showSerName val="0"/>
          <c:showPercent val="0"/>
          <c:showBubbleSize val="0"/>
        </c:dLbls>
        <c:marker val="1"/>
        <c:smooth val="0"/>
        <c:axId val="1796075536"/>
        <c:axId val="1796075056"/>
      </c:lineChart>
      <c:catAx>
        <c:axId val="13331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7776"/>
        <c:crosses val="autoZero"/>
        <c:auto val="1"/>
        <c:lblAlgn val="ctr"/>
        <c:lblOffset val="100"/>
        <c:noMultiLvlLbl val="0"/>
      </c:catAx>
      <c:valAx>
        <c:axId val="133307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14976"/>
        <c:crosses val="autoZero"/>
        <c:crossBetween val="between"/>
      </c:valAx>
      <c:valAx>
        <c:axId val="1796075056"/>
        <c:scaling>
          <c:orientation val="minMax"/>
        </c:scaling>
        <c:delete val="0"/>
        <c:axPos val="r"/>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075536"/>
        <c:crosses val="max"/>
        <c:crossBetween val="between"/>
      </c:valAx>
      <c:catAx>
        <c:axId val="1796075536"/>
        <c:scaling>
          <c:orientation val="minMax"/>
        </c:scaling>
        <c:delete val="1"/>
        <c:axPos val="b"/>
        <c:numFmt formatCode="General" sourceLinked="1"/>
        <c:majorTickMark val="out"/>
        <c:minorTickMark val="none"/>
        <c:tickLblPos val="nextTo"/>
        <c:crossAx val="17960750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[PROJECT(Tesla_Social_Media_Analysis).xlsx]Task_5.4!PivotTable12</c:name>
    <c:fmtId val="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Follower</a:t>
            </a:r>
            <a:r>
              <a:rPr lang="en-IN" sz="1600" b="1" baseline="0"/>
              <a:t> Growth by Campaign(Total vs Average)</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Task_5.4!$D$12</c:f>
              <c:strCache>
                <c:ptCount val="1"/>
                <c:pt idx="0">
                  <c:v>Total_Follower_Gain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Task_5.4!$C$13:$C$18</c:f>
              <c:strCache>
                <c:ptCount val="5"/>
                <c:pt idx="0">
                  <c:v>SustainabilityDrive</c:v>
                </c:pt>
                <c:pt idx="1">
                  <c:v>unknown</c:v>
                </c:pt>
                <c:pt idx="2">
                  <c:v>FSDUpdate</c:v>
                </c:pt>
                <c:pt idx="3">
                  <c:v>CybertruckLaunch</c:v>
                </c:pt>
                <c:pt idx="4">
                  <c:v>(blank)</c:v>
                </c:pt>
              </c:strCache>
            </c:strRef>
          </c:cat>
          <c:val>
            <c:numRef>
              <c:f>Task_5.4!$D$13:$D$18</c:f>
              <c:numCache>
                <c:formatCode>General</c:formatCode>
                <c:ptCount val="5"/>
                <c:pt idx="0">
                  <c:v>56133</c:v>
                </c:pt>
                <c:pt idx="1">
                  <c:v>38684</c:v>
                </c:pt>
                <c:pt idx="2">
                  <c:v>31694</c:v>
                </c:pt>
                <c:pt idx="3">
                  <c:v>30618</c:v>
                </c:pt>
              </c:numCache>
            </c:numRef>
          </c:val>
          <c:smooth val="0"/>
          <c:extLst>
            <c:ext xmlns:c16="http://schemas.microsoft.com/office/drawing/2014/chart" uri="{C3380CC4-5D6E-409C-BE32-E72D297353CC}">
              <c16:uniqueId val="{00000000-CC33-441D-85FA-11E25876102C}"/>
            </c:ext>
          </c:extLst>
        </c:ser>
        <c:ser>
          <c:idx val="1"/>
          <c:order val="1"/>
          <c:tx>
            <c:strRef>
              <c:f>Task_5.4!$E$12</c:f>
              <c:strCache>
                <c:ptCount val="1"/>
                <c:pt idx="0">
                  <c:v>Average_Follower_Gain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Task_5.4!$C$13:$C$18</c:f>
              <c:strCache>
                <c:ptCount val="5"/>
                <c:pt idx="0">
                  <c:v>SustainabilityDrive</c:v>
                </c:pt>
                <c:pt idx="1">
                  <c:v>unknown</c:v>
                </c:pt>
                <c:pt idx="2">
                  <c:v>FSDUpdate</c:v>
                </c:pt>
                <c:pt idx="3">
                  <c:v>CybertruckLaunch</c:v>
                </c:pt>
                <c:pt idx="4">
                  <c:v>(blank)</c:v>
                </c:pt>
              </c:strCache>
            </c:strRef>
          </c:cat>
          <c:val>
            <c:numRef>
              <c:f>Task_5.4!$E$13:$E$18</c:f>
              <c:numCache>
                <c:formatCode>General</c:formatCode>
                <c:ptCount val="5"/>
                <c:pt idx="0">
                  <c:v>1079.4807692307693</c:v>
                </c:pt>
                <c:pt idx="1">
                  <c:v>991.89743589743591</c:v>
                </c:pt>
                <c:pt idx="2">
                  <c:v>960.42424242424238</c:v>
                </c:pt>
                <c:pt idx="3">
                  <c:v>987.67741935483866</c:v>
                </c:pt>
              </c:numCache>
            </c:numRef>
          </c:val>
          <c:smooth val="0"/>
          <c:extLst>
            <c:ext xmlns:c16="http://schemas.microsoft.com/office/drawing/2014/chart" uri="{C3380CC4-5D6E-409C-BE32-E72D297353CC}">
              <c16:uniqueId val="{00000001-CC33-441D-85FA-11E25876102C}"/>
            </c:ext>
          </c:extLst>
        </c:ser>
        <c:dLbls>
          <c:showLegendKey val="0"/>
          <c:showVal val="0"/>
          <c:showCatName val="0"/>
          <c:showSerName val="0"/>
          <c:showPercent val="0"/>
          <c:showBubbleSize val="0"/>
        </c:dLbls>
        <c:marker val="1"/>
        <c:smooth val="0"/>
        <c:axId val="2098578128"/>
        <c:axId val="2098583888"/>
      </c:lineChart>
      <c:catAx>
        <c:axId val="209857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583888"/>
        <c:crosses val="autoZero"/>
        <c:auto val="1"/>
        <c:lblAlgn val="ctr"/>
        <c:lblOffset val="100"/>
        <c:noMultiLvlLbl val="0"/>
      </c:catAx>
      <c:valAx>
        <c:axId val="209858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57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[PROJECT(Tesla_Social_Media_Analysis).xlsx]Task_6.1!PivotTable13</c:name>
    <c:fmtId val="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Task_6.1!$B$7:$B$8</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Task_6.1!$A$9:$A$58</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Task_6.1!$B$9:$B$58</c:f>
              <c:numCache>
                <c:formatCode>General</c:formatCode>
                <c:ptCount val="50"/>
                <c:pt idx="0">
                  <c:v>1312</c:v>
                </c:pt>
                <c:pt idx="3">
                  <c:v>1779</c:v>
                </c:pt>
                <c:pt idx="4">
                  <c:v>505</c:v>
                </c:pt>
                <c:pt idx="5">
                  <c:v>350</c:v>
                </c:pt>
                <c:pt idx="6">
                  <c:v>170</c:v>
                </c:pt>
                <c:pt idx="7">
                  <c:v>1391</c:v>
                </c:pt>
                <c:pt idx="8">
                  <c:v>160</c:v>
                </c:pt>
                <c:pt idx="9">
                  <c:v>214</c:v>
                </c:pt>
                <c:pt idx="10">
                  <c:v>1534</c:v>
                </c:pt>
                <c:pt idx="11">
                  <c:v>1078</c:v>
                </c:pt>
                <c:pt idx="14">
                  <c:v>1842</c:v>
                </c:pt>
                <c:pt idx="15">
                  <c:v>443</c:v>
                </c:pt>
                <c:pt idx="16">
                  <c:v>198</c:v>
                </c:pt>
                <c:pt idx="17">
                  <c:v>250</c:v>
                </c:pt>
                <c:pt idx="18">
                  <c:v>1929</c:v>
                </c:pt>
                <c:pt idx="19">
                  <c:v>643</c:v>
                </c:pt>
                <c:pt idx="20">
                  <c:v>508</c:v>
                </c:pt>
                <c:pt idx="24">
                  <c:v>513</c:v>
                </c:pt>
                <c:pt idx="25">
                  <c:v>1710</c:v>
                </c:pt>
                <c:pt idx="26">
                  <c:v>1902</c:v>
                </c:pt>
                <c:pt idx="27">
                  <c:v>1514</c:v>
                </c:pt>
                <c:pt idx="28">
                  <c:v>1623</c:v>
                </c:pt>
                <c:pt idx="29">
                  <c:v>1155</c:v>
                </c:pt>
                <c:pt idx="33">
                  <c:v>663</c:v>
                </c:pt>
                <c:pt idx="34">
                  <c:v>1249</c:v>
                </c:pt>
                <c:pt idx="35">
                  <c:v>1159</c:v>
                </c:pt>
                <c:pt idx="36">
                  <c:v>1294</c:v>
                </c:pt>
                <c:pt idx="37">
                  <c:v>1895</c:v>
                </c:pt>
                <c:pt idx="38">
                  <c:v>1884</c:v>
                </c:pt>
                <c:pt idx="39">
                  <c:v>345</c:v>
                </c:pt>
                <c:pt idx="42">
                  <c:v>609</c:v>
                </c:pt>
                <c:pt idx="43">
                  <c:v>988</c:v>
                </c:pt>
                <c:pt idx="44">
                  <c:v>1307</c:v>
                </c:pt>
                <c:pt idx="46">
                  <c:v>1375</c:v>
                </c:pt>
                <c:pt idx="47">
                  <c:v>833</c:v>
                </c:pt>
                <c:pt idx="48">
                  <c:v>405</c:v>
                </c:pt>
                <c:pt idx="49">
                  <c:v>837</c:v>
                </c:pt>
              </c:numCache>
            </c:numRef>
          </c:val>
          <c:smooth val="0"/>
          <c:extLst>
            <c:ext xmlns:c16="http://schemas.microsoft.com/office/drawing/2014/chart" uri="{C3380CC4-5D6E-409C-BE32-E72D297353CC}">
              <c16:uniqueId val="{00000000-9961-4657-9A4F-28EAD57A8CD6}"/>
            </c:ext>
          </c:extLst>
        </c:ser>
        <c:ser>
          <c:idx val="1"/>
          <c:order val="1"/>
          <c:tx>
            <c:strRef>
              <c:f>Task_6.1!$C$7:$C$8</c:f>
              <c:strCache>
                <c:ptCount val="1"/>
                <c:pt idx="0">
                  <c:v>Instagram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Task_6.1!$A$9:$A$58</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Task_6.1!$C$9:$C$58</c:f>
              <c:numCache>
                <c:formatCode>General</c:formatCode>
                <c:ptCount val="50"/>
                <c:pt idx="0">
                  <c:v>1135</c:v>
                </c:pt>
                <c:pt idx="1">
                  <c:v>656</c:v>
                </c:pt>
                <c:pt idx="2">
                  <c:v>1048</c:v>
                </c:pt>
                <c:pt idx="3">
                  <c:v>911</c:v>
                </c:pt>
                <c:pt idx="4">
                  <c:v>226</c:v>
                </c:pt>
                <c:pt idx="5">
                  <c:v>1757</c:v>
                </c:pt>
                <c:pt idx="6">
                  <c:v>1960</c:v>
                </c:pt>
                <c:pt idx="7">
                  <c:v>508</c:v>
                </c:pt>
                <c:pt idx="8">
                  <c:v>653</c:v>
                </c:pt>
                <c:pt idx="9">
                  <c:v>645</c:v>
                </c:pt>
                <c:pt idx="10">
                  <c:v>1528</c:v>
                </c:pt>
                <c:pt idx="11">
                  <c:v>215</c:v>
                </c:pt>
                <c:pt idx="12">
                  <c:v>1685</c:v>
                </c:pt>
                <c:pt idx="13">
                  <c:v>1429</c:v>
                </c:pt>
                <c:pt idx="14">
                  <c:v>1592</c:v>
                </c:pt>
                <c:pt idx="15">
                  <c:v>778</c:v>
                </c:pt>
                <c:pt idx="16">
                  <c:v>817</c:v>
                </c:pt>
                <c:pt idx="20">
                  <c:v>703</c:v>
                </c:pt>
                <c:pt idx="21">
                  <c:v>642</c:v>
                </c:pt>
                <c:pt idx="22">
                  <c:v>1466</c:v>
                </c:pt>
                <c:pt idx="23">
                  <c:v>1075</c:v>
                </c:pt>
                <c:pt idx="24">
                  <c:v>187</c:v>
                </c:pt>
                <c:pt idx="30">
                  <c:v>1814</c:v>
                </c:pt>
                <c:pt idx="31">
                  <c:v>1013</c:v>
                </c:pt>
                <c:pt idx="32">
                  <c:v>1855</c:v>
                </c:pt>
                <c:pt idx="33">
                  <c:v>1748</c:v>
                </c:pt>
                <c:pt idx="34">
                  <c:v>115</c:v>
                </c:pt>
                <c:pt idx="35">
                  <c:v>1556</c:v>
                </c:pt>
                <c:pt idx="36">
                  <c:v>1957</c:v>
                </c:pt>
                <c:pt idx="37">
                  <c:v>1138</c:v>
                </c:pt>
                <c:pt idx="38">
                  <c:v>1440</c:v>
                </c:pt>
                <c:pt idx="39">
                  <c:v>1371</c:v>
                </c:pt>
                <c:pt idx="40">
                  <c:v>393</c:v>
                </c:pt>
                <c:pt idx="41">
                  <c:v>1102</c:v>
                </c:pt>
                <c:pt idx="42">
                  <c:v>490</c:v>
                </c:pt>
                <c:pt idx="43">
                  <c:v>1033</c:v>
                </c:pt>
                <c:pt idx="47">
                  <c:v>1693</c:v>
                </c:pt>
                <c:pt idx="48">
                  <c:v>1957</c:v>
                </c:pt>
                <c:pt idx="49">
                  <c:v>1765</c:v>
                </c:pt>
              </c:numCache>
            </c:numRef>
          </c:val>
          <c:smooth val="0"/>
          <c:extLst>
            <c:ext xmlns:c16="http://schemas.microsoft.com/office/drawing/2014/chart" uri="{C3380CC4-5D6E-409C-BE32-E72D297353CC}">
              <c16:uniqueId val="{00000005-9961-4657-9A4F-28EAD57A8CD6}"/>
            </c:ext>
          </c:extLst>
        </c:ser>
        <c:ser>
          <c:idx val="2"/>
          <c:order val="2"/>
          <c:tx>
            <c:strRef>
              <c:f>Task_6.1!$D$7:$D$8</c:f>
              <c:strCache>
                <c:ptCount val="1"/>
                <c:pt idx="0">
                  <c:v>Twitter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Task_6.1!$A$9:$A$58</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Task_6.1!$D$9:$D$58</c:f>
              <c:numCache>
                <c:formatCode>General</c:formatCode>
                <c:ptCount val="50"/>
                <c:pt idx="0">
                  <c:v>584</c:v>
                </c:pt>
                <c:pt idx="1">
                  <c:v>436</c:v>
                </c:pt>
                <c:pt idx="5">
                  <c:v>987</c:v>
                </c:pt>
                <c:pt idx="6">
                  <c:v>704</c:v>
                </c:pt>
                <c:pt idx="7">
                  <c:v>1701</c:v>
                </c:pt>
                <c:pt idx="8">
                  <c:v>1756</c:v>
                </c:pt>
                <c:pt idx="9">
                  <c:v>826</c:v>
                </c:pt>
                <c:pt idx="10">
                  <c:v>485</c:v>
                </c:pt>
                <c:pt idx="11">
                  <c:v>1751</c:v>
                </c:pt>
                <c:pt idx="12">
                  <c:v>1300</c:v>
                </c:pt>
                <c:pt idx="13">
                  <c:v>557</c:v>
                </c:pt>
                <c:pt idx="14">
                  <c:v>751</c:v>
                </c:pt>
                <c:pt idx="15">
                  <c:v>1472</c:v>
                </c:pt>
                <c:pt idx="17">
                  <c:v>752</c:v>
                </c:pt>
                <c:pt idx="18">
                  <c:v>437</c:v>
                </c:pt>
                <c:pt idx="19">
                  <c:v>201</c:v>
                </c:pt>
                <c:pt idx="20">
                  <c:v>697</c:v>
                </c:pt>
                <c:pt idx="21">
                  <c:v>191</c:v>
                </c:pt>
                <c:pt idx="22">
                  <c:v>1821</c:v>
                </c:pt>
                <c:pt idx="23">
                  <c:v>1487</c:v>
                </c:pt>
                <c:pt idx="24">
                  <c:v>628</c:v>
                </c:pt>
                <c:pt idx="25">
                  <c:v>330</c:v>
                </c:pt>
                <c:pt idx="26">
                  <c:v>1441</c:v>
                </c:pt>
                <c:pt idx="28">
                  <c:v>1592</c:v>
                </c:pt>
                <c:pt idx="29">
                  <c:v>1137</c:v>
                </c:pt>
                <c:pt idx="30">
                  <c:v>1786</c:v>
                </c:pt>
                <c:pt idx="31">
                  <c:v>1633</c:v>
                </c:pt>
                <c:pt idx="32">
                  <c:v>118</c:v>
                </c:pt>
                <c:pt idx="33">
                  <c:v>1040</c:v>
                </c:pt>
                <c:pt idx="34">
                  <c:v>1501</c:v>
                </c:pt>
                <c:pt idx="35">
                  <c:v>927</c:v>
                </c:pt>
                <c:pt idx="36">
                  <c:v>1587</c:v>
                </c:pt>
                <c:pt idx="37">
                  <c:v>362</c:v>
                </c:pt>
                <c:pt idx="38">
                  <c:v>861</c:v>
                </c:pt>
                <c:pt idx="39">
                  <c:v>946</c:v>
                </c:pt>
                <c:pt idx="40">
                  <c:v>1399</c:v>
                </c:pt>
                <c:pt idx="41">
                  <c:v>1077</c:v>
                </c:pt>
                <c:pt idx="45">
                  <c:v>353</c:v>
                </c:pt>
                <c:pt idx="46">
                  <c:v>1147</c:v>
                </c:pt>
                <c:pt idx="47">
                  <c:v>1222</c:v>
                </c:pt>
                <c:pt idx="48">
                  <c:v>1581</c:v>
                </c:pt>
                <c:pt idx="49">
                  <c:v>337</c:v>
                </c:pt>
              </c:numCache>
            </c:numRef>
          </c:val>
          <c:smooth val="0"/>
          <c:extLst>
            <c:ext xmlns:c16="http://schemas.microsoft.com/office/drawing/2014/chart" uri="{C3380CC4-5D6E-409C-BE32-E72D297353CC}">
              <c16:uniqueId val="{0000000D-9961-4657-9A4F-28EAD57A8CD6}"/>
            </c:ext>
          </c:extLst>
        </c:ser>
        <c:dLbls>
          <c:showLegendKey val="0"/>
          <c:showVal val="0"/>
          <c:showCatName val="0"/>
          <c:showSerName val="0"/>
          <c:showPercent val="0"/>
          <c:showBubbleSize val="0"/>
        </c:dLbls>
        <c:marker val="1"/>
        <c:smooth val="0"/>
        <c:axId val="850948848"/>
        <c:axId val="850944048"/>
      </c:lineChart>
      <c:catAx>
        <c:axId val="85094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944048"/>
        <c:crosses val="autoZero"/>
        <c:auto val="1"/>
        <c:lblAlgn val="ctr"/>
        <c:lblOffset val="100"/>
        <c:noMultiLvlLbl val="0"/>
      </c:catAx>
      <c:valAx>
        <c:axId val="85094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94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[PROJECT(Tesla_Social_Media_Analysis).xlsx]Task_6.2!PivotTable14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Task_6.2!$C$8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Task_6.2!$B$9:$B$58</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Task_6.2!$C$9:$C$58</c:f>
              <c:numCache>
                <c:formatCode>General</c:formatCode>
                <c:ptCount val="50"/>
                <c:pt idx="0">
                  <c:v>4566</c:v>
                </c:pt>
                <c:pt idx="1">
                  <c:v>2289</c:v>
                </c:pt>
                <c:pt idx="2">
                  <c:v>1451</c:v>
                </c:pt>
                <c:pt idx="3">
                  <c:v>2998</c:v>
                </c:pt>
                <c:pt idx="4">
                  <c:v>875</c:v>
                </c:pt>
                <c:pt idx="5">
                  <c:v>3977</c:v>
                </c:pt>
                <c:pt idx="6">
                  <c:v>3058</c:v>
                </c:pt>
                <c:pt idx="7">
                  <c:v>3600</c:v>
                </c:pt>
                <c:pt idx="8">
                  <c:v>2569</c:v>
                </c:pt>
                <c:pt idx="9">
                  <c:v>1685</c:v>
                </c:pt>
                <c:pt idx="10">
                  <c:v>4757</c:v>
                </c:pt>
                <c:pt idx="11">
                  <c:v>3265</c:v>
                </c:pt>
                <c:pt idx="12">
                  <c:v>2985</c:v>
                </c:pt>
                <c:pt idx="13">
                  <c:v>1986</c:v>
                </c:pt>
                <c:pt idx="14">
                  <c:v>4185</c:v>
                </c:pt>
                <c:pt idx="15">
                  <c:v>2816</c:v>
                </c:pt>
                <c:pt idx="16">
                  <c:v>2233</c:v>
                </c:pt>
                <c:pt idx="17">
                  <c:v>2920</c:v>
                </c:pt>
                <c:pt idx="18">
                  <c:v>2673</c:v>
                </c:pt>
                <c:pt idx="19">
                  <c:v>1258</c:v>
                </c:pt>
                <c:pt idx="20">
                  <c:v>3615</c:v>
                </c:pt>
                <c:pt idx="21">
                  <c:v>2647</c:v>
                </c:pt>
                <c:pt idx="22">
                  <c:v>4794</c:v>
                </c:pt>
                <c:pt idx="23">
                  <c:v>3016</c:v>
                </c:pt>
                <c:pt idx="24">
                  <c:v>1606</c:v>
                </c:pt>
                <c:pt idx="25">
                  <c:v>3333</c:v>
                </c:pt>
                <c:pt idx="26">
                  <c:v>3795</c:v>
                </c:pt>
                <c:pt idx="27">
                  <c:v>2250</c:v>
                </c:pt>
                <c:pt idx="28">
                  <c:v>3215</c:v>
                </c:pt>
                <c:pt idx="29">
                  <c:v>2292</c:v>
                </c:pt>
                <c:pt idx="30">
                  <c:v>3600</c:v>
                </c:pt>
                <c:pt idx="31">
                  <c:v>2646</c:v>
                </c:pt>
                <c:pt idx="32">
                  <c:v>3304</c:v>
                </c:pt>
                <c:pt idx="33">
                  <c:v>4617</c:v>
                </c:pt>
                <c:pt idx="34">
                  <c:v>4276</c:v>
                </c:pt>
                <c:pt idx="35">
                  <c:v>3794</c:v>
                </c:pt>
                <c:pt idx="36">
                  <c:v>6545</c:v>
                </c:pt>
                <c:pt idx="37">
                  <c:v>5057</c:v>
                </c:pt>
                <c:pt idx="38">
                  <c:v>5248</c:v>
                </c:pt>
                <c:pt idx="39">
                  <c:v>3172</c:v>
                </c:pt>
                <c:pt idx="40">
                  <c:v>3450</c:v>
                </c:pt>
                <c:pt idx="41">
                  <c:v>2179</c:v>
                </c:pt>
                <c:pt idx="42">
                  <c:v>1541</c:v>
                </c:pt>
                <c:pt idx="43">
                  <c:v>2021</c:v>
                </c:pt>
                <c:pt idx="44">
                  <c:v>1307</c:v>
                </c:pt>
                <c:pt idx="45">
                  <c:v>873</c:v>
                </c:pt>
                <c:pt idx="46">
                  <c:v>4229</c:v>
                </c:pt>
                <c:pt idx="47">
                  <c:v>4525</c:v>
                </c:pt>
                <c:pt idx="48">
                  <c:v>4978</c:v>
                </c:pt>
                <c:pt idx="49">
                  <c:v>3058</c:v>
                </c:pt>
              </c:numCache>
            </c:numRef>
          </c:val>
          <c:smooth val="0"/>
          <c:extLst>
            <c:ext xmlns:c16="http://schemas.microsoft.com/office/drawing/2014/chart" uri="{C3380CC4-5D6E-409C-BE32-E72D297353CC}">
              <c16:uniqueId val="{00000000-C82E-49F0-B4C6-685B5E2CD47F}"/>
            </c:ext>
          </c:extLst>
        </c:ser>
        <c:dLbls>
          <c:showLegendKey val="0"/>
          <c:showVal val="0"/>
          <c:showCatName val="0"/>
          <c:showSerName val="0"/>
          <c:showPercent val="0"/>
          <c:showBubbleSize val="0"/>
        </c:dLbls>
        <c:marker val="1"/>
        <c:smooth val="0"/>
        <c:axId val="850895088"/>
        <c:axId val="850881168"/>
      </c:lineChart>
      <c:catAx>
        <c:axId val="85089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81168"/>
        <c:crosses val="autoZero"/>
        <c:auto val="1"/>
        <c:lblAlgn val="ctr"/>
        <c:lblOffset val="100"/>
        <c:noMultiLvlLbl val="0"/>
      </c:catAx>
      <c:valAx>
        <c:axId val="85088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9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[PROJECT(Tesla_Social_Media_Analysis).xlsx]Task_6.3!PivotTable15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Task_6.3!$B$8:$B$9</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movingAvg"/>
            <c:period val="3"/>
            <c:dispRSqr val="0"/>
            <c:dispEq val="0"/>
          </c:trendline>
          <c:cat>
            <c:strRef>
              <c:f>Task_6.3!$A$10:$A$46</c:f>
              <c:strCache>
                <c:ptCount val="37"/>
                <c:pt idx="0">
                  <c:v>2024-06-03</c:v>
                </c:pt>
                <c:pt idx="1">
                  <c:v>2024-06-24</c:v>
                </c:pt>
                <c:pt idx="2">
                  <c:v>2024-07-01</c:v>
                </c:pt>
                <c:pt idx="3">
                  <c:v>2024-07-08</c:v>
                </c:pt>
                <c:pt idx="4">
                  <c:v>2024-07-15</c:v>
                </c:pt>
                <c:pt idx="5">
                  <c:v>2024-07-22</c:v>
                </c:pt>
                <c:pt idx="6">
                  <c:v>2024-07-29</c:v>
                </c:pt>
                <c:pt idx="7">
                  <c:v>2024-08-05</c:v>
                </c:pt>
                <c:pt idx="8">
                  <c:v>2024-08-12</c:v>
                </c:pt>
                <c:pt idx="9">
                  <c:v>2024-08-19</c:v>
                </c:pt>
                <c:pt idx="10">
                  <c:v>2024-09-09</c:v>
                </c:pt>
                <c:pt idx="11">
                  <c:v>2024-09-16</c:v>
                </c:pt>
                <c:pt idx="12">
                  <c:v>2024-09-23</c:v>
                </c:pt>
                <c:pt idx="13">
                  <c:v>2024-09-30</c:v>
                </c:pt>
                <c:pt idx="14">
                  <c:v>2024-10-07</c:v>
                </c:pt>
                <c:pt idx="15">
                  <c:v>2024-10-14</c:v>
                </c:pt>
                <c:pt idx="16">
                  <c:v>2024-10-21</c:v>
                </c:pt>
                <c:pt idx="17">
                  <c:v>2024-11-18</c:v>
                </c:pt>
                <c:pt idx="18">
                  <c:v>2024-11-25</c:v>
                </c:pt>
                <c:pt idx="19">
                  <c:v>2024-12-02</c:v>
                </c:pt>
                <c:pt idx="20">
                  <c:v>2024-12-09</c:v>
                </c:pt>
                <c:pt idx="21">
                  <c:v>2024-12-16</c:v>
                </c:pt>
                <c:pt idx="22">
                  <c:v>2024-12-23</c:v>
                </c:pt>
                <c:pt idx="23">
                  <c:v>2025-01-20</c:v>
                </c:pt>
                <c:pt idx="24">
                  <c:v>2025-01-27</c:v>
                </c:pt>
                <c:pt idx="25">
                  <c:v>2025-02-03</c:v>
                </c:pt>
                <c:pt idx="26">
                  <c:v>2025-02-10</c:v>
                </c:pt>
                <c:pt idx="27">
                  <c:v>2025-02-17</c:v>
                </c:pt>
                <c:pt idx="28">
                  <c:v>2025-02-24</c:v>
                </c:pt>
                <c:pt idx="29">
                  <c:v>2025-03-03</c:v>
                </c:pt>
                <c:pt idx="30">
                  <c:v>2025-03-24</c:v>
                </c:pt>
                <c:pt idx="31">
                  <c:v>2025-03-31</c:v>
                </c:pt>
                <c:pt idx="32">
                  <c:v>2025-04-07</c:v>
                </c:pt>
                <c:pt idx="33">
                  <c:v>2025-04-21</c:v>
                </c:pt>
                <c:pt idx="34">
                  <c:v>2025-04-28</c:v>
                </c:pt>
                <c:pt idx="35">
                  <c:v>2025-05-05</c:v>
                </c:pt>
                <c:pt idx="36">
                  <c:v>2025-05-12</c:v>
                </c:pt>
              </c:strCache>
            </c:strRef>
          </c:cat>
          <c:val>
            <c:numRef>
              <c:f>Task_6.3!$B$10:$B$46</c:f>
              <c:numCache>
                <c:formatCode>General</c:formatCode>
                <c:ptCount val="37"/>
                <c:pt idx="0">
                  <c:v>1312</c:v>
                </c:pt>
                <c:pt idx="1">
                  <c:v>1779</c:v>
                </c:pt>
                <c:pt idx="2">
                  <c:v>505</c:v>
                </c:pt>
                <c:pt idx="3">
                  <c:v>350</c:v>
                </c:pt>
                <c:pt idx="4">
                  <c:v>170</c:v>
                </c:pt>
                <c:pt idx="5">
                  <c:v>1391</c:v>
                </c:pt>
                <c:pt idx="6">
                  <c:v>160</c:v>
                </c:pt>
                <c:pt idx="7">
                  <c:v>214</c:v>
                </c:pt>
                <c:pt idx="8">
                  <c:v>1534</c:v>
                </c:pt>
                <c:pt idx="9">
                  <c:v>1078</c:v>
                </c:pt>
                <c:pt idx="10">
                  <c:v>1842</c:v>
                </c:pt>
                <c:pt idx="11">
                  <c:v>443</c:v>
                </c:pt>
                <c:pt idx="12">
                  <c:v>198</c:v>
                </c:pt>
                <c:pt idx="13">
                  <c:v>250</c:v>
                </c:pt>
                <c:pt idx="14">
                  <c:v>1929</c:v>
                </c:pt>
                <c:pt idx="15">
                  <c:v>643</c:v>
                </c:pt>
                <c:pt idx="16">
                  <c:v>508</c:v>
                </c:pt>
                <c:pt idx="17">
                  <c:v>513</c:v>
                </c:pt>
                <c:pt idx="18">
                  <c:v>1710</c:v>
                </c:pt>
                <c:pt idx="19">
                  <c:v>1902</c:v>
                </c:pt>
                <c:pt idx="20">
                  <c:v>1514</c:v>
                </c:pt>
                <c:pt idx="21">
                  <c:v>1623</c:v>
                </c:pt>
                <c:pt idx="22">
                  <c:v>1155</c:v>
                </c:pt>
                <c:pt idx="23">
                  <c:v>663</c:v>
                </c:pt>
                <c:pt idx="24">
                  <c:v>1249</c:v>
                </c:pt>
                <c:pt idx="25">
                  <c:v>1159</c:v>
                </c:pt>
                <c:pt idx="26">
                  <c:v>1294</c:v>
                </c:pt>
                <c:pt idx="27">
                  <c:v>1895</c:v>
                </c:pt>
                <c:pt idx="28">
                  <c:v>1884</c:v>
                </c:pt>
                <c:pt idx="29">
                  <c:v>345</c:v>
                </c:pt>
                <c:pt idx="30">
                  <c:v>609</c:v>
                </c:pt>
                <c:pt idx="31">
                  <c:v>988</c:v>
                </c:pt>
                <c:pt idx="32">
                  <c:v>1307</c:v>
                </c:pt>
                <c:pt idx="33">
                  <c:v>1375</c:v>
                </c:pt>
                <c:pt idx="34">
                  <c:v>833</c:v>
                </c:pt>
                <c:pt idx="35">
                  <c:v>405</c:v>
                </c:pt>
                <c:pt idx="36">
                  <c:v>837</c:v>
                </c:pt>
              </c:numCache>
            </c:numRef>
          </c:val>
          <c:smooth val="0"/>
          <c:extLst>
            <c:ext xmlns:c16="http://schemas.microsoft.com/office/drawing/2014/chart" uri="{C3380CC4-5D6E-409C-BE32-E72D297353CC}">
              <c16:uniqueId val="{00000000-CEC8-4584-BC99-D84D57852B71}"/>
            </c:ext>
          </c:extLst>
        </c:ser>
        <c:dLbls>
          <c:showLegendKey val="0"/>
          <c:showVal val="0"/>
          <c:showCatName val="0"/>
          <c:showSerName val="0"/>
          <c:showPercent val="0"/>
          <c:showBubbleSize val="0"/>
        </c:dLbls>
        <c:marker val="1"/>
        <c:smooth val="0"/>
        <c:axId val="850866768"/>
        <c:axId val="850851888"/>
      </c:lineChart>
      <c:catAx>
        <c:axId val="85086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51888"/>
        <c:crosses val="autoZero"/>
        <c:auto val="1"/>
        <c:lblAlgn val="ctr"/>
        <c:lblOffset val="100"/>
        <c:noMultiLvlLbl val="0"/>
      </c:catAx>
      <c:valAx>
        <c:axId val="85085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6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Ad_Spend</a:t>
            </a:r>
            <a:r>
              <a:rPr lang="en-US" sz="1600" b="1" baseline="0"/>
              <a:t> vs New_Followers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'Engagement summary'!$G$1</c:f>
              <c:strCache>
                <c:ptCount val="1"/>
                <c:pt idx="0">
                  <c:v>Ad_Spend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'Engagement summary'!$C$2:$C$201</c:f>
              <c:numCache>
                <c:formatCode>General</c:formatCode>
                <c:ptCount val="200"/>
                <c:pt idx="0">
                  <c:v>1135</c:v>
                </c:pt>
                <c:pt idx="1">
                  <c:v>1312</c:v>
                </c:pt>
                <c:pt idx="2">
                  <c:v>584</c:v>
                </c:pt>
                <c:pt idx="3">
                  <c:v>1535</c:v>
                </c:pt>
                <c:pt idx="4">
                  <c:v>656</c:v>
                </c:pt>
                <c:pt idx="5">
                  <c:v>1697</c:v>
                </c:pt>
                <c:pt idx="6">
                  <c:v>436</c:v>
                </c:pt>
                <c:pt idx="7">
                  <c:v>1197</c:v>
                </c:pt>
                <c:pt idx="8">
                  <c:v>1048</c:v>
                </c:pt>
                <c:pt idx="9">
                  <c:v>1753</c:v>
                </c:pt>
                <c:pt idx="10">
                  <c:v>1335</c:v>
                </c:pt>
                <c:pt idx="11">
                  <c:v>403</c:v>
                </c:pt>
                <c:pt idx="12">
                  <c:v>911</c:v>
                </c:pt>
                <c:pt idx="13">
                  <c:v>1779</c:v>
                </c:pt>
                <c:pt idx="14">
                  <c:v>1238</c:v>
                </c:pt>
                <c:pt idx="15">
                  <c:v>308</c:v>
                </c:pt>
                <c:pt idx="16">
                  <c:v>226</c:v>
                </c:pt>
                <c:pt idx="17">
                  <c:v>505</c:v>
                </c:pt>
                <c:pt idx="18">
                  <c:v>1420</c:v>
                </c:pt>
                <c:pt idx="19">
                  <c:v>144</c:v>
                </c:pt>
                <c:pt idx="20">
                  <c:v>1757</c:v>
                </c:pt>
                <c:pt idx="21">
                  <c:v>350</c:v>
                </c:pt>
                <c:pt idx="22">
                  <c:v>987</c:v>
                </c:pt>
                <c:pt idx="23">
                  <c:v>883</c:v>
                </c:pt>
                <c:pt idx="24">
                  <c:v>1960</c:v>
                </c:pt>
                <c:pt idx="25">
                  <c:v>170</c:v>
                </c:pt>
                <c:pt idx="26">
                  <c:v>704</c:v>
                </c:pt>
                <c:pt idx="27">
                  <c:v>224</c:v>
                </c:pt>
                <c:pt idx="28">
                  <c:v>508</c:v>
                </c:pt>
                <c:pt idx="29">
                  <c:v>1391</c:v>
                </c:pt>
                <c:pt idx="30">
                  <c:v>1701</c:v>
                </c:pt>
                <c:pt idx="31">
                  <c:v>804</c:v>
                </c:pt>
                <c:pt idx="32">
                  <c:v>653</c:v>
                </c:pt>
                <c:pt idx="33">
                  <c:v>160</c:v>
                </c:pt>
                <c:pt idx="34">
                  <c:v>1756</c:v>
                </c:pt>
                <c:pt idx="35">
                  <c:v>576</c:v>
                </c:pt>
                <c:pt idx="36">
                  <c:v>645</c:v>
                </c:pt>
                <c:pt idx="37">
                  <c:v>214</c:v>
                </c:pt>
                <c:pt idx="38">
                  <c:v>826</c:v>
                </c:pt>
                <c:pt idx="39">
                  <c:v>460</c:v>
                </c:pt>
                <c:pt idx="40">
                  <c:v>1528</c:v>
                </c:pt>
                <c:pt idx="41">
                  <c:v>1534</c:v>
                </c:pt>
                <c:pt idx="42">
                  <c:v>485</c:v>
                </c:pt>
                <c:pt idx="43">
                  <c:v>1210</c:v>
                </c:pt>
                <c:pt idx="44">
                  <c:v>215</c:v>
                </c:pt>
                <c:pt idx="45">
                  <c:v>1078</c:v>
                </c:pt>
                <c:pt idx="46">
                  <c:v>1751</c:v>
                </c:pt>
                <c:pt idx="47">
                  <c:v>221</c:v>
                </c:pt>
                <c:pt idx="48">
                  <c:v>1685</c:v>
                </c:pt>
                <c:pt idx="49">
                  <c:v>248</c:v>
                </c:pt>
                <c:pt idx="50">
                  <c:v>1300</c:v>
                </c:pt>
                <c:pt idx="51">
                  <c:v>422</c:v>
                </c:pt>
                <c:pt idx="52">
                  <c:v>1429</c:v>
                </c:pt>
                <c:pt idx="53">
                  <c:v>1520</c:v>
                </c:pt>
                <c:pt idx="54">
                  <c:v>557</c:v>
                </c:pt>
                <c:pt idx="55">
                  <c:v>728</c:v>
                </c:pt>
                <c:pt idx="56">
                  <c:v>1592</c:v>
                </c:pt>
                <c:pt idx="57">
                  <c:v>1842</c:v>
                </c:pt>
                <c:pt idx="58">
                  <c:v>751</c:v>
                </c:pt>
                <c:pt idx="59">
                  <c:v>1409</c:v>
                </c:pt>
                <c:pt idx="60">
                  <c:v>778</c:v>
                </c:pt>
                <c:pt idx="61">
                  <c:v>443</c:v>
                </c:pt>
                <c:pt idx="62">
                  <c:v>1472</c:v>
                </c:pt>
                <c:pt idx="63">
                  <c:v>123</c:v>
                </c:pt>
                <c:pt idx="64">
                  <c:v>817</c:v>
                </c:pt>
                <c:pt idx="65">
                  <c:v>198</c:v>
                </c:pt>
                <c:pt idx="66">
                  <c:v>1911</c:v>
                </c:pt>
                <c:pt idx="67">
                  <c:v>1218</c:v>
                </c:pt>
                <c:pt idx="68">
                  <c:v>1433</c:v>
                </c:pt>
                <c:pt idx="69">
                  <c:v>250</c:v>
                </c:pt>
                <c:pt idx="70">
                  <c:v>752</c:v>
                </c:pt>
                <c:pt idx="71">
                  <c:v>1918</c:v>
                </c:pt>
                <c:pt idx="72">
                  <c:v>1939</c:v>
                </c:pt>
                <c:pt idx="73">
                  <c:v>1929</c:v>
                </c:pt>
                <c:pt idx="74">
                  <c:v>437</c:v>
                </c:pt>
                <c:pt idx="75">
                  <c:v>307</c:v>
                </c:pt>
                <c:pt idx="76">
                  <c:v>1527</c:v>
                </c:pt>
                <c:pt idx="77">
                  <c:v>643</c:v>
                </c:pt>
                <c:pt idx="78">
                  <c:v>201</c:v>
                </c:pt>
                <c:pt idx="79">
                  <c:v>414</c:v>
                </c:pt>
                <c:pt idx="80">
                  <c:v>703</c:v>
                </c:pt>
                <c:pt idx="81">
                  <c:v>508</c:v>
                </c:pt>
                <c:pt idx="82">
                  <c:v>697</c:v>
                </c:pt>
                <c:pt idx="83">
                  <c:v>1707</c:v>
                </c:pt>
                <c:pt idx="84">
                  <c:v>642</c:v>
                </c:pt>
                <c:pt idx="85">
                  <c:v>859</c:v>
                </c:pt>
                <c:pt idx="86">
                  <c:v>191</c:v>
                </c:pt>
                <c:pt idx="87">
                  <c:v>1814</c:v>
                </c:pt>
                <c:pt idx="88">
                  <c:v>1466</c:v>
                </c:pt>
                <c:pt idx="89">
                  <c:v>947</c:v>
                </c:pt>
                <c:pt idx="90">
                  <c:v>1821</c:v>
                </c:pt>
                <c:pt idx="91">
                  <c:v>1507</c:v>
                </c:pt>
                <c:pt idx="92">
                  <c:v>1075</c:v>
                </c:pt>
                <c:pt idx="93">
                  <c:v>171</c:v>
                </c:pt>
                <c:pt idx="94">
                  <c:v>1487</c:v>
                </c:pt>
                <c:pt idx="95">
                  <c:v>454</c:v>
                </c:pt>
                <c:pt idx="96">
                  <c:v>187</c:v>
                </c:pt>
                <c:pt idx="97">
                  <c:v>513</c:v>
                </c:pt>
                <c:pt idx="98">
                  <c:v>628</c:v>
                </c:pt>
                <c:pt idx="99">
                  <c:v>278</c:v>
                </c:pt>
                <c:pt idx="100">
                  <c:v>1854</c:v>
                </c:pt>
                <c:pt idx="101">
                  <c:v>1710</c:v>
                </c:pt>
                <c:pt idx="102">
                  <c:v>330</c:v>
                </c:pt>
                <c:pt idx="103">
                  <c:v>1293</c:v>
                </c:pt>
                <c:pt idx="104">
                  <c:v>1696</c:v>
                </c:pt>
                <c:pt idx="105">
                  <c:v>1902</c:v>
                </c:pt>
                <c:pt idx="106">
                  <c:v>1441</c:v>
                </c:pt>
                <c:pt idx="107">
                  <c:v>452</c:v>
                </c:pt>
                <c:pt idx="108">
                  <c:v>1494</c:v>
                </c:pt>
                <c:pt idx="109">
                  <c:v>1514</c:v>
                </c:pt>
                <c:pt idx="110">
                  <c:v>1937</c:v>
                </c:pt>
                <c:pt idx="111">
                  <c:v>736</c:v>
                </c:pt>
                <c:pt idx="112">
                  <c:v>1502</c:v>
                </c:pt>
                <c:pt idx="113">
                  <c:v>1623</c:v>
                </c:pt>
                <c:pt idx="114">
                  <c:v>1592</c:v>
                </c:pt>
                <c:pt idx="115">
                  <c:v>1004</c:v>
                </c:pt>
                <c:pt idx="116">
                  <c:v>1092</c:v>
                </c:pt>
                <c:pt idx="117">
                  <c:v>1155</c:v>
                </c:pt>
                <c:pt idx="118">
                  <c:v>1137</c:v>
                </c:pt>
                <c:pt idx="119">
                  <c:v>1900</c:v>
                </c:pt>
                <c:pt idx="120">
                  <c:v>1814</c:v>
                </c:pt>
                <c:pt idx="121">
                  <c:v>1980</c:v>
                </c:pt>
                <c:pt idx="122">
                  <c:v>1786</c:v>
                </c:pt>
                <c:pt idx="123">
                  <c:v>1495</c:v>
                </c:pt>
                <c:pt idx="124">
                  <c:v>1013</c:v>
                </c:pt>
                <c:pt idx="125">
                  <c:v>816</c:v>
                </c:pt>
                <c:pt idx="126">
                  <c:v>1633</c:v>
                </c:pt>
                <c:pt idx="127">
                  <c:v>891</c:v>
                </c:pt>
                <c:pt idx="128">
                  <c:v>1855</c:v>
                </c:pt>
                <c:pt idx="129">
                  <c:v>651</c:v>
                </c:pt>
                <c:pt idx="130">
                  <c:v>118</c:v>
                </c:pt>
                <c:pt idx="131">
                  <c:v>1331</c:v>
                </c:pt>
                <c:pt idx="132">
                  <c:v>1748</c:v>
                </c:pt>
                <c:pt idx="133">
                  <c:v>663</c:v>
                </c:pt>
                <c:pt idx="134">
                  <c:v>1040</c:v>
                </c:pt>
                <c:pt idx="135">
                  <c:v>1166</c:v>
                </c:pt>
                <c:pt idx="136">
                  <c:v>115</c:v>
                </c:pt>
                <c:pt idx="137">
                  <c:v>1249</c:v>
                </c:pt>
                <c:pt idx="138">
                  <c:v>1501</c:v>
                </c:pt>
                <c:pt idx="139">
                  <c:v>1411</c:v>
                </c:pt>
                <c:pt idx="140">
                  <c:v>1556</c:v>
                </c:pt>
                <c:pt idx="141">
                  <c:v>1159</c:v>
                </c:pt>
                <c:pt idx="142">
                  <c:v>927</c:v>
                </c:pt>
                <c:pt idx="143">
                  <c:v>152</c:v>
                </c:pt>
                <c:pt idx="144">
                  <c:v>1957</c:v>
                </c:pt>
                <c:pt idx="145">
                  <c:v>1294</c:v>
                </c:pt>
                <c:pt idx="146">
                  <c:v>1587</c:v>
                </c:pt>
                <c:pt idx="147">
                  <c:v>1707</c:v>
                </c:pt>
                <c:pt idx="148">
                  <c:v>1138</c:v>
                </c:pt>
                <c:pt idx="149">
                  <c:v>1895</c:v>
                </c:pt>
                <c:pt idx="150">
                  <c:v>362</c:v>
                </c:pt>
                <c:pt idx="151">
                  <c:v>1662</c:v>
                </c:pt>
                <c:pt idx="152">
                  <c:v>1440</c:v>
                </c:pt>
                <c:pt idx="153">
                  <c:v>1884</c:v>
                </c:pt>
                <c:pt idx="154">
                  <c:v>861</c:v>
                </c:pt>
                <c:pt idx="155">
                  <c:v>1063</c:v>
                </c:pt>
                <c:pt idx="156">
                  <c:v>1371</c:v>
                </c:pt>
                <c:pt idx="157">
                  <c:v>345</c:v>
                </c:pt>
                <c:pt idx="158">
                  <c:v>946</c:v>
                </c:pt>
                <c:pt idx="159">
                  <c:v>510</c:v>
                </c:pt>
                <c:pt idx="160">
                  <c:v>393</c:v>
                </c:pt>
                <c:pt idx="161">
                  <c:v>1098</c:v>
                </c:pt>
                <c:pt idx="162">
                  <c:v>1399</c:v>
                </c:pt>
                <c:pt idx="163">
                  <c:v>1658</c:v>
                </c:pt>
                <c:pt idx="164">
                  <c:v>1102</c:v>
                </c:pt>
                <c:pt idx="165">
                  <c:v>1358</c:v>
                </c:pt>
                <c:pt idx="166">
                  <c:v>1077</c:v>
                </c:pt>
                <c:pt idx="167">
                  <c:v>1596</c:v>
                </c:pt>
                <c:pt idx="168">
                  <c:v>490</c:v>
                </c:pt>
                <c:pt idx="169">
                  <c:v>609</c:v>
                </c:pt>
                <c:pt idx="170">
                  <c:v>364</c:v>
                </c:pt>
                <c:pt idx="171">
                  <c:v>442</c:v>
                </c:pt>
                <c:pt idx="172">
                  <c:v>1033</c:v>
                </c:pt>
                <c:pt idx="173">
                  <c:v>988</c:v>
                </c:pt>
                <c:pt idx="174">
                  <c:v>1946</c:v>
                </c:pt>
                <c:pt idx="175">
                  <c:v>1957</c:v>
                </c:pt>
                <c:pt idx="176">
                  <c:v>559</c:v>
                </c:pt>
                <c:pt idx="177">
                  <c:v>1307</c:v>
                </c:pt>
                <c:pt idx="178">
                  <c:v>1432</c:v>
                </c:pt>
                <c:pt idx="179">
                  <c:v>623</c:v>
                </c:pt>
                <c:pt idx="180">
                  <c:v>198</c:v>
                </c:pt>
                <c:pt idx="181">
                  <c:v>198</c:v>
                </c:pt>
                <c:pt idx="182">
                  <c:v>353</c:v>
                </c:pt>
                <c:pt idx="183">
                  <c:v>520</c:v>
                </c:pt>
                <c:pt idx="184">
                  <c:v>961</c:v>
                </c:pt>
                <c:pt idx="185">
                  <c:v>1375</c:v>
                </c:pt>
                <c:pt idx="186">
                  <c:v>1147</c:v>
                </c:pt>
                <c:pt idx="187">
                  <c:v>1707</c:v>
                </c:pt>
                <c:pt idx="188">
                  <c:v>1693</c:v>
                </c:pt>
                <c:pt idx="189">
                  <c:v>833</c:v>
                </c:pt>
                <c:pt idx="190">
                  <c:v>1222</c:v>
                </c:pt>
                <c:pt idx="191">
                  <c:v>777</c:v>
                </c:pt>
                <c:pt idx="192">
                  <c:v>1957</c:v>
                </c:pt>
                <c:pt idx="193">
                  <c:v>405</c:v>
                </c:pt>
                <c:pt idx="194">
                  <c:v>1581</c:v>
                </c:pt>
                <c:pt idx="195">
                  <c:v>1035</c:v>
                </c:pt>
                <c:pt idx="196">
                  <c:v>1765</c:v>
                </c:pt>
                <c:pt idx="197">
                  <c:v>837</c:v>
                </c:pt>
                <c:pt idx="198">
                  <c:v>337</c:v>
                </c:pt>
                <c:pt idx="199">
                  <c:v>119</c:v>
                </c:pt>
              </c:numCache>
            </c:numRef>
          </c:xVal>
          <c:yVal>
            <c:numRef>
              <c:f>'Engagement summary'!$G$2:$G$201</c:f>
              <c:numCache>
                <c:formatCode>General</c:formatCode>
                <c:ptCount val="200"/>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yVal>
          <c:smooth val="0"/>
          <c:extLst>
            <c:ext xmlns:c16="http://schemas.microsoft.com/office/drawing/2014/chart" uri="{C3380CC4-5D6E-409C-BE32-E72D297353CC}">
              <c16:uniqueId val="{00000000-846D-4BEA-8147-ACCFB63C515C}"/>
            </c:ext>
          </c:extLst>
        </c:ser>
        <c:dLbls>
          <c:showLegendKey val="0"/>
          <c:showVal val="0"/>
          <c:showCatName val="0"/>
          <c:showSerName val="0"/>
          <c:showPercent val="0"/>
          <c:showBubbleSize val="0"/>
        </c:dLbls>
        <c:axId val="1071327"/>
        <c:axId val="1071807"/>
      </c:scatterChart>
      <c:valAx>
        <c:axId val="107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07"/>
        <c:crosses val="autoZero"/>
        <c:crossBetween val="midCat"/>
      </c:valAx>
      <c:valAx>
        <c:axId val="107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[PROJECT(Tesla_Social_Media_Analysis).xlsx]Task_2.1!PivotTable1</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Platform</a:t>
            </a:r>
            <a:r>
              <a:rPr lang="en-IN" sz="1600" b="1" baseline="0"/>
              <a:t> vs Engagement rate</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90237535671761"/>
          <c:y val="0.26729966449069903"/>
          <c:w val="0.84397431522509614"/>
          <c:h val="0.5310994923143284"/>
        </c:manualLayout>
      </c:layout>
      <c:barChart>
        <c:barDir val="col"/>
        <c:grouping val="clustered"/>
        <c:varyColors val="0"/>
        <c:ser>
          <c:idx val="0"/>
          <c:order val="0"/>
          <c:tx>
            <c:strRef>
              <c:f>Task_2.1!$S$9</c:f>
              <c:strCache>
                <c:ptCount val="1"/>
                <c:pt idx="0">
                  <c:v>Total</c:v>
                </c:pt>
              </c:strCache>
            </c:strRef>
          </c:tx>
          <c:spPr>
            <a:solidFill>
              <a:schemeClr val="accent1"/>
            </a:solidFill>
            <a:ln>
              <a:noFill/>
            </a:ln>
            <a:effectLst/>
          </c:spPr>
          <c:invertIfNegative val="0"/>
          <c:cat>
            <c:strRef>
              <c:f>Task_2.1!$R$10:$R$14</c:f>
              <c:strCache>
                <c:ptCount val="4"/>
                <c:pt idx="0">
                  <c:v>Instagram</c:v>
                </c:pt>
                <c:pt idx="1">
                  <c:v>Twitter</c:v>
                </c:pt>
                <c:pt idx="2">
                  <c:v>YouTube</c:v>
                </c:pt>
                <c:pt idx="3">
                  <c:v>Facebook</c:v>
                </c:pt>
              </c:strCache>
            </c:strRef>
          </c:cat>
          <c:val>
            <c:numRef>
              <c:f>Task_2.1!$S$10:$S$14</c:f>
              <c:numCache>
                <c:formatCode>0.00000</c:formatCode>
                <c:ptCount val="4"/>
                <c:pt idx="0">
                  <c:v>0.19329257693923488</c:v>
                </c:pt>
                <c:pt idx="1">
                  <c:v>0.14368407434207892</c:v>
                </c:pt>
                <c:pt idx="2">
                  <c:v>0.13118493770753806</c:v>
                </c:pt>
                <c:pt idx="3">
                  <c:v>0.12197289956132547</c:v>
                </c:pt>
              </c:numCache>
            </c:numRef>
          </c:val>
          <c:extLst>
            <c:ext xmlns:c16="http://schemas.microsoft.com/office/drawing/2014/chart" uri="{C3380CC4-5D6E-409C-BE32-E72D297353CC}">
              <c16:uniqueId val="{00000000-F2C4-478F-A7B4-9C366FE22593}"/>
            </c:ext>
          </c:extLst>
        </c:ser>
        <c:dLbls>
          <c:showLegendKey val="0"/>
          <c:showVal val="0"/>
          <c:showCatName val="0"/>
          <c:showSerName val="0"/>
          <c:showPercent val="0"/>
          <c:showBubbleSize val="0"/>
        </c:dLbls>
        <c:gapWidth val="219"/>
        <c:overlap val="-27"/>
        <c:axId val="683782240"/>
        <c:axId val="683782720"/>
      </c:barChart>
      <c:catAx>
        <c:axId val="68378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782720"/>
        <c:crosses val="autoZero"/>
        <c:auto val="1"/>
        <c:lblAlgn val="ctr"/>
        <c:lblOffset val="100"/>
        <c:noMultiLvlLbl val="0"/>
      </c:catAx>
      <c:valAx>
        <c:axId val="683782720"/>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78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[PROJECT(Tesla_Social_Media_Analysis).xlsx]Task_4.2!PivotTable5</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Engagement rate by Hashtags</a:t>
            </a:r>
            <a:endParaRPr lang="en-US" sz="1600" b="1"/>
          </a:p>
        </c:rich>
      </c:tx>
      <c:layout>
        <c:manualLayout>
          <c:xMode val="edge"/>
          <c:yMode val="edge"/>
          <c:x val="0.18511836726196712"/>
          <c:y val="8.386787456567579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s>
    <c:plotArea>
      <c:layout>
        <c:manualLayout>
          <c:layoutTarget val="inner"/>
          <c:xMode val="edge"/>
          <c:yMode val="edge"/>
          <c:x val="0.10574275683990064"/>
          <c:y val="0.18803189836258996"/>
          <c:w val="0.45029174640022585"/>
          <c:h val="0.78102804353756861"/>
        </c:manualLayout>
      </c:layout>
      <c:doughnutChart>
        <c:varyColors val="1"/>
        <c:ser>
          <c:idx val="0"/>
          <c:order val="0"/>
          <c:tx>
            <c:strRef>
              <c:f>Task_4.2!$C$9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5C4-48FC-A42D-F30D07DDC18E}"/>
              </c:ext>
            </c:extLst>
          </c:dPt>
          <c:dPt>
            <c:idx val="1"/>
            <c:bubble3D val="0"/>
            <c:spPr>
              <a:solidFill>
                <a:schemeClr val="accent2"/>
              </a:solidFill>
              <a:ln>
                <a:noFill/>
              </a:ln>
              <a:effectLst/>
            </c:spPr>
            <c:extLst>
              <c:ext xmlns:c16="http://schemas.microsoft.com/office/drawing/2014/chart" uri="{C3380CC4-5D6E-409C-BE32-E72D297353CC}">
                <c16:uniqueId val="{00000003-45C4-48FC-A42D-F30D07DDC18E}"/>
              </c:ext>
            </c:extLst>
          </c:dPt>
          <c:dPt>
            <c:idx val="2"/>
            <c:bubble3D val="0"/>
            <c:spPr>
              <a:solidFill>
                <a:schemeClr val="accent3"/>
              </a:solidFill>
              <a:ln>
                <a:noFill/>
              </a:ln>
              <a:effectLst/>
            </c:spPr>
            <c:extLst>
              <c:ext xmlns:c16="http://schemas.microsoft.com/office/drawing/2014/chart" uri="{C3380CC4-5D6E-409C-BE32-E72D297353CC}">
                <c16:uniqueId val="{00000005-45C4-48FC-A42D-F30D07DDC18E}"/>
              </c:ext>
            </c:extLst>
          </c:dPt>
          <c:dPt>
            <c:idx val="3"/>
            <c:bubble3D val="0"/>
            <c:spPr>
              <a:solidFill>
                <a:schemeClr val="accent4"/>
              </a:solidFill>
              <a:ln>
                <a:noFill/>
              </a:ln>
              <a:effectLst/>
            </c:spPr>
            <c:extLst>
              <c:ext xmlns:c16="http://schemas.microsoft.com/office/drawing/2014/chart" uri="{C3380CC4-5D6E-409C-BE32-E72D297353CC}">
                <c16:uniqueId val="{00000007-45C4-48FC-A42D-F30D07DDC18E}"/>
              </c:ext>
            </c:extLst>
          </c:dPt>
          <c:dPt>
            <c:idx val="4"/>
            <c:bubble3D val="0"/>
            <c:spPr>
              <a:solidFill>
                <a:schemeClr val="accent5"/>
              </a:solidFill>
              <a:ln>
                <a:noFill/>
              </a:ln>
              <a:effectLst/>
            </c:spPr>
            <c:extLst>
              <c:ext xmlns:c16="http://schemas.microsoft.com/office/drawing/2014/chart" uri="{C3380CC4-5D6E-409C-BE32-E72D297353CC}">
                <c16:uniqueId val="{00000009-45C4-48FC-A42D-F30D07DDC18E}"/>
              </c:ext>
            </c:extLst>
          </c:dPt>
          <c:dPt>
            <c:idx val="5"/>
            <c:bubble3D val="0"/>
            <c:spPr>
              <a:solidFill>
                <a:schemeClr val="accent6"/>
              </a:solidFill>
              <a:ln>
                <a:noFill/>
              </a:ln>
              <a:effectLst/>
            </c:spPr>
            <c:extLst>
              <c:ext xmlns:c16="http://schemas.microsoft.com/office/drawing/2014/chart" uri="{C3380CC4-5D6E-409C-BE32-E72D297353CC}">
                <c16:uniqueId val="{0000000B-45C4-48FC-A42D-F30D07DDC18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Task_4.2!$B$10:$B$14</c:f>
              <c:strCache>
                <c:ptCount val="5"/>
                <c:pt idx="0">
                  <c:v>#TeslaCoInnovation</c:v>
                </c:pt>
                <c:pt idx="1">
                  <c:v>#FutureOfDriving</c:v>
                </c:pt>
                <c:pt idx="2">
                  <c:v>#BetterWithTesla</c:v>
                </c:pt>
                <c:pt idx="3">
                  <c:v>#SmoothLikeNitroTesla</c:v>
                </c:pt>
                <c:pt idx="4">
                  <c:v>#AnytimeIsTeslaTime</c:v>
                </c:pt>
              </c:strCache>
            </c:strRef>
          </c:cat>
          <c:val>
            <c:numRef>
              <c:f>Task_4.2!$C$10:$C$14</c:f>
              <c:numCache>
                <c:formatCode>0.0%</c:formatCode>
                <c:ptCount val="5"/>
                <c:pt idx="0">
                  <c:v>0.14471339381780796</c:v>
                </c:pt>
                <c:pt idx="1">
                  <c:v>0.13857976961822341</c:v>
                </c:pt>
                <c:pt idx="2">
                  <c:v>0.13494405008865157</c:v>
                </c:pt>
                <c:pt idx="3">
                  <c:v>0.11566320297628388</c:v>
                </c:pt>
                <c:pt idx="4">
                  <c:v>0.11063720939078141</c:v>
                </c:pt>
              </c:numCache>
            </c:numRef>
          </c:val>
          <c:extLst>
            <c:ext xmlns:c16="http://schemas.microsoft.com/office/drawing/2014/chart" uri="{C3380CC4-5D6E-409C-BE32-E72D297353CC}">
              <c16:uniqueId val="{0000000C-45C4-48FC-A42D-F30D07DDC18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[PROJECT(Tesla_Social_Media_Analysis).xlsx]Task_4.3!PivotTable6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Average Engagement Rate by Content Type(Video vs Image vs  Carousel)</a:t>
            </a:r>
          </a:p>
          <a:p>
            <a:pPr>
              <a:defRPr/>
            </a:pPr>
            <a:endParaRPr lang="en-US"/>
          </a:p>
        </c:rich>
      </c:tx>
      <c:layout>
        <c:manualLayout>
          <c:xMode val="edge"/>
          <c:yMode val="edge"/>
          <c:x val="0.13497019546657951"/>
          <c:y val="7.4313657873057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139416006165096"/>
          <c:y val="0.29210675072156683"/>
          <c:w val="0.4695360610467923"/>
          <c:h val="0.69177132974203281"/>
        </c:manualLayout>
      </c:layout>
      <c:pieChart>
        <c:varyColors val="1"/>
        <c:ser>
          <c:idx val="0"/>
          <c:order val="0"/>
          <c:tx>
            <c:strRef>
              <c:f>Task_4.3!$D$12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22-4860-AA65-87FE05074E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22-4860-AA65-87FE05074E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22-4860-AA65-87FE05074E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1D-40AB-BCD4-A1B08796A90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Task_4.3!$C$13:$C$16</c:f>
              <c:strCache>
                <c:ptCount val="4"/>
                <c:pt idx="0">
                  <c:v>Carousel</c:v>
                </c:pt>
                <c:pt idx="1">
                  <c:v>Video</c:v>
                </c:pt>
                <c:pt idx="2">
                  <c:v>Image</c:v>
                </c:pt>
                <c:pt idx="3">
                  <c:v>Text</c:v>
                </c:pt>
              </c:strCache>
            </c:strRef>
          </c:cat>
          <c:val>
            <c:numRef>
              <c:f>Task_4.3!$D$13:$D$16</c:f>
              <c:numCache>
                <c:formatCode>0.0%</c:formatCode>
                <c:ptCount val="4"/>
                <c:pt idx="0">
                  <c:v>0.15130647394700394</c:v>
                </c:pt>
                <c:pt idx="1">
                  <c:v>0.14171390230700856</c:v>
                </c:pt>
                <c:pt idx="2">
                  <c:v>0.14055105527506045</c:v>
                </c:pt>
                <c:pt idx="3">
                  <c:v>0.11493409110463296</c:v>
                </c:pt>
              </c:numCache>
            </c:numRef>
          </c:val>
          <c:extLst>
            <c:ext xmlns:c16="http://schemas.microsoft.com/office/drawing/2014/chart" uri="{C3380CC4-5D6E-409C-BE32-E72D297353CC}">
              <c16:uniqueId val="{00000006-1322-4860-AA65-87FE05074E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[PROJECT(Tesla_Social_Media_Analysis).xlsx]Task_2.3(2)!PivotTable4</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Clicks</a:t>
            </a:r>
            <a:r>
              <a:rPr lang="en-US" sz="1800" b="1" baseline="0"/>
              <a:t> per posts by Hashtags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'Task_2.3(2)'!$C$14</c:f>
              <c:strCache>
                <c:ptCount val="1"/>
                <c:pt idx="0">
                  <c:v>Total</c:v>
                </c:pt>
              </c:strCache>
            </c:strRef>
          </c:tx>
          <c:spPr>
            <a:solidFill>
              <a:schemeClr val="accent1"/>
            </a:solidFill>
            <a:ln>
              <a:noFill/>
            </a:ln>
            <a:effectLst/>
          </c:spPr>
          <c:invertIfNegative val="0"/>
          <c:cat>
            <c:strRef>
              <c:f>'Task_2.3(2)'!$B$15:$B$21</c:f>
              <c:strCache>
                <c:ptCount val="6"/>
                <c:pt idx="0">
                  <c:v>#AnytimeIsTeslaTime</c:v>
                </c:pt>
                <c:pt idx="1">
                  <c:v>#TeslaCoInnovation</c:v>
                </c:pt>
                <c:pt idx="2">
                  <c:v>#EVRevolution</c:v>
                </c:pt>
                <c:pt idx="3">
                  <c:v>#FutureOfDriving</c:v>
                </c:pt>
                <c:pt idx="4">
                  <c:v>#BetterWithTesla</c:v>
                </c:pt>
                <c:pt idx="5">
                  <c:v>#SmoothLikeNitroTesla</c:v>
                </c:pt>
              </c:strCache>
            </c:strRef>
          </c:cat>
          <c:val>
            <c:numRef>
              <c:f>'Task_2.3(2)'!$C$15:$C$21</c:f>
              <c:numCache>
                <c:formatCode>0.0</c:formatCode>
                <c:ptCount val="6"/>
                <c:pt idx="0">
                  <c:v>161.19999999999999</c:v>
                </c:pt>
                <c:pt idx="1">
                  <c:v>158.65420560747663</c:v>
                </c:pt>
                <c:pt idx="2">
                  <c:v>151.52941176470588</c:v>
                </c:pt>
                <c:pt idx="3">
                  <c:v>144.03883495145632</c:v>
                </c:pt>
                <c:pt idx="4">
                  <c:v>114.85714285714286</c:v>
                </c:pt>
                <c:pt idx="5">
                  <c:v>111.8</c:v>
                </c:pt>
              </c:numCache>
            </c:numRef>
          </c:val>
          <c:extLst>
            <c:ext xmlns:c16="http://schemas.microsoft.com/office/drawing/2014/chart" uri="{C3380CC4-5D6E-409C-BE32-E72D297353CC}">
              <c16:uniqueId val="{00000000-C78A-4E80-A0F2-73E62D2479F7}"/>
            </c:ext>
          </c:extLst>
        </c:ser>
        <c:dLbls>
          <c:showLegendKey val="0"/>
          <c:showVal val="0"/>
          <c:showCatName val="0"/>
          <c:showSerName val="0"/>
          <c:showPercent val="0"/>
          <c:showBubbleSize val="0"/>
        </c:dLbls>
        <c:gapWidth val="219"/>
        <c:axId val="1791087296"/>
        <c:axId val="1791082016"/>
      </c:barChart>
      <c:catAx>
        <c:axId val="179108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82016"/>
        <c:crosses val="autoZero"/>
        <c:auto val="1"/>
        <c:lblAlgn val="ctr"/>
        <c:lblOffset val="100"/>
        <c:noMultiLvlLbl val="0"/>
      </c:catAx>
      <c:valAx>
        <c:axId val="179108201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8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[PROJECT(Tesla_Social_Media_Analysis).xlsx]Task_5.3!PivotTable11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0129331418257"/>
          <c:y val="0.13413680444199055"/>
          <c:w val="0.53475772609265781"/>
          <c:h val="0.62649985982377943"/>
        </c:manualLayout>
      </c:layout>
      <c:barChart>
        <c:barDir val="col"/>
        <c:grouping val="clustered"/>
        <c:varyColors val="0"/>
        <c:ser>
          <c:idx val="0"/>
          <c:order val="0"/>
          <c:tx>
            <c:strRef>
              <c:f>Task_5.3!$C$13</c:f>
              <c:strCache>
                <c:ptCount val="1"/>
                <c:pt idx="0">
                  <c:v>Average of Ad_Spend</c:v>
                </c:pt>
              </c:strCache>
            </c:strRef>
          </c:tx>
          <c:spPr>
            <a:solidFill>
              <a:schemeClr val="accent1"/>
            </a:solidFill>
            <a:ln>
              <a:noFill/>
            </a:ln>
            <a:effectLst/>
          </c:spPr>
          <c:invertIfNegative val="0"/>
          <c:cat>
            <c:strRef>
              <c:f>Task_5.3!$B$14:$B$18</c:f>
              <c:strCache>
                <c:ptCount val="5"/>
                <c:pt idx="0">
                  <c:v>SustainabilityDrive</c:v>
                </c:pt>
                <c:pt idx="1">
                  <c:v>FSDUpdate</c:v>
                </c:pt>
                <c:pt idx="2">
                  <c:v>CybertruckLaunch</c:v>
                </c:pt>
                <c:pt idx="3">
                  <c:v>unknown</c:v>
                </c:pt>
                <c:pt idx="4">
                  <c:v>(blank)</c:v>
                </c:pt>
              </c:strCache>
            </c:strRef>
          </c:cat>
          <c:val>
            <c:numRef>
              <c:f>Task_5.3!$C$14:$C$18</c:f>
              <c:numCache>
                <c:formatCode>0.00</c:formatCode>
                <c:ptCount val="5"/>
                <c:pt idx="0">
                  <c:v>23520.173076923078</c:v>
                </c:pt>
                <c:pt idx="1">
                  <c:v>25042.39393939394</c:v>
                </c:pt>
                <c:pt idx="2">
                  <c:v>26579.064516129034</c:v>
                </c:pt>
                <c:pt idx="3">
                  <c:v>21994.128205128207</c:v>
                </c:pt>
              </c:numCache>
            </c:numRef>
          </c:val>
          <c:extLst>
            <c:ext xmlns:c16="http://schemas.microsoft.com/office/drawing/2014/chart" uri="{C3380CC4-5D6E-409C-BE32-E72D297353CC}">
              <c16:uniqueId val="{00000000-0870-4887-8AD6-A4F87EBD5C7E}"/>
            </c:ext>
          </c:extLst>
        </c:ser>
        <c:ser>
          <c:idx val="1"/>
          <c:order val="1"/>
          <c:tx>
            <c:strRef>
              <c:f>Task_5.3!$D$13</c:f>
              <c:strCache>
                <c:ptCount val="1"/>
                <c:pt idx="0">
                  <c:v>Average of Engagement_Rate</c:v>
                </c:pt>
              </c:strCache>
            </c:strRef>
          </c:tx>
          <c:spPr>
            <a:solidFill>
              <a:schemeClr val="accent2"/>
            </a:solidFill>
            <a:ln>
              <a:noFill/>
            </a:ln>
            <a:effectLst/>
          </c:spPr>
          <c:invertIfNegative val="0"/>
          <c:cat>
            <c:strRef>
              <c:f>Task_5.3!$B$14:$B$18</c:f>
              <c:strCache>
                <c:ptCount val="5"/>
                <c:pt idx="0">
                  <c:v>SustainabilityDrive</c:v>
                </c:pt>
                <c:pt idx="1">
                  <c:v>FSDUpdate</c:v>
                </c:pt>
                <c:pt idx="2">
                  <c:v>CybertruckLaunch</c:v>
                </c:pt>
                <c:pt idx="3">
                  <c:v>unknown</c:v>
                </c:pt>
                <c:pt idx="4">
                  <c:v>(blank)</c:v>
                </c:pt>
              </c:strCache>
            </c:strRef>
          </c:cat>
          <c:val>
            <c:numRef>
              <c:f>Task_5.3!$D$14:$D$18</c:f>
              <c:numCache>
                <c:formatCode>0.000</c:formatCode>
                <c:ptCount val="5"/>
                <c:pt idx="0">
                  <c:v>5.6165384615384601</c:v>
                </c:pt>
                <c:pt idx="1">
                  <c:v>5.9003030303030304</c:v>
                </c:pt>
                <c:pt idx="2">
                  <c:v>6.1706451612903228</c:v>
                </c:pt>
                <c:pt idx="3">
                  <c:v>4.8507692307692318</c:v>
                </c:pt>
              </c:numCache>
            </c:numRef>
          </c:val>
          <c:extLst>
            <c:ext xmlns:c16="http://schemas.microsoft.com/office/drawing/2014/chart" uri="{C3380CC4-5D6E-409C-BE32-E72D297353CC}">
              <c16:uniqueId val="{00000001-0870-4887-8AD6-A4F87EBD5C7E}"/>
            </c:ext>
          </c:extLst>
        </c:ser>
        <c:dLbls>
          <c:showLegendKey val="0"/>
          <c:showVal val="0"/>
          <c:showCatName val="0"/>
          <c:showSerName val="0"/>
          <c:showPercent val="0"/>
          <c:showBubbleSize val="0"/>
        </c:dLbls>
        <c:gapWidth val="219"/>
        <c:axId val="133314976"/>
        <c:axId val="133307776"/>
      </c:barChart>
      <c:lineChart>
        <c:grouping val="standard"/>
        <c:varyColors val="0"/>
        <c:ser>
          <c:idx val="2"/>
          <c:order val="2"/>
          <c:tx>
            <c:strRef>
              <c:f>Task_5.3!$E$13</c:f>
              <c:strCache>
                <c:ptCount val="1"/>
                <c:pt idx="0">
                  <c:v>Percentage of ROI</c:v>
                </c:pt>
              </c:strCache>
            </c:strRef>
          </c:tx>
          <c:spPr>
            <a:ln w="28575" cap="rnd">
              <a:solidFill>
                <a:schemeClr val="accent3"/>
              </a:solidFill>
              <a:round/>
            </a:ln>
            <a:effectLst/>
          </c:spPr>
          <c:marker>
            <c:symbol val="none"/>
          </c:marker>
          <c:cat>
            <c:strRef>
              <c:f>Task_5.3!$B$14:$B$18</c:f>
              <c:strCache>
                <c:ptCount val="5"/>
                <c:pt idx="0">
                  <c:v>SustainabilityDrive</c:v>
                </c:pt>
                <c:pt idx="1">
                  <c:v>FSDUpdate</c:v>
                </c:pt>
                <c:pt idx="2">
                  <c:v>CybertruckLaunch</c:v>
                </c:pt>
                <c:pt idx="3">
                  <c:v>unknown</c:v>
                </c:pt>
                <c:pt idx="4">
                  <c:v>(blank)</c:v>
                </c:pt>
              </c:strCache>
            </c:strRef>
          </c:cat>
          <c:val>
            <c:numRef>
              <c:f>Task_5.3!$E$14:$E$18</c:f>
              <c:numCache>
                <c:formatCode>0.0000%</c:formatCode>
                <c:ptCount val="5"/>
                <c:pt idx="0">
                  <c:v>2.3879664674105448E-4</c:v>
                </c:pt>
                <c:pt idx="1">
                  <c:v>2.3561257939566725E-4</c:v>
                </c:pt>
                <c:pt idx="2">
                  <c:v>2.3216186399433949E-4</c:v>
                </c:pt>
                <c:pt idx="3">
                  <c:v>2.205483747993346E-4</c:v>
                </c:pt>
                <c:pt idx="4">
                  <c:v>#N/A</c:v>
                </c:pt>
              </c:numCache>
            </c:numRef>
          </c:val>
          <c:smooth val="0"/>
          <c:extLst>
            <c:ext xmlns:c16="http://schemas.microsoft.com/office/drawing/2014/chart" uri="{C3380CC4-5D6E-409C-BE32-E72D297353CC}">
              <c16:uniqueId val="{00000002-0870-4887-8AD6-A4F87EBD5C7E}"/>
            </c:ext>
          </c:extLst>
        </c:ser>
        <c:dLbls>
          <c:showLegendKey val="0"/>
          <c:showVal val="0"/>
          <c:showCatName val="0"/>
          <c:showSerName val="0"/>
          <c:showPercent val="0"/>
          <c:showBubbleSize val="0"/>
        </c:dLbls>
        <c:marker val="1"/>
        <c:smooth val="0"/>
        <c:axId val="1796075536"/>
        <c:axId val="1796075056"/>
      </c:lineChart>
      <c:catAx>
        <c:axId val="13331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7776"/>
        <c:crosses val="autoZero"/>
        <c:auto val="1"/>
        <c:lblAlgn val="ctr"/>
        <c:lblOffset val="100"/>
        <c:noMultiLvlLbl val="0"/>
      </c:catAx>
      <c:valAx>
        <c:axId val="133307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14976"/>
        <c:crosses val="autoZero"/>
        <c:crossBetween val="between"/>
      </c:valAx>
      <c:valAx>
        <c:axId val="1796075056"/>
        <c:scaling>
          <c:orientation val="minMax"/>
        </c:scaling>
        <c:delete val="0"/>
        <c:axPos val="r"/>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075536"/>
        <c:crosses val="max"/>
        <c:crossBetween val="between"/>
      </c:valAx>
      <c:catAx>
        <c:axId val="1796075536"/>
        <c:scaling>
          <c:orientation val="minMax"/>
        </c:scaling>
        <c:delete val="1"/>
        <c:axPos val="b"/>
        <c:numFmt formatCode="General" sourceLinked="1"/>
        <c:majorTickMark val="out"/>
        <c:minorTickMark val="none"/>
        <c:tickLblPos val="nextTo"/>
        <c:crossAx val="1796075056"/>
        <c:crosses val="autoZero"/>
        <c:auto val="1"/>
        <c:lblAlgn val="ctr"/>
        <c:lblOffset val="100"/>
        <c:noMultiLvlLbl val="0"/>
      </c:catAx>
      <c:spPr>
        <a:noFill/>
        <a:ln>
          <a:noFill/>
        </a:ln>
        <a:effectLst/>
      </c:spPr>
    </c:plotArea>
    <c:legend>
      <c:legendPos val="r"/>
      <c:layout>
        <c:manualLayout>
          <c:xMode val="edge"/>
          <c:yMode val="edge"/>
          <c:x val="0.78407125725371152"/>
          <c:y val="0.10962260855421524"/>
          <c:w val="0.20430081252231122"/>
          <c:h val="0.824334660517900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[PROJECT(Tesla_Social_Media_Analysis).xlsx]Task_5.4!PivotTable12</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Follower</a:t>
            </a:r>
            <a:r>
              <a:rPr lang="en-IN" sz="1600" b="1" baseline="0"/>
              <a:t> Growth by Campaign(Total vs  Average)</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9265095187815"/>
          <c:y val="0.30706340511077207"/>
          <c:w val="0.65087153360706484"/>
          <c:h val="0.35082477499155257"/>
        </c:manualLayout>
      </c:layout>
      <c:lineChart>
        <c:grouping val="standard"/>
        <c:varyColors val="0"/>
        <c:ser>
          <c:idx val="0"/>
          <c:order val="0"/>
          <c:tx>
            <c:strRef>
              <c:f>Task_5.4!$D$12</c:f>
              <c:strCache>
                <c:ptCount val="1"/>
                <c:pt idx="0">
                  <c:v>Total_Follower_Gain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Task_5.4!$C$13:$C$18</c:f>
              <c:strCache>
                <c:ptCount val="5"/>
                <c:pt idx="0">
                  <c:v>SustainabilityDrive</c:v>
                </c:pt>
                <c:pt idx="1">
                  <c:v>unknown</c:v>
                </c:pt>
                <c:pt idx="2">
                  <c:v>FSDUpdate</c:v>
                </c:pt>
                <c:pt idx="3">
                  <c:v>CybertruckLaunch</c:v>
                </c:pt>
                <c:pt idx="4">
                  <c:v>(blank)</c:v>
                </c:pt>
              </c:strCache>
            </c:strRef>
          </c:cat>
          <c:val>
            <c:numRef>
              <c:f>Task_5.4!$D$13:$D$18</c:f>
              <c:numCache>
                <c:formatCode>General</c:formatCode>
                <c:ptCount val="5"/>
                <c:pt idx="0">
                  <c:v>56133</c:v>
                </c:pt>
                <c:pt idx="1">
                  <c:v>38684</c:v>
                </c:pt>
                <c:pt idx="2">
                  <c:v>31694</c:v>
                </c:pt>
                <c:pt idx="3">
                  <c:v>30618</c:v>
                </c:pt>
              </c:numCache>
            </c:numRef>
          </c:val>
          <c:smooth val="0"/>
          <c:extLst>
            <c:ext xmlns:c16="http://schemas.microsoft.com/office/drawing/2014/chart" uri="{C3380CC4-5D6E-409C-BE32-E72D297353CC}">
              <c16:uniqueId val="{00000000-00F4-4FAF-A688-014002A6AD7D}"/>
            </c:ext>
          </c:extLst>
        </c:ser>
        <c:ser>
          <c:idx val="1"/>
          <c:order val="1"/>
          <c:tx>
            <c:strRef>
              <c:f>Task_5.4!$E$12</c:f>
              <c:strCache>
                <c:ptCount val="1"/>
                <c:pt idx="0">
                  <c:v>Average_Follower_Gain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Task_5.4!$C$13:$C$18</c:f>
              <c:strCache>
                <c:ptCount val="5"/>
                <c:pt idx="0">
                  <c:v>SustainabilityDrive</c:v>
                </c:pt>
                <c:pt idx="1">
                  <c:v>unknown</c:v>
                </c:pt>
                <c:pt idx="2">
                  <c:v>FSDUpdate</c:v>
                </c:pt>
                <c:pt idx="3">
                  <c:v>CybertruckLaunch</c:v>
                </c:pt>
                <c:pt idx="4">
                  <c:v>(blank)</c:v>
                </c:pt>
              </c:strCache>
            </c:strRef>
          </c:cat>
          <c:val>
            <c:numRef>
              <c:f>Task_5.4!$E$13:$E$18</c:f>
              <c:numCache>
                <c:formatCode>General</c:formatCode>
                <c:ptCount val="5"/>
                <c:pt idx="0">
                  <c:v>1079.4807692307693</c:v>
                </c:pt>
                <c:pt idx="1">
                  <c:v>991.89743589743591</c:v>
                </c:pt>
                <c:pt idx="2">
                  <c:v>960.42424242424238</c:v>
                </c:pt>
                <c:pt idx="3">
                  <c:v>987.67741935483866</c:v>
                </c:pt>
              </c:numCache>
            </c:numRef>
          </c:val>
          <c:smooth val="0"/>
          <c:extLst>
            <c:ext xmlns:c16="http://schemas.microsoft.com/office/drawing/2014/chart" uri="{C3380CC4-5D6E-409C-BE32-E72D297353CC}">
              <c16:uniqueId val="{00000001-00F4-4FAF-A688-014002A6AD7D}"/>
            </c:ext>
          </c:extLst>
        </c:ser>
        <c:dLbls>
          <c:showLegendKey val="0"/>
          <c:showVal val="0"/>
          <c:showCatName val="0"/>
          <c:showSerName val="0"/>
          <c:showPercent val="0"/>
          <c:showBubbleSize val="0"/>
        </c:dLbls>
        <c:marker val="1"/>
        <c:smooth val="0"/>
        <c:axId val="2098578128"/>
        <c:axId val="2098583888"/>
      </c:lineChart>
      <c:catAx>
        <c:axId val="209857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583888"/>
        <c:crosses val="autoZero"/>
        <c:auto val="1"/>
        <c:lblAlgn val="ctr"/>
        <c:lblOffset val="100"/>
        <c:noMultiLvlLbl val="0"/>
      </c:catAx>
      <c:valAx>
        <c:axId val="209858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578128"/>
        <c:crosses val="autoZero"/>
        <c:crossBetween val="between"/>
      </c:valAx>
      <c:spPr>
        <a:noFill/>
        <a:ln>
          <a:noFill/>
        </a:ln>
        <a:effectLst/>
      </c:spPr>
    </c:plotArea>
    <c:legend>
      <c:legendPos val="r"/>
      <c:layout>
        <c:manualLayout>
          <c:xMode val="edge"/>
          <c:yMode val="edge"/>
          <c:x val="0.76207095908976752"/>
          <c:y val="0.27412257798074335"/>
          <c:w val="0.22151549184858349"/>
          <c:h val="0.6253999296901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Ad_Spend</a:t>
            </a:r>
            <a:r>
              <a:rPr lang="en-US" sz="1600" b="1" baseline="0"/>
              <a:t> vs New_Followers</a:t>
            </a:r>
            <a:endParaRPr lang="en-US" sz="1600" b="1"/>
          </a:p>
        </c:rich>
      </c:tx>
      <c:layout>
        <c:manualLayout>
          <c:xMode val="edge"/>
          <c:yMode val="edge"/>
          <c:x val="0.22264765349089152"/>
          <c:y val="2.962957062663832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'Engagement summary'!$G$1</c:f>
              <c:strCache>
                <c:ptCount val="1"/>
                <c:pt idx="0">
                  <c:v>Ad_Spend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'Engagement summary'!$C$2:$C$201</c:f>
              <c:numCache>
                <c:formatCode>General</c:formatCode>
                <c:ptCount val="200"/>
                <c:pt idx="0">
                  <c:v>1135</c:v>
                </c:pt>
                <c:pt idx="1">
                  <c:v>1312</c:v>
                </c:pt>
                <c:pt idx="2">
                  <c:v>584</c:v>
                </c:pt>
                <c:pt idx="3">
                  <c:v>1535</c:v>
                </c:pt>
                <c:pt idx="4">
                  <c:v>656</c:v>
                </c:pt>
                <c:pt idx="5">
                  <c:v>1697</c:v>
                </c:pt>
                <c:pt idx="6">
                  <c:v>436</c:v>
                </c:pt>
                <c:pt idx="7">
                  <c:v>1197</c:v>
                </c:pt>
                <c:pt idx="8">
                  <c:v>1048</c:v>
                </c:pt>
                <c:pt idx="9">
                  <c:v>1753</c:v>
                </c:pt>
                <c:pt idx="10">
                  <c:v>1335</c:v>
                </c:pt>
                <c:pt idx="11">
                  <c:v>403</c:v>
                </c:pt>
                <c:pt idx="12">
                  <c:v>911</c:v>
                </c:pt>
                <c:pt idx="13">
                  <c:v>1779</c:v>
                </c:pt>
                <c:pt idx="14">
                  <c:v>1238</c:v>
                </c:pt>
                <c:pt idx="15">
                  <c:v>308</c:v>
                </c:pt>
                <c:pt idx="16">
                  <c:v>226</c:v>
                </c:pt>
                <c:pt idx="17">
                  <c:v>505</c:v>
                </c:pt>
                <c:pt idx="18">
                  <c:v>1420</c:v>
                </c:pt>
                <c:pt idx="19">
                  <c:v>144</c:v>
                </c:pt>
                <c:pt idx="20">
                  <c:v>1757</c:v>
                </c:pt>
                <c:pt idx="21">
                  <c:v>350</c:v>
                </c:pt>
                <c:pt idx="22">
                  <c:v>987</c:v>
                </c:pt>
                <c:pt idx="23">
                  <c:v>883</c:v>
                </c:pt>
                <c:pt idx="24">
                  <c:v>1960</c:v>
                </c:pt>
                <c:pt idx="25">
                  <c:v>170</c:v>
                </c:pt>
                <c:pt idx="26">
                  <c:v>704</c:v>
                </c:pt>
                <c:pt idx="27">
                  <c:v>224</c:v>
                </c:pt>
                <c:pt idx="28">
                  <c:v>508</c:v>
                </c:pt>
                <c:pt idx="29">
                  <c:v>1391</c:v>
                </c:pt>
                <c:pt idx="30">
                  <c:v>1701</c:v>
                </c:pt>
                <c:pt idx="31">
                  <c:v>804</c:v>
                </c:pt>
                <c:pt idx="32">
                  <c:v>653</c:v>
                </c:pt>
                <c:pt idx="33">
                  <c:v>160</c:v>
                </c:pt>
                <c:pt idx="34">
                  <c:v>1756</c:v>
                </c:pt>
                <c:pt idx="35">
                  <c:v>576</c:v>
                </c:pt>
                <c:pt idx="36">
                  <c:v>645</c:v>
                </c:pt>
                <c:pt idx="37">
                  <c:v>214</c:v>
                </c:pt>
                <c:pt idx="38">
                  <c:v>826</c:v>
                </c:pt>
                <c:pt idx="39">
                  <c:v>460</c:v>
                </c:pt>
                <c:pt idx="40">
                  <c:v>1528</c:v>
                </c:pt>
                <c:pt idx="41">
                  <c:v>1534</c:v>
                </c:pt>
                <c:pt idx="42">
                  <c:v>485</c:v>
                </c:pt>
                <c:pt idx="43">
                  <c:v>1210</c:v>
                </c:pt>
                <c:pt idx="44">
                  <c:v>215</c:v>
                </c:pt>
                <c:pt idx="45">
                  <c:v>1078</c:v>
                </c:pt>
                <c:pt idx="46">
                  <c:v>1751</c:v>
                </c:pt>
                <c:pt idx="47">
                  <c:v>221</c:v>
                </c:pt>
                <c:pt idx="48">
                  <c:v>1685</c:v>
                </c:pt>
                <c:pt idx="49">
                  <c:v>248</c:v>
                </c:pt>
                <c:pt idx="50">
                  <c:v>1300</c:v>
                </c:pt>
                <c:pt idx="51">
                  <c:v>422</c:v>
                </c:pt>
                <c:pt idx="52">
                  <c:v>1429</c:v>
                </c:pt>
                <c:pt idx="53">
                  <c:v>1520</c:v>
                </c:pt>
                <c:pt idx="54">
                  <c:v>557</c:v>
                </c:pt>
                <c:pt idx="55">
                  <c:v>728</c:v>
                </c:pt>
                <c:pt idx="56">
                  <c:v>1592</c:v>
                </c:pt>
                <c:pt idx="57">
                  <c:v>1842</c:v>
                </c:pt>
                <c:pt idx="58">
                  <c:v>751</c:v>
                </c:pt>
                <c:pt idx="59">
                  <c:v>1409</c:v>
                </c:pt>
                <c:pt idx="60">
                  <c:v>778</c:v>
                </c:pt>
                <c:pt idx="61">
                  <c:v>443</c:v>
                </c:pt>
                <c:pt idx="62">
                  <c:v>1472</c:v>
                </c:pt>
                <c:pt idx="63">
                  <c:v>123</c:v>
                </c:pt>
                <c:pt idx="64">
                  <c:v>817</c:v>
                </c:pt>
                <c:pt idx="65">
                  <c:v>198</c:v>
                </c:pt>
                <c:pt idx="66">
                  <c:v>1911</c:v>
                </c:pt>
                <c:pt idx="67">
                  <c:v>1218</c:v>
                </c:pt>
                <c:pt idx="68">
                  <c:v>1433</c:v>
                </c:pt>
                <c:pt idx="69">
                  <c:v>250</c:v>
                </c:pt>
                <c:pt idx="70">
                  <c:v>752</c:v>
                </c:pt>
                <c:pt idx="71">
                  <c:v>1918</c:v>
                </c:pt>
                <c:pt idx="72">
                  <c:v>1939</c:v>
                </c:pt>
                <c:pt idx="73">
                  <c:v>1929</c:v>
                </c:pt>
                <c:pt idx="74">
                  <c:v>437</c:v>
                </c:pt>
                <c:pt idx="75">
                  <c:v>307</c:v>
                </c:pt>
                <c:pt idx="76">
                  <c:v>1527</c:v>
                </c:pt>
                <c:pt idx="77">
                  <c:v>643</c:v>
                </c:pt>
                <c:pt idx="78">
                  <c:v>201</c:v>
                </c:pt>
                <c:pt idx="79">
                  <c:v>414</c:v>
                </c:pt>
                <c:pt idx="80">
                  <c:v>703</c:v>
                </c:pt>
                <c:pt idx="81">
                  <c:v>508</c:v>
                </c:pt>
                <c:pt idx="82">
                  <c:v>697</c:v>
                </c:pt>
                <c:pt idx="83">
                  <c:v>1707</c:v>
                </c:pt>
                <c:pt idx="84">
                  <c:v>642</c:v>
                </c:pt>
                <c:pt idx="85">
                  <c:v>859</c:v>
                </c:pt>
                <c:pt idx="86">
                  <c:v>191</c:v>
                </c:pt>
                <c:pt idx="87">
                  <c:v>1814</c:v>
                </c:pt>
                <c:pt idx="88">
                  <c:v>1466</c:v>
                </c:pt>
                <c:pt idx="89">
                  <c:v>947</c:v>
                </c:pt>
                <c:pt idx="90">
                  <c:v>1821</c:v>
                </c:pt>
                <c:pt idx="91">
                  <c:v>1507</c:v>
                </c:pt>
                <c:pt idx="92">
                  <c:v>1075</c:v>
                </c:pt>
                <c:pt idx="93">
                  <c:v>171</c:v>
                </c:pt>
                <c:pt idx="94">
                  <c:v>1487</c:v>
                </c:pt>
                <c:pt idx="95">
                  <c:v>454</c:v>
                </c:pt>
                <c:pt idx="96">
                  <c:v>187</c:v>
                </c:pt>
                <c:pt idx="97">
                  <c:v>513</c:v>
                </c:pt>
                <c:pt idx="98">
                  <c:v>628</c:v>
                </c:pt>
                <c:pt idx="99">
                  <c:v>278</c:v>
                </c:pt>
                <c:pt idx="100">
                  <c:v>1854</c:v>
                </c:pt>
                <c:pt idx="101">
                  <c:v>1710</c:v>
                </c:pt>
                <c:pt idx="102">
                  <c:v>330</c:v>
                </c:pt>
                <c:pt idx="103">
                  <c:v>1293</c:v>
                </c:pt>
                <c:pt idx="104">
                  <c:v>1696</c:v>
                </c:pt>
                <c:pt idx="105">
                  <c:v>1902</c:v>
                </c:pt>
                <c:pt idx="106">
                  <c:v>1441</c:v>
                </c:pt>
                <c:pt idx="107">
                  <c:v>452</c:v>
                </c:pt>
                <c:pt idx="108">
                  <c:v>1494</c:v>
                </c:pt>
                <c:pt idx="109">
                  <c:v>1514</c:v>
                </c:pt>
                <c:pt idx="110">
                  <c:v>1937</c:v>
                </c:pt>
                <c:pt idx="111">
                  <c:v>736</c:v>
                </c:pt>
                <c:pt idx="112">
                  <c:v>1502</c:v>
                </c:pt>
                <c:pt idx="113">
                  <c:v>1623</c:v>
                </c:pt>
                <c:pt idx="114">
                  <c:v>1592</c:v>
                </c:pt>
                <c:pt idx="115">
                  <c:v>1004</c:v>
                </c:pt>
                <c:pt idx="116">
                  <c:v>1092</c:v>
                </c:pt>
                <c:pt idx="117">
                  <c:v>1155</c:v>
                </c:pt>
                <c:pt idx="118">
                  <c:v>1137</c:v>
                </c:pt>
                <c:pt idx="119">
                  <c:v>1900</c:v>
                </c:pt>
                <c:pt idx="120">
                  <c:v>1814</c:v>
                </c:pt>
                <c:pt idx="121">
                  <c:v>1980</c:v>
                </c:pt>
                <c:pt idx="122">
                  <c:v>1786</c:v>
                </c:pt>
                <c:pt idx="123">
                  <c:v>1495</c:v>
                </c:pt>
                <c:pt idx="124">
                  <c:v>1013</c:v>
                </c:pt>
                <c:pt idx="125">
                  <c:v>816</c:v>
                </c:pt>
                <c:pt idx="126">
                  <c:v>1633</c:v>
                </c:pt>
                <c:pt idx="127">
                  <c:v>891</c:v>
                </c:pt>
                <c:pt idx="128">
                  <c:v>1855</c:v>
                </c:pt>
                <c:pt idx="129">
                  <c:v>651</c:v>
                </c:pt>
                <c:pt idx="130">
                  <c:v>118</c:v>
                </c:pt>
                <c:pt idx="131">
                  <c:v>1331</c:v>
                </c:pt>
                <c:pt idx="132">
                  <c:v>1748</c:v>
                </c:pt>
                <c:pt idx="133">
                  <c:v>663</c:v>
                </c:pt>
                <c:pt idx="134">
                  <c:v>1040</c:v>
                </c:pt>
                <c:pt idx="135">
                  <c:v>1166</c:v>
                </c:pt>
                <c:pt idx="136">
                  <c:v>115</c:v>
                </c:pt>
                <c:pt idx="137">
                  <c:v>1249</c:v>
                </c:pt>
                <c:pt idx="138">
                  <c:v>1501</c:v>
                </c:pt>
                <c:pt idx="139">
                  <c:v>1411</c:v>
                </c:pt>
                <c:pt idx="140">
                  <c:v>1556</c:v>
                </c:pt>
                <c:pt idx="141">
                  <c:v>1159</c:v>
                </c:pt>
                <c:pt idx="142">
                  <c:v>927</c:v>
                </c:pt>
                <c:pt idx="143">
                  <c:v>152</c:v>
                </c:pt>
                <c:pt idx="144">
                  <c:v>1957</c:v>
                </c:pt>
                <c:pt idx="145">
                  <c:v>1294</c:v>
                </c:pt>
                <c:pt idx="146">
                  <c:v>1587</c:v>
                </c:pt>
                <c:pt idx="147">
                  <c:v>1707</c:v>
                </c:pt>
                <c:pt idx="148">
                  <c:v>1138</c:v>
                </c:pt>
                <c:pt idx="149">
                  <c:v>1895</c:v>
                </c:pt>
                <c:pt idx="150">
                  <c:v>362</c:v>
                </c:pt>
                <c:pt idx="151">
                  <c:v>1662</c:v>
                </c:pt>
                <c:pt idx="152">
                  <c:v>1440</c:v>
                </c:pt>
                <c:pt idx="153">
                  <c:v>1884</c:v>
                </c:pt>
                <c:pt idx="154">
                  <c:v>861</c:v>
                </c:pt>
                <c:pt idx="155">
                  <c:v>1063</c:v>
                </c:pt>
                <c:pt idx="156">
                  <c:v>1371</c:v>
                </c:pt>
                <c:pt idx="157">
                  <c:v>345</c:v>
                </c:pt>
                <c:pt idx="158">
                  <c:v>946</c:v>
                </c:pt>
                <c:pt idx="159">
                  <c:v>510</c:v>
                </c:pt>
                <c:pt idx="160">
                  <c:v>393</c:v>
                </c:pt>
                <c:pt idx="161">
                  <c:v>1098</c:v>
                </c:pt>
                <c:pt idx="162">
                  <c:v>1399</c:v>
                </c:pt>
                <c:pt idx="163">
                  <c:v>1658</c:v>
                </c:pt>
                <c:pt idx="164">
                  <c:v>1102</c:v>
                </c:pt>
                <c:pt idx="165">
                  <c:v>1358</c:v>
                </c:pt>
                <c:pt idx="166">
                  <c:v>1077</c:v>
                </c:pt>
                <c:pt idx="167">
                  <c:v>1596</c:v>
                </c:pt>
                <c:pt idx="168">
                  <c:v>490</c:v>
                </c:pt>
                <c:pt idx="169">
                  <c:v>609</c:v>
                </c:pt>
                <c:pt idx="170">
                  <c:v>364</c:v>
                </c:pt>
                <c:pt idx="171">
                  <c:v>442</c:v>
                </c:pt>
                <c:pt idx="172">
                  <c:v>1033</c:v>
                </c:pt>
                <c:pt idx="173">
                  <c:v>988</c:v>
                </c:pt>
                <c:pt idx="174">
                  <c:v>1946</c:v>
                </c:pt>
                <c:pt idx="175">
                  <c:v>1957</c:v>
                </c:pt>
                <c:pt idx="176">
                  <c:v>559</c:v>
                </c:pt>
                <c:pt idx="177">
                  <c:v>1307</c:v>
                </c:pt>
                <c:pt idx="178">
                  <c:v>1432</c:v>
                </c:pt>
                <c:pt idx="179">
                  <c:v>623</c:v>
                </c:pt>
                <c:pt idx="180">
                  <c:v>198</c:v>
                </c:pt>
                <c:pt idx="181">
                  <c:v>198</c:v>
                </c:pt>
                <c:pt idx="182">
                  <c:v>353</c:v>
                </c:pt>
                <c:pt idx="183">
                  <c:v>520</c:v>
                </c:pt>
                <c:pt idx="184">
                  <c:v>961</c:v>
                </c:pt>
                <c:pt idx="185">
                  <c:v>1375</c:v>
                </c:pt>
                <c:pt idx="186">
                  <c:v>1147</c:v>
                </c:pt>
                <c:pt idx="187">
                  <c:v>1707</c:v>
                </c:pt>
                <c:pt idx="188">
                  <c:v>1693</c:v>
                </c:pt>
                <c:pt idx="189">
                  <c:v>833</c:v>
                </c:pt>
                <c:pt idx="190">
                  <c:v>1222</c:v>
                </c:pt>
                <c:pt idx="191">
                  <c:v>777</c:v>
                </c:pt>
                <c:pt idx="192">
                  <c:v>1957</c:v>
                </c:pt>
                <c:pt idx="193">
                  <c:v>405</c:v>
                </c:pt>
                <c:pt idx="194">
                  <c:v>1581</c:v>
                </c:pt>
                <c:pt idx="195">
                  <c:v>1035</c:v>
                </c:pt>
                <c:pt idx="196">
                  <c:v>1765</c:v>
                </c:pt>
                <c:pt idx="197">
                  <c:v>837</c:v>
                </c:pt>
                <c:pt idx="198">
                  <c:v>337</c:v>
                </c:pt>
                <c:pt idx="199">
                  <c:v>119</c:v>
                </c:pt>
              </c:numCache>
            </c:numRef>
          </c:xVal>
          <c:yVal>
            <c:numRef>
              <c:f>'Engagement summary'!$G$2:$G$201</c:f>
              <c:numCache>
                <c:formatCode>General</c:formatCode>
                <c:ptCount val="200"/>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yVal>
          <c:smooth val="0"/>
          <c:extLst>
            <c:ext xmlns:c16="http://schemas.microsoft.com/office/drawing/2014/chart" uri="{C3380CC4-5D6E-409C-BE32-E72D297353CC}">
              <c16:uniqueId val="{00000001-2795-47D8-9928-123E018026C2}"/>
            </c:ext>
          </c:extLst>
        </c:ser>
        <c:dLbls>
          <c:showLegendKey val="0"/>
          <c:showVal val="0"/>
          <c:showCatName val="0"/>
          <c:showSerName val="0"/>
          <c:showPercent val="0"/>
          <c:showBubbleSize val="0"/>
        </c:dLbls>
        <c:axId val="1071327"/>
        <c:axId val="1071807"/>
      </c:scatterChart>
      <c:valAx>
        <c:axId val="107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07"/>
        <c:crosses val="autoZero"/>
        <c:crossBetween val="midCat"/>
      </c:valAx>
      <c:valAx>
        <c:axId val="107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206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19</xdr:col>
      <xdr:colOff>320040</xdr:colOff>
      <xdr:row>7</xdr:row>
      <xdr:rowOff>163830</xdr:rowOff>
    </xdr:from>
    <xdr:to>
      <xdr:col>27</xdr:col>
      <xdr:colOff>15240</xdr:colOff>
      <xdr:row>22</xdr:row>
      <xdr:rowOff>163830</xdr:rowOff>
    </xdr:to>
    <xdr:graphicFrame macro="">
      <xdr:nvGraphicFramePr>
        <xdr:cNvPr id="2" name="Chart 1">
          <a:extLst>
            <a:ext uri="{FF2B5EF4-FFF2-40B4-BE49-F238E27FC236}">
              <a16:creationId xmlns:a16="http://schemas.microsoft.com/office/drawing/2014/main" id="{C59BB7C1-A1BF-F070-8287-CEF70BF49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723900</xdr:colOff>
      <xdr:row>17</xdr:row>
      <xdr:rowOff>64770</xdr:rowOff>
    </xdr:from>
    <xdr:to>
      <xdr:col>11</xdr:col>
      <xdr:colOff>99060</xdr:colOff>
      <xdr:row>35</xdr:row>
      <xdr:rowOff>99060</xdr:rowOff>
    </xdr:to>
    <xdr:graphicFrame macro="">
      <xdr:nvGraphicFramePr>
        <xdr:cNvPr id="2" name="Chart 1">
          <a:extLst>
            <a:ext uri="{FF2B5EF4-FFF2-40B4-BE49-F238E27FC236}">
              <a16:creationId xmlns:a16="http://schemas.microsoft.com/office/drawing/2014/main" id="{D7B8FF4E-C2B9-6073-D586-7BBEA3372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106680</xdr:colOff>
      <xdr:row>7</xdr:row>
      <xdr:rowOff>160020</xdr:rowOff>
    </xdr:from>
    <xdr:to>
      <xdr:col>16</xdr:col>
      <xdr:colOff>563880</xdr:colOff>
      <xdr:row>24</xdr:row>
      <xdr:rowOff>156210</xdr:rowOff>
    </xdr:to>
    <xdr:graphicFrame macro="">
      <xdr:nvGraphicFramePr>
        <xdr:cNvPr id="2" name="Chart 1">
          <a:extLst>
            <a:ext uri="{FF2B5EF4-FFF2-40B4-BE49-F238E27FC236}">
              <a16:creationId xmlns:a16="http://schemas.microsoft.com/office/drawing/2014/main" id="{3FADD366-5505-F1DB-A1B1-3D3BFF5FA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45720</xdr:colOff>
      <xdr:row>4</xdr:row>
      <xdr:rowOff>171450</xdr:rowOff>
    </xdr:from>
    <xdr:to>
      <xdr:col>15</xdr:col>
      <xdr:colOff>243840</xdr:colOff>
      <xdr:row>22</xdr:row>
      <xdr:rowOff>60960</xdr:rowOff>
    </xdr:to>
    <xdr:graphicFrame macro="">
      <xdr:nvGraphicFramePr>
        <xdr:cNvPr id="2" name="Chart 1">
          <a:extLst>
            <a:ext uri="{FF2B5EF4-FFF2-40B4-BE49-F238E27FC236}">
              <a16:creationId xmlns:a16="http://schemas.microsoft.com/office/drawing/2014/main" id="{8E2D1AFD-33F7-7FAB-9039-805BC8D96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541020</xdr:colOff>
      <xdr:row>6</xdr:row>
      <xdr:rowOff>133350</xdr:rowOff>
    </xdr:from>
    <xdr:to>
      <xdr:col>30</xdr:col>
      <xdr:colOff>518160</xdr:colOff>
      <xdr:row>23</xdr:row>
      <xdr:rowOff>99060</xdr:rowOff>
    </xdr:to>
    <xdr:graphicFrame macro="">
      <xdr:nvGraphicFramePr>
        <xdr:cNvPr id="2" name="Chart 1">
          <a:extLst>
            <a:ext uri="{FF2B5EF4-FFF2-40B4-BE49-F238E27FC236}">
              <a16:creationId xmlns:a16="http://schemas.microsoft.com/office/drawing/2014/main" id="{4186E76B-5664-09FB-C964-8B008DB9A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198126</xdr:colOff>
      <xdr:row>6</xdr:row>
      <xdr:rowOff>26670</xdr:rowOff>
    </xdr:from>
    <xdr:to>
      <xdr:col>16</xdr:col>
      <xdr:colOff>502926</xdr:colOff>
      <xdr:row>21</xdr:row>
      <xdr:rowOff>26670</xdr:rowOff>
    </xdr:to>
    <xdr:graphicFrame macro="">
      <xdr:nvGraphicFramePr>
        <xdr:cNvPr id="2" name="Chart 1">
          <a:extLst>
            <a:ext uri="{FF2B5EF4-FFF2-40B4-BE49-F238E27FC236}">
              <a16:creationId xmlns:a16="http://schemas.microsoft.com/office/drawing/2014/main" id="{8F22B939-3BD0-B606-587B-4A71DE029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259080</xdr:colOff>
      <xdr:row>7</xdr:row>
      <xdr:rowOff>3810</xdr:rowOff>
    </xdr:from>
    <xdr:to>
      <xdr:col>17</xdr:col>
      <xdr:colOff>190500</xdr:colOff>
      <xdr:row>22</xdr:row>
      <xdr:rowOff>3810</xdr:rowOff>
    </xdr:to>
    <xdr:graphicFrame macro="">
      <xdr:nvGraphicFramePr>
        <xdr:cNvPr id="2" name="Chart 1">
          <a:extLst>
            <a:ext uri="{FF2B5EF4-FFF2-40B4-BE49-F238E27FC236}">
              <a16:creationId xmlns:a16="http://schemas.microsoft.com/office/drawing/2014/main" id="{ED781625-C2F9-BDCB-5734-25287BCF0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137160</xdr:colOff>
      <xdr:row>7</xdr:row>
      <xdr:rowOff>15240</xdr:rowOff>
    </xdr:from>
    <xdr:to>
      <xdr:col>18</xdr:col>
      <xdr:colOff>30480</xdr:colOff>
      <xdr:row>23</xdr:row>
      <xdr:rowOff>87630</xdr:rowOff>
    </xdr:to>
    <xdr:graphicFrame macro="">
      <xdr:nvGraphicFramePr>
        <xdr:cNvPr id="2" name="Chart 1">
          <a:extLst>
            <a:ext uri="{FF2B5EF4-FFF2-40B4-BE49-F238E27FC236}">
              <a16:creationId xmlns:a16="http://schemas.microsoft.com/office/drawing/2014/main" id="{25917BAA-ADD9-255F-2B83-0F606DA4D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434340</xdr:colOff>
      <xdr:row>4</xdr:row>
      <xdr:rowOff>148590</xdr:rowOff>
    </xdr:from>
    <xdr:to>
      <xdr:col>14</xdr:col>
      <xdr:colOff>76200</xdr:colOff>
      <xdr:row>23</xdr:row>
      <xdr:rowOff>144780</xdr:rowOff>
    </xdr:to>
    <xdr:graphicFrame macro="">
      <xdr:nvGraphicFramePr>
        <xdr:cNvPr id="2" name="Chart 1">
          <a:extLst>
            <a:ext uri="{FF2B5EF4-FFF2-40B4-BE49-F238E27FC236}">
              <a16:creationId xmlns:a16="http://schemas.microsoft.com/office/drawing/2014/main" id="{58AB23FD-CD7E-0212-98E6-BEA1075A9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228600</xdr:colOff>
      <xdr:row>5</xdr:row>
      <xdr:rowOff>15240</xdr:rowOff>
    </xdr:from>
    <xdr:to>
      <xdr:col>18</xdr:col>
      <xdr:colOff>121920</xdr:colOff>
      <xdr:row>21</xdr:row>
      <xdr:rowOff>160020</xdr:rowOff>
    </xdr:to>
    <xdr:graphicFrame macro="">
      <xdr:nvGraphicFramePr>
        <xdr:cNvPr id="2" name="Chart 1">
          <a:extLst>
            <a:ext uri="{FF2B5EF4-FFF2-40B4-BE49-F238E27FC236}">
              <a16:creationId xmlns:a16="http://schemas.microsoft.com/office/drawing/2014/main" id="{D91D1300-5EC4-7662-AABC-4AE82A773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1066800</xdr:colOff>
      <xdr:row>10</xdr:row>
      <xdr:rowOff>0</xdr:rowOff>
    </xdr:from>
    <xdr:to>
      <xdr:col>8</xdr:col>
      <xdr:colOff>1219200</xdr:colOff>
      <xdr:row>11</xdr:row>
      <xdr:rowOff>27432</xdr:rowOff>
    </xdr:to>
    <xdr:sp macro="" textlink="">
      <xdr:nvSpPr>
        <xdr:cNvPr id="2" name="Arrow: Right 1">
          <a:extLst>
            <a:ext uri="{FF2B5EF4-FFF2-40B4-BE49-F238E27FC236}">
              <a16:creationId xmlns:a16="http://schemas.microsoft.com/office/drawing/2014/main" id="{9DB77757-01D0-7E11-01BA-3C48B843F904}"/>
            </a:ext>
          </a:extLst>
        </xdr:cNvPr>
        <xdr:cNvSpPr/>
      </xdr:nvSpPr>
      <xdr:spPr>
        <a:xfrm>
          <a:off x="8801100" y="2125980"/>
          <a:ext cx="152400" cy="2941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495300</xdr:colOff>
      <xdr:row>4</xdr:row>
      <xdr:rowOff>106680</xdr:rowOff>
    </xdr:from>
    <xdr:to>
      <xdr:col>18</xdr:col>
      <xdr:colOff>358140</xdr:colOff>
      <xdr:row>20</xdr:row>
      <xdr:rowOff>72390</xdr:rowOff>
    </xdr:to>
    <xdr:graphicFrame macro="">
      <xdr:nvGraphicFramePr>
        <xdr:cNvPr id="2" name="Chart 1">
          <a:extLst>
            <a:ext uri="{FF2B5EF4-FFF2-40B4-BE49-F238E27FC236}">
              <a16:creationId xmlns:a16="http://schemas.microsoft.com/office/drawing/2014/main" id="{A561C791-A8DB-69C2-D219-654D271BC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175260</xdr:colOff>
      <xdr:row>7</xdr:row>
      <xdr:rowOff>99060</xdr:rowOff>
    </xdr:from>
    <xdr:to>
      <xdr:col>17</xdr:col>
      <xdr:colOff>76200</xdr:colOff>
      <xdr:row>24</xdr:row>
      <xdr:rowOff>19050</xdr:rowOff>
    </xdr:to>
    <xdr:graphicFrame macro="">
      <xdr:nvGraphicFramePr>
        <xdr:cNvPr id="2" name="Chart 1">
          <a:extLst>
            <a:ext uri="{FF2B5EF4-FFF2-40B4-BE49-F238E27FC236}">
              <a16:creationId xmlns:a16="http://schemas.microsoft.com/office/drawing/2014/main" id="{C1938C07-AB56-FC0C-B03A-29A38F915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495300</xdr:colOff>
      <xdr:row>4</xdr:row>
      <xdr:rowOff>152400</xdr:rowOff>
    </xdr:from>
    <xdr:to>
      <xdr:col>17</xdr:col>
      <xdr:colOff>342900</xdr:colOff>
      <xdr:row>21</xdr:row>
      <xdr:rowOff>167640</xdr:rowOff>
    </xdr:to>
    <xdr:graphicFrame macro="">
      <xdr:nvGraphicFramePr>
        <xdr:cNvPr id="2" name="Chart 1">
          <a:extLst>
            <a:ext uri="{FF2B5EF4-FFF2-40B4-BE49-F238E27FC236}">
              <a16:creationId xmlns:a16="http://schemas.microsoft.com/office/drawing/2014/main" id="{EA6C238B-E9FF-5E10-864F-0855D88DE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556260</xdr:colOff>
      <xdr:row>4</xdr:row>
      <xdr:rowOff>156210</xdr:rowOff>
    </xdr:from>
    <xdr:to>
      <xdr:col>16</xdr:col>
      <xdr:colOff>266700</xdr:colOff>
      <xdr:row>20</xdr:row>
      <xdr:rowOff>160020</xdr:rowOff>
    </xdr:to>
    <xdr:graphicFrame macro="">
      <xdr:nvGraphicFramePr>
        <xdr:cNvPr id="2" name="Chart 1">
          <a:extLst>
            <a:ext uri="{FF2B5EF4-FFF2-40B4-BE49-F238E27FC236}">
              <a16:creationId xmlns:a16="http://schemas.microsoft.com/office/drawing/2014/main" id="{C069F335-6511-8134-CFBC-16E32A6D6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617220</xdr:colOff>
      <xdr:row>6</xdr:row>
      <xdr:rowOff>60961</xdr:rowOff>
    </xdr:from>
    <xdr:to>
      <xdr:col>9</xdr:col>
      <xdr:colOff>38100</xdr:colOff>
      <xdr:row>13</xdr:row>
      <xdr:rowOff>83821</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C6BE5E16-430F-DD9F-A19E-1102FEFFEB2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4777740" y="1402081"/>
              <a:ext cx="211836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243840</xdr:colOff>
      <xdr:row>5</xdr:row>
      <xdr:rowOff>137160</xdr:rowOff>
    </xdr:from>
    <xdr:to>
      <xdr:col>20</xdr:col>
      <xdr:colOff>472440</xdr:colOff>
      <xdr:row>24</xdr:row>
      <xdr:rowOff>15240</xdr:rowOff>
    </xdr:to>
    <xdr:graphicFrame macro="">
      <xdr:nvGraphicFramePr>
        <xdr:cNvPr id="3" name="Chart 2">
          <a:extLst>
            <a:ext uri="{FF2B5EF4-FFF2-40B4-BE49-F238E27FC236}">
              <a16:creationId xmlns:a16="http://schemas.microsoft.com/office/drawing/2014/main" id="{E2540E11-458C-FF9C-3FAF-1CAA03BAF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495300</xdr:colOff>
      <xdr:row>6</xdr:row>
      <xdr:rowOff>125730</xdr:rowOff>
    </xdr:from>
    <xdr:to>
      <xdr:col>19</xdr:col>
      <xdr:colOff>121920</xdr:colOff>
      <xdr:row>21</xdr:row>
      <xdr:rowOff>125730</xdr:rowOff>
    </xdr:to>
    <xdr:graphicFrame macro="">
      <xdr:nvGraphicFramePr>
        <xdr:cNvPr id="2" name="Chart 1">
          <a:extLst>
            <a:ext uri="{FF2B5EF4-FFF2-40B4-BE49-F238E27FC236}">
              <a16:creationId xmlns:a16="http://schemas.microsoft.com/office/drawing/2014/main" id="{A6AFF6C4-04F2-BBB9-C042-00A45D4DE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396240</xdr:colOff>
      <xdr:row>6</xdr:row>
      <xdr:rowOff>175261</xdr:rowOff>
    </xdr:from>
    <xdr:to>
      <xdr:col>8</xdr:col>
      <xdr:colOff>464820</xdr:colOff>
      <xdr:row>14</xdr:row>
      <xdr:rowOff>106680</xdr:rowOff>
    </xdr:to>
    <mc:AlternateContent xmlns:mc="http://schemas.openxmlformats.org/markup-compatibility/2006" xmlns:a14="http://schemas.microsoft.com/office/drawing/2010/main">
      <mc:Choice Requires="a14">
        <xdr:graphicFrame macro="">
          <xdr:nvGraphicFramePr>
            <xdr:cNvPr id="2" name="Platform 1">
              <a:extLst>
                <a:ext uri="{FF2B5EF4-FFF2-40B4-BE49-F238E27FC236}">
                  <a16:creationId xmlns:a16="http://schemas.microsoft.com/office/drawing/2014/main" id="{3B72FC21-F896-23FD-5D09-2824D1083AF2}"/>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4594860" y="1485901"/>
              <a:ext cx="2156460" cy="139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45720</xdr:colOff>
      <xdr:row>7</xdr:row>
      <xdr:rowOff>3810</xdr:rowOff>
    </xdr:from>
    <xdr:to>
      <xdr:col>20</xdr:col>
      <xdr:colOff>190500</xdr:colOff>
      <xdr:row>23</xdr:row>
      <xdr:rowOff>175260</xdr:rowOff>
    </xdr:to>
    <xdr:graphicFrame macro="">
      <xdr:nvGraphicFramePr>
        <xdr:cNvPr id="3" name="Chart 2">
          <a:extLst>
            <a:ext uri="{FF2B5EF4-FFF2-40B4-BE49-F238E27FC236}">
              <a16:creationId xmlns:a16="http://schemas.microsoft.com/office/drawing/2014/main" id="{CCFA1D4B-92C9-F22F-AB5C-45343FC58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xdr:col>
      <xdr:colOff>83820</xdr:colOff>
      <xdr:row>7</xdr:row>
      <xdr:rowOff>57150</xdr:rowOff>
    </xdr:from>
    <xdr:to>
      <xdr:col>7</xdr:col>
      <xdr:colOff>541020</xdr:colOff>
      <xdr:row>23</xdr:row>
      <xdr:rowOff>137160</xdr:rowOff>
    </xdr:to>
    <xdr:graphicFrame macro="">
      <xdr:nvGraphicFramePr>
        <xdr:cNvPr id="3" name="Chart 2">
          <a:extLst>
            <a:ext uri="{FF2B5EF4-FFF2-40B4-BE49-F238E27FC236}">
              <a16:creationId xmlns:a16="http://schemas.microsoft.com/office/drawing/2014/main" id="{C006E141-13F2-6794-0A92-C8732213E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oneCellAnchor>
    <xdr:from>
      <xdr:col>4</xdr:col>
      <xdr:colOff>131031</xdr:colOff>
      <xdr:row>0</xdr:row>
      <xdr:rowOff>0</xdr:rowOff>
    </xdr:from>
    <xdr:ext cx="10837333" cy="781111"/>
    <xdr:sp macro="" textlink="">
      <xdr:nvSpPr>
        <xdr:cNvPr id="2" name="TextBox 1">
          <a:extLst>
            <a:ext uri="{FF2B5EF4-FFF2-40B4-BE49-F238E27FC236}">
              <a16:creationId xmlns:a16="http://schemas.microsoft.com/office/drawing/2014/main" id="{01374921-8D4D-FDAB-85B4-345A6EAFB6A1}"/>
            </a:ext>
          </a:extLst>
        </xdr:cNvPr>
        <xdr:cNvSpPr txBox="1"/>
      </xdr:nvSpPr>
      <xdr:spPr>
        <a:xfrm>
          <a:off x="2558142" y="0"/>
          <a:ext cx="10837333"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400" b="1">
              <a:solidFill>
                <a:srgbClr val="C00000"/>
              </a:solidFill>
            </a:rPr>
            <a:t>TESLA SOCIAL MEDIA OVERVIEW METRICS</a:t>
          </a:r>
        </a:p>
      </xdr:txBody>
    </xdr:sp>
    <xdr:clientData/>
  </xdr:oneCellAnchor>
  <xdr:twoCellAnchor>
    <xdr:from>
      <xdr:col>1</xdr:col>
      <xdr:colOff>42333</xdr:colOff>
      <xdr:row>3</xdr:row>
      <xdr:rowOff>167318</xdr:rowOff>
    </xdr:from>
    <xdr:to>
      <xdr:col>6</xdr:col>
      <xdr:colOff>310444</xdr:colOff>
      <xdr:row>9</xdr:row>
      <xdr:rowOff>56444</xdr:rowOff>
    </xdr:to>
    <xdr:sp macro="" textlink="">
      <xdr:nvSpPr>
        <xdr:cNvPr id="3" name="Rectangle: Rounded Corners 2">
          <a:extLst>
            <a:ext uri="{FF2B5EF4-FFF2-40B4-BE49-F238E27FC236}">
              <a16:creationId xmlns:a16="http://schemas.microsoft.com/office/drawing/2014/main" id="{15D82933-AF03-1214-3CC7-CB38437D541D}"/>
            </a:ext>
          </a:extLst>
        </xdr:cNvPr>
        <xdr:cNvSpPr/>
      </xdr:nvSpPr>
      <xdr:spPr>
        <a:xfrm>
          <a:off x="649111" y="717651"/>
          <a:ext cx="3302000" cy="9897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600" b="1">
              <a:solidFill>
                <a:srgbClr val="FFFF00"/>
              </a:solidFill>
            </a:rPr>
            <a:t>5.6447</a:t>
          </a:r>
          <a:endParaRPr lang="en-US" sz="4000" b="1">
            <a:solidFill>
              <a:srgbClr val="FFFF00"/>
            </a:solidFill>
          </a:endParaRPr>
        </a:p>
      </xdr:txBody>
    </xdr:sp>
    <xdr:clientData/>
  </xdr:twoCellAnchor>
  <xdr:twoCellAnchor>
    <xdr:from>
      <xdr:col>6</xdr:col>
      <xdr:colOff>366888</xdr:colOff>
      <xdr:row>3</xdr:row>
      <xdr:rowOff>181428</xdr:rowOff>
    </xdr:from>
    <xdr:to>
      <xdr:col>10</xdr:col>
      <xdr:colOff>522110</xdr:colOff>
      <xdr:row>9</xdr:row>
      <xdr:rowOff>56444</xdr:rowOff>
    </xdr:to>
    <xdr:sp macro="" textlink="AN25">
      <xdr:nvSpPr>
        <xdr:cNvPr id="4" name="Rectangle: Rounded Corners 3">
          <a:extLst>
            <a:ext uri="{FF2B5EF4-FFF2-40B4-BE49-F238E27FC236}">
              <a16:creationId xmlns:a16="http://schemas.microsoft.com/office/drawing/2014/main" id="{08FAAB21-740E-438F-BAFA-28A9E6D4E8DC}"/>
            </a:ext>
          </a:extLst>
        </xdr:cNvPr>
        <xdr:cNvSpPr/>
      </xdr:nvSpPr>
      <xdr:spPr>
        <a:xfrm>
          <a:off x="4007555" y="731761"/>
          <a:ext cx="2582333" cy="975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1D16E36-3BB3-4544-A0CB-1689E0674DFF}" type="TxLink">
            <a:rPr lang="en-US" sz="3600" b="1" i="0" u="none" strike="noStrike">
              <a:solidFill>
                <a:srgbClr val="FFFF00"/>
              </a:solidFill>
              <a:latin typeface="Calibri"/>
              <a:ea typeface="Calibri"/>
              <a:cs typeface="Calibri"/>
            </a:rPr>
            <a:pPr algn="ctr"/>
            <a:t>210128</a:t>
          </a:fld>
          <a:endParaRPr lang="en-IN" sz="6000" b="1">
            <a:solidFill>
              <a:srgbClr val="FFFF00"/>
            </a:solidFill>
          </a:endParaRPr>
        </a:p>
      </xdr:txBody>
    </xdr:sp>
    <xdr:clientData/>
  </xdr:twoCellAnchor>
  <xdr:twoCellAnchor>
    <xdr:from>
      <xdr:col>10</xdr:col>
      <xdr:colOff>564445</xdr:colOff>
      <xdr:row>4</xdr:row>
      <xdr:rowOff>26207</xdr:rowOff>
    </xdr:from>
    <xdr:to>
      <xdr:col>14</xdr:col>
      <xdr:colOff>26208</xdr:colOff>
      <xdr:row>9</xdr:row>
      <xdr:rowOff>70556</xdr:rowOff>
    </xdr:to>
    <xdr:sp macro="" textlink="AN26">
      <xdr:nvSpPr>
        <xdr:cNvPr id="5" name="Rectangle: Rounded Corners 4">
          <a:extLst>
            <a:ext uri="{FF2B5EF4-FFF2-40B4-BE49-F238E27FC236}">
              <a16:creationId xmlns:a16="http://schemas.microsoft.com/office/drawing/2014/main" id="{52DA6D19-D7BA-49BE-A9DF-CB52F0AC1E7C}"/>
            </a:ext>
          </a:extLst>
        </xdr:cNvPr>
        <xdr:cNvSpPr/>
      </xdr:nvSpPr>
      <xdr:spPr>
        <a:xfrm>
          <a:off x="6632223" y="759985"/>
          <a:ext cx="1888874" cy="9615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4221204-7B13-4265-986A-61D6A1C2CC2F}" type="TxLink">
            <a:rPr lang="en-US" sz="3600" b="1" i="0" u="none" strike="noStrike">
              <a:solidFill>
                <a:srgbClr val="FFFF00"/>
              </a:solidFill>
              <a:latin typeface="Calibri"/>
              <a:ea typeface="Calibri"/>
              <a:cs typeface="Calibri"/>
            </a:rPr>
            <a:pPr algn="ctr"/>
            <a:t>819991</a:t>
          </a:fld>
          <a:endParaRPr lang="en-IN" sz="6000" b="1">
            <a:solidFill>
              <a:srgbClr val="FFFF00"/>
            </a:solidFill>
          </a:endParaRPr>
        </a:p>
      </xdr:txBody>
    </xdr:sp>
    <xdr:clientData/>
  </xdr:twoCellAnchor>
  <xdr:twoCellAnchor>
    <xdr:from>
      <xdr:col>14</xdr:col>
      <xdr:colOff>70555</xdr:colOff>
      <xdr:row>3</xdr:row>
      <xdr:rowOff>169335</xdr:rowOff>
    </xdr:from>
    <xdr:to>
      <xdr:col>17</xdr:col>
      <xdr:colOff>288272</xdr:colOff>
      <xdr:row>9</xdr:row>
      <xdr:rowOff>70556</xdr:rowOff>
    </xdr:to>
    <xdr:sp macro="" textlink="AN27">
      <xdr:nvSpPr>
        <xdr:cNvPr id="6" name="Rectangle: Rounded Corners 5">
          <a:extLst>
            <a:ext uri="{FF2B5EF4-FFF2-40B4-BE49-F238E27FC236}">
              <a16:creationId xmlns:a16="http://schemas.microsoft.com/office/drawing/2014/main" id="{59B04B93-C34B-4840-864A-C78C15D2F273}"/>
            </a:ext>
          </a:extLst>
        </xdr:cNvPr>
        <xdr:cNvSpPr/>
      </xdr:nvSpPr>
      <xdr:spPr>
        <a:xfrm>
          <a:off x="8565444" y="719668"/>
          <a:ext cx="2038050" cy="10018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C49FD09-0F61-48AE-8E7B-6C03B27C0E1E}" type="TxLink">
            <a:rPr lang="en-US" sz="3600" b="1" i="0" u="none" strike="noStrike">
              <a:solidFill>
                <a:srgbClr val="FFFF00"/>
              </a:solidFill>
              <a:latin typeface="Calibri"/>
              <a:ea typeface="Calibri"/>
              <a:cs typeface="Calibri"/>
            </a:rPr>
            <a:pPr algn="ctr"/>
            <a:t>45366</a:t>
          </a:fld>
          <a:endParaRPr lang="en-IN" sz="6000" b="1">
            <a:solidFill>
              <a:srgbClr val="FFFF00"/>
            </a:solidFill>
          </a:endParaRPr>
        </a:p>
      </xdr:txBody>
    </xdr:sp>
    <xdr:clientData/>
  </xdr:twoCellAnchor>
  <xdr:twoCellAnchor>
    <xdr:from>
      <xdr:col>17</xdr:col>
      <xdr:colOff>316491</xdr:colOff>
      <xdr:row>3</xdr:row>
      <xdr:rowOff>157238</xdr:rowOff>
    </xdr:from>
    <xdr:to>
      <xdr:col>23</xdr:col>
      <xdr:colOff>578556</xdr:colOff>
      <xdr:row>9</xdr:row>
      <xdr:rowOff>84667</xdr:rowOff>
    </xdr:to>
    <xdr:sp macro="" textlink="E93">
      <xdr:nvSpPr>
        <xdr:cNvPr id="7" name="Rectangle: Rounded Corners 6">
          <a:extLst>
            <a:ext uri="{FF2B5EF4-FFF2-40B4-BE49-F238E27FC236}">
              <a16:creationId xmlns:a16="http://schemas.microsoft.com/office/drawing/2014/main" id="{FC2B225C-FACB-4222-BD44-ECDB80F288DA}"/>
            </a:ext>
          </a:extLst>
        </xdr:cNvPr>
        <xdr:cNvSpPr/>
      </xdr:nvSpPr>
      <xdr:spPr>
        <a:xfrm>
          <a:off x="10631713" y="707571"/>
          <a:ext cx="3902732" cy="10280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5EF86B3-956A-4B20-9E3F-5A91FD8E0DEF}" type="TxLink">
            <a:rPr lang="en-US" sz="3600" b="1" i="0" u="none" strike="noStrike">
              <a:solidFill>
                <a:srgbClr val="FFFF00"/>
              </a:solidFill>
              <a:latin typeface="Calibri"/>
              <a:ea typeface="Calibri"/>
              <a:cs typeface="Calibri"/>
            </a:rPr>
            <a:pPr algn="ctr"/>
            <a:t>Instagram</a:t>
          </a:fld>
          <a:endParaRPr lang="en-IN" sz="6000" b="1">
            <a:solidFill>
              <a:srgbClr val="FFFF00"/>
            </a:solidFill>
          </a:endParaRPr>
        </a:p>
      </xdr:txBody>
    </xdr:sp>
    <xdr:clientData/>
  </xdr:twoCellAnchor>
  <xdr:twoCellAnchor>
    <xdr:from>
      <xdr:col>16</xdr:col>
      <xdr:colOff>42335</xdr:colOff>
      <xdr:row>43</xdr:row>
      <xdr:rowOff>22833</xdr:rowOff>
    </xdr:from>
    <xdr:to>
      <xdr:col>23</xdr:col>
      <xdr:colOff>562390</xdr:colOff>
      <xdr:row>57</xdr:row>
      <xdr:rowOff>126248</xdr:rowOff>
    </xdr:to>
    <xdr:graphicFrame macro="">
      <xdr:nvGraphicFramePr>
        <xdr:cNvPr id="8" name="Chart 7">
          <a:extLst>
            <a:ext uri="{FF2B5EF4-FFF2-40B4-BE49-F238E27FC236}">
              <a16:creationId xmlns:a16="http://schemas.microsoft.com/office/drawing/2014/main" id="{6B67B5EA-EC04-4886-8083-5EF55B355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197556</xdr:colOff>
      <xdr:row>43</xdr:row>
      <xdr:rowOff>22833</xdr:rowOff>
    </xdr:from>
    <xdr:to>
      <xdr:col>15</xdr:col>
      <xdr:colOff>569839</xdr:colOff>
      <xdr:row>57</xdr:row>
      <xdr:rowOff>125787</xdr:rowOff>
    </xdr:to>
    <xdr:graphicFrame macro="">
      <xdr:nvGraphicFramePr>
        <xdr:cNvPr id="9" name="Chart 8">
          <a:extLst>
            <a:ext uri="{FF2B5EF4-FFF2-40B4-BE49-F238E27FC236}">
              <a16:creationId xmlns:a16="http://schemas.microsoft.com/office/drawing/2014/main" id="{80711AB4-D8D1-4AE9-BA59-60C3BEFC3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84666</xdr:colOff>
      <xdr:row>43</xdr:row>
      <xdr:rowOff>28125</xdr:rowOff>
    </xdr:from>
    <xdr:to>
      <xdr:col>8</xdr:col>
      <xdr:colOff>116203</xdr:colOff>
      <xdr:row>57</xdr:row>
      <xdr:rowOff>119543</xdr:rowOff>
    </xdr:to>
    <xdr:graphicFrame macro="">
      <xdr:nvGraphicFramePr>
        <xdr:cNvPr id="10" name="Chart 9">
          <a:extLst>
            <a:ext uri="{FF2B5EF4-FFF2-40B4-BE49-F238E27FC236}">
              <a16:creationId xmlns:a16="http://schemas.microsoft.com/office/drawing/2014/main" id="{B1E0A0ED-C8B4-49E5-BB1A-E9FA9E114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42334</xdr:colOff>
      <xdr:row>26</xdr:row>
      <xdr:rowOff>167956</xdr:rowOff>
    </xdr:from>
    <xdr:to>
      <xdr:col>23</xdr:col>
      <xdr:colOff>536642</xdr:colOff>
      <xdr:row>42</xdr:row>
      <xdr:rowOff>141370</xdr:rowOff>
    </xdr:to>
    <xdr:graphicFrame macro="">
      <xdr:nvGraphicFramePr>
        <xdr:cNvPr id="11" name="Chart 10">
          <a:extLst>
            <a:ext uri="{FF2B5EF4-FFF2-40B4-BE49-F238E27FC236}">
              <a16:creationId xmlns:a16="http://schemas.microsoft.com/office/drawing/2014/main" id="{84D88DEB-CA59-4A7A-BDCB-A757C3149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197556</xdr:colOff>
      <xdr:row>26</xdr:row>
      <xdr:rowOff>167570</xdr:rowOff>
    </xdr:from>
    <xdr:to>
      <xdr:col>15</xdr:col>
      <xdr:colOff>566327</xdr:colOff>
      <xdr:row>42</xdr:row>
      <xdr:rowOff>146976</xdr:rowOff>
    </xdr:to>
    <xdr:graphicFrame macro="">
      <xdr:nvGraphicFramePr>
        <xdr:cNvPr id="12" name="Chart 11">
          <a:extLst>
            <a:ext uri="{FF2B5EF4-FFF2-40B4-BE49-F238E27FC236}">
              <a16:creationId xmlns:a16="http://schemas.microsoft.com/office/drawing/2014/main" id="{82A8FF3E-2352-42CB-B9F9-1A2F779DA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522111</xdr:colOff>
      <xdr:row>10</xdr:row>
      <xdr:rowOff>84667</xdr:rowOff>
    </xdr:from>
    <xdr:to>
      <xdr:col>23</xdr:col>
      <xdr:colOff>542587</xdr:colOff>
      <xdr:row>26</xdr:row>
      <xdr:rowOff>115943</xdr:rowOff>
    </xdr:to>
    <xdr:graphicFrame macro="">
      <xdr:nvGraphicFramePr>
        <xdr:cNvPr id="13" name="Chart 12">
          <a:extLst>
            <a:ext uri="{FF2B5EF4-FFF2-40B4-BE49-F238E27FC236}">
              <a16:creationId xmlns:a16="http://schemas.microsoft.com/office/drawing/2014/main" id="{41B85C9A-2174-4E32-93DC-29E52137D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98779</xdr:colOff>
      <xdr:row>26</xdr:row>
      <xdr:rowOff>179914</xdr:rowOff>
    </xdr:from>
    <xdr:to>
      <xdr:col>8</xdr:col>
      <xdr:colOff>117757</xdr:colOff>
      <xdr:row>42</xdr:row>
      <xdr:rowOff>132290</xdr:rowOff>
    </xdr:to>
    <xdr:graphicFrame macro="">
      <xdr:nvGraphicFramePr>
        <xdr:cNvPr id="14" name="Chart 13">
          <a:extLst>
            <a:ext uri="{FF2B5EF4-FFF2-40B4-BE49-F238E27FC236}">
              <a16:creationId xmlns:a16="http://schemas.microsoft.com/office/drawing/2014/main" id="{AF704A5E-7900-4C06-9DEC-7D9CD2880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116525</xdr:colOff>
      <xdr:row>10</xdr:row>
      <xdr:rowOff>70555</xdr:rowOff>
    </xdr:from>
    <xdr:to>
      <xdr:col>4</xdr:col>
      <xdr:colOff>135575</xdr:colOff>
      <xdr:row>26</xdr:row>
      <xdr:rowOff>42332</xdr:rowOff>
    </xdr:to>
    <mc:AlternateContent xmlns:mc="http://schemas.openxmlformats.org/markup-compatibility/2006" xmlns:a14="http://schemas.microsoft.com/office/drawing/2010/main">
      <mc:Choice Requires="a14">
        <xdr:graphicFrame macro="">
          <xdr:nvGraphicFramePr>
            <xdr:cNvPr id="15" name="Campaign_Name">
              <a:extLst>
                <a:ext uri="{FF2B5EF4-FFF2-40B4-BE49-F238E27FC236}">
                  <a16:creationId xmlns:a16="http://schemas.microsoft.com/office/drawing/2014/main" id="{31701A04-F527-E5FC-9986-304571693278}"/>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732610" y="1853959"/>
              <a:ext cx="1867305" cy="2825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150918</xdr:colOff>
      <xdr:row>10</xdr:row>
      <xdr:rowOff>14112</xdr:rowOff>
    </xdr:from>
    <xdr:to>
      <xdr:col>14</xdr:col>
      <xdr:colOff>465667</xdr:colOff>
      <xdr:row>26</xdr:row>
      <xdr:rowOff>98777</xdr:rowOff>
    </xdr:to>
    <mc:AlternateContent xmlns:mc="http://schemas.openxmlformats.org/markup-compatibility/2006" xmlns:a14="http://schemas.microsoft.com/office/drawing/2010/main">
      <mc:Choice Requires="a14">
        <xdr:graphicFrame macro="">
          <xdr:nvGraphicFramePr>
            <xdr:cNvPr id="16" name="Platform 2">
              <a:extLst>
                <a:ext uri="{FF2B5EF4-FFF2-40B4-BE49-F238E27FC236}">
                  <a16:creationId xmlns:a16="http://schemas.microsoft.com/office/drawing/2014/main" id="{941D3799-E770-89C9-D399-97DEB9648047}"/>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6927854" y="1797516"/>
              <a:ext cx="2163004" cy="2938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239889</xdr:colOff>
      <xdr:row>3</xdr:row>
      <xdr:rowOff>127000</xdr:rowOff>
    </xdr:from>
    <xdr:ext cx="4106333" cy="468013"/>
    <xdr:sp macro="" textlink="">
      <xdr:nvSpPr>
        <xdr:cNvPr id="19" name="TextBox 18">
          <a:extLst>
            <a:ext uri="{FF2B5EF4-FFF2-40B4-BE49-F238E27FC236}">
              <a16:creationId xmlns:a16="http://schemas.microsoft.com/office/drawing/2014/main" id="{1DBA790C-D44C-CCDB-AB93-3FED5B758A40}"/>
            </a:ext>
          </a:extLst>
        </xdr:cNvPr>
        <xdr:cNvSpPr txBox="1"/>
      </xdr:nvSpPr>
      <xdr:spPr>
        <a:xfrm>
          <a:off x="239889" y="677333"/>
          <a:ext cx="410633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b="1">
              <a:solidFill>
                <a:schemeClr val="bg1"/>
              </a:solidFill>
            </a:rPr>
            <a:t>AVG</a:t>
          </a:r>
          <a:r>
            <a:rPr lang="en-IN" sz="2400" b="1" baseline="0">
              <a:solidFill>
                <a:schemeClr val="bg1"/>
              </a:solidFill>
            </a:rPr>
            <a:t> ENGAGEMENT RATE</a:t>
          </a:r>
          <a:endParaRPr lang="en-IN" sz="2400" b="1">
            <a:solidFill>
              <a:schemeClr val="bg1"/>
            </a:solidFill>
          </a:endParaRPr>
        </a:p>
      </xdr:txBody>
    </xdr:sp>
    <xdr:clientData/>
  </xdr:oneCellAnchor>
  <xdr:oneCellAnchor>
    <xdr:from>
      <xdr:col>6</xdr:col>
      <xdr:colOff>310444</xdr:colOff>
      <xdr:row>3</xdr:row>
      <xdr:rowOff>112888</xdr:rowOff>
    </xdr:from>
    <xdr:ext cx="2681111" cy="468013"/>
    <xdr:sp macro="" textlink="">
      <xdr:nvSpPr>
        <xdr:cNvPr id="20" name="TextBox 19">
          <a:extLst>
            <a:ext uri="{FF2B5EF4-FFF2-40B4-BE49-F238E27FC236}">
              <a16:creationId xmlns:a16="http://schemas.microsoft.com/office/drawing/2014/main" id="{423EE6AD-8864-72B0-2C79-4E6F8237D7A2}"/>
            </a:ext>
          </a:extLst>
        </xdr:cNvPr>
        <xdr:cNvSpPr txBox="1"/>
      </xdr:nvSpPr>
      <xdr:spPr>
        <a:xfrm>
          <a:off x="3951111" y="663221"/>
          <a:ext cx="268111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b="1">
              <a:solidFill>
                <a:schemeClr val="bg1"/>
              </a:solidFill>
            </a:rPr>
            <a:t>TOTAL FOLLOWERS</a:t>
          </a:r>
        </a:p>
      </xdr:txBody>
    </xdr:sp>
    <xdr:clientData/>
  </xdr:oneCellAnchor>
  <xdr:oneCellAnchor>
    <xdr:from>
      <xdr:col>10</xdr:col>
      <xdr:colOff>578555</xdr:colOff>
      <xdr:row>3</xdr:row>
      <xdr:rowOff>141111</xdr:rowOff>
    </xdr:from>
    <xdr:ext cx="1862667" cy="468013"/>
    <xdr:sp macro="" textlink="">
      <xdr:nvSpPr>
        <xdr:cNvPr id="21" name="TextBox 20">
          <a:extLst>
            <a:ext uri="{FF2B5EF4-FFF2-40B4-BE49-F238E27FC236}">
              <a16:creationId xmlns:a16="http://schemas.microsoft.com/office/drawing/2014/main" id="{88859644-4D0C-BC06-35EA-3468A095465B}"/>
            </a:ext>
          </a:extLst>
        </xdr:cNvPr>
        <xdr:cNvSpPr txBox="1"/>
      </xdr:nvSpPr>
      <xdr:spPr>
        <a:xfrm>
          <a:off x="6646333" y="691444"/>
          <a:ext cx="186266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b="1">
              <a:solidFill>
                <a:schemeClr val="bg1"/>
              </a:solidFill>
            </a:rPr>
            <a:t>TOTAL LIKES</a:t>
          </a:r>
        </a:p>
      </xdr:txBody>
    </xdr:sp>
    <xdr:clientData/>
  </xdr:oneCellAnchor>
  <xdr:oneCellAnchor>
    <xdr:from>
      <xdr:col>14</xdr:col>
      <xdr:colOff>141112</xdr:colOff>
      <xdr:row>3</xdr:row>
      <xdr:rowOff>112889</xdr:rowOff>
    </xdr:from>
    <xdr:ext cx="2116666" cy="468013"/>
    <xdr:sp macro="" textlink="">
      <xdr:nvSpPr>
        <xdr:cNvPr id="22" name="TextBox 21">
          <a:extLst>
            <a:ext uri="{FF2B5EF4-FFF2-40B4-BE49-F238E27FC236}">
              <a16:creationId xmlns:a16="http://schemas.microsoft.com/office/drawing/2014/main" id="{EEA112B6-2FD5-975A-CE4B-FD90DAAD7F3D}"/>
            </a:ext>
          </a:extLst>
        </xdr:cNvPr>
        <xdr:cNvSpPr txBox="1"/>
      </xdr:nvSpPr>
      <xdr:spPr>
        <a:xfrm>
          <a:off x="8636001" y="663222"/>
          <a:ext cx="211666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solidFill>
                <a:schemeClr val="bg1"/>
              </a:solidFill>
            </a:rPr>
            <a:t>TOTAL CLICKS</a:t>
          </a:r>
        </a:p>
      </xdr:txBody>
    </xdr:sp>
    <xdr:clientData/>
  </xdr:oneCellAnchor>
  <xdr:oneCellAnchor>
    <xdr:from>
      <xdr:col>17</xdr:col>
      <xdr:colOff>239889</xdr:colOff>
      <xdr:row>3</xdr:row>
      <xdr:rowOff>127000</xdr:rowOff>
    </xdr:from>
    <xdr:ext cx="4501444" cy="468013"/>
    <xdr:sp macro="" textlink="">
      <xdr:nvSpPr>
        <xdr:cNvPr id="23" name="TextBox 22">
          <a:extLst>
            <a:ext uri="{FF2B5EF4-FFF2-40B4-BE49-F238E27FC236}">
              <a16:creationId xmlns:a16="http://schemas.microsoft.com/office/drawing/2014/main" id="{AC45D9EF-E890-01D0-F00F-80BE7B4608B9}"/>
            </a:ext>
          </a:extLst>
        </xdr:cNvPr>
        <xdr:cNvSpPr txBox="1"/>
      </xdr:nvSpPr>
      <xdr:spPr>
        <a:xfrm>
          <a:off x="10555111" y="677333"/>
          <a:ext cx="450144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solidFill>
                <a:schemeClr val="bg1"/>
              </a:solidFill>
            </a:rPr>
            <a:t>BEST PERFORMING PLATFORM</a:t>
          </a:r>
        </a:p>
      </xdr:txBody>
    </xdr:sp>
    <xdr:clientData/>
  </xdr:oneCellAnchor>
  <xdr:twoCellAnchor editAs="oneCell">
    <xdr:from>
      <xdr:col>4</xdr:col>
      <xdr:colOff>183445</xdr:colOff>
      <xdr:row>10</xdr:row>
      <xdr:rowOff>42333</xdr:rowOff>
    </xdr:from>
    <xdr:to>
      <xdr:col>7</xdr:col>
      <xdr:colOff>191912</xdr:colOff>
      <xdr:row>26</xdr:row>
      <xdr:rowOff>56444</xdr:rowOff>
    </xdr:to>
    <mc:AlternateContent xmlns:mc="http://schemas.openxmlformats.org/markup-compatibility/2006" xmlns:a14="http://schemas.microsoft.com/office/drawing/2010/main">
      <mc:Choice Requires="a14">
        <xdr:graphicFrame macro="">
          <xdr:nvGraphicFramePr>
            <xdr:cNvPr id="25" name="Content Type 1">
              <a:extLst>
                <a:ext uri="{FF2B5EF4-FFF2-40B4-BE49-F238E27FC236}">
                  <a16:creationId xmlns:a16="http://schemas.microsoft.com/office/drawing/2014/main" id="{C299AA64-ADC8-4930-834F-FAE01DEEC866}"/>
                </a:ext>
              </a:extLst>
            </xdr:cNvPr>
            <xdr:cNvGraphicFramePr/>
          </xdr:nvGraphicFramePr>
          <xdr:xfrm>
            <a:off x="0" y="0"/>
            <a:ext cx="0" cy="0"/>
          </xdr:xfrm>
          <a:graphic>
            <a:graphicData uri="http://schemas.microsoft.com/office/drawing/2010/slicer">
              <sle:slicer xmlns:sle="http://schemas.microsoft.com/office/drawing/2010/slicer" name="Content Type 1"/>
            </a:graphicData>
          </a:graphic>
        </xdr:graphicFrame>
      </mc:Choice>
      <mc:Fallback xmlns="">
        <xdr:sp macro="" textlink="">
          <xdr:nvSpPr>
            <xdr:cNvPr id="0" name=""/>
            <xdr:cNvSpPr>
              <a:spLocks noTextEdit="1"/>
            </xdr:cNvSpPr>
          </xdr:nvSpPr>
          <xdr:spPr>
            <a:xfrm>
              <a:off x="2647785" y="1825737"/>
              <a:ext cx="1856723" cy="2867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282222</xdr:colOff>
      <xdr:row>10</xdr:row>
      <xdr:rowOff>28223</xdr:rowOff>
    </xdr:from>
    <xdr:to>
      <xdr:col>11</xdr:col>
      <xdr:colOff>14110</xdr:colOff>
      <xdr:row>26</xdr:row>
      <xdr:rowOff>42333</xdr:rowOff>
    </xdr:to>
    <mc:AlternateContent xmlns:mc="http://schemas.openxmlformats.org/markup-compatibility/2006" xmlns:a14="http://schemas.microsoft.com/office/drawing/2010/main">
      <mc:Choice Requires="a14">
        <xdr:graphicFrame macro="">
          <xdr:nvGraphicFramePr>
            <xdr:cNvPr id="26" name="Hashtags 1">
              <a:extLst>
                <a:ext uri="{FF2B5EF4-FFF2-40B4-BE49-F238E27FC236}">
                  <a16:creationId xmlns:a16="http://schemas.microsoft.com/office/drawing/2014/main" id="{CEEABC95-7BA8-4C1F-BC56-2A078ACFE781}"/>
                </a:ext>
              </a:extLst>
            </xdr:cNvPr>
            <xdr:cNvGraphicFramePr/>
          </xdr:nvGraphicFramePr>
          <xdr:xfrm>
            <a:off x="0" y="0"/>
            <a:ext cx="0" cy="0"/>
          </xdr:xfrm>
          <a:graphic>
            <a:graphicData uri="http://schemas.microsoft.com/office/drawing/2010/slicer">
              <sle:slicer xmlns:sle="http://schemas.microsoft.com/office/drawing/2010/slicer" name="Hashtags 1"/>
            </a:graphicData>
          </a:graphic>
        </xdr:graphicFrame>
      </mc:Choice>
      <mc:Fallback xmlns="">
        <xdr:sp macro="" textlink="">
          <xdr:nvSpPr>
            <xdr:cNvPr id="0" name=""/>
            <xdr:cNvSpPr>
              <a:spLocks noTextEdit="1"/>
            </xdr:cNvSpPr>
          </xdr:nvSpPr>
          <xdr:spPr>
            <a:xfrm>
              <a:off x="4594818" y="1811627"/>
              <a:ext cx="2196228" cy="2867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th" refreshedDate="45960.88175601852" createdVersion="8" refreshedVersion="8" minRefreshableVersion="3" recordCount="301" xr:uid="{96A37F41-DF07-4B23-B6E7-83C99040E3F4}">
  <cacheSource type="worksheet">
    <worksheetSource ref="A1:P1048576" sheet="Task_2.1"/>
  </cacheSource>
  <cacheFields count="16">
    <cacheField name="Post ID" numFmtId="0">
      <sharedItems containsBlank="1"/>
    </cacheField>
    <cacheField name="Platform" numFmtId="0">
      <sharedItems containsBlank="1" count="5">
        <s v="Twitter"/>
        <s v="YouTube"/>
        <s v="Instagram"/>
        <s v="Facebook"/>
        <m/>
      </sharedItems>
    </cacheField>
    <cacheField name="Date" numFmtId="0">
      <sharedItems containsNonDate="0" containsDate="1" containsString="0" containsBlank="1" minDate="2024-06-01T00:00:00" maxDate="2025-05-15T00:00:00"/>
    </cacheField>
    <cacheField name="Content Type" numFmtId="0">
      <sharedItems containsBlank="1" count="7">
        <s v="Reel"/>
        <s v="Text"/>
        <s v="Story"/>
        <s v="Carousel"/>
        <s v="Image"/>
        <s v="Video"/>
        <m/>
      </sharedItems>
    </cacheField>
    <cacheField name="Post Text" numFmtId="0">
      <sharedItems containsBlank="1"/>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0">
      <sharedItems containsString="0" containsBlank="1" containsNumber="1" containsInteger="1" minValue="588" maxValue="98100"/>
    </cacheField>
    <cacheField name="Reach" numFmtId="0">
      <sharedItems containsString="0" containsBlank="1" containsNumber="1" containsInteger="1" minValue="7" maxValue="97772"/>
    </cacheField>
    <cacheField name="Clicks" numFmtId="0">
      <sharedItems containsString="0" containsBlank="1" containsNumber="1" containsInteger="1" minValue="10" maxValue="300"/>
    </cacheField>
    <cacheField name="Hashtags Used" numFmtId="0">
      <sharedItems containsBlank="1"/>
    </cacheField>
    <cacheField name="Hashtags-1" numFmtId="0">
      <sharedItems containsBlank="1"/>
    </cacheField>
    <cacheField name="Hashtags_2" numFmtId="0">
      <sharedItems containsBlank="1"/>
    </cacheField>
    <cacheField name="Campaign_Name" numFmtId="0">
      <sharedItems containsBlank="1"/>
    </cacheField>
    <cacheField name="Engagement rate" numFmtId="0">
      <sharedItems containsString="0" containsBlank="1" containsNumber="1" minValue="5.2551586421122697E-2" maxValue="1.8129251700680271"/>
    </cacheField>
  </cacheFields>
  <extLst>
    <ext xmlns:x14="http://schemas.microsoft.com/office/spreadsheetml/2009/9/main" uri="{725AE2AE-9491-48be-B2B4-4EB974FC3084}">
      <x14:pivotCacheDefinition pivotCacheId="12661777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th" refreshedDate="45960.900818402777" createdVersion="8" refreshedVersion="8" minRefreshableVersion="3" recordCount="901" xr:uid="{B75C8091-F99D-4CA0-B55D-77EE19C182B3}">
  <cacheSource type="worksheet">
    <worksheetSource ref="A1:N1048576" sheet="Unpivoted_columns"/>
  </cacheSource>
  <cacheFields count="14">
    <cacheField name="Post ID" numFmtId="0">
      <sharedItems containsBlank="1"/>
    </cacheField>
    <cacheField name="Platform" numFmtId="0">
      <sharedItems containsBlank="1"/>
    </cacheField>
    <cacheField name="Date" numFmtId="14">
      <sharedItems containsNonDate="0" containsDate="1" containsString="0" containsBlank="1" minDate="2024-06-01T00:00:00" maxDate="2025-05-15T00:00:00"/>
    </cacheField>
    <cacheField name="Content Type" numFmtId="0">
      <sharedItems containsBlank="1"/>
    </cacheField>
    <cacheField name="Post Text" numFmtId="0">
      <sharedItems containsBlank="1"/>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0">
      <sharedItems containsString="0" containsBlank="1" containsNumber="1" containsInteger="1" minValue="588" maxValue="98100"/>
    </cacheField>
    <cacheField name="Reach" numFmtId="0">
      <sharedItems containsString="0" containsBlank="1" containsNumber="1" containsInteger="1" minValue="7" maxValue="97772"/>
    </cacheField>
    <cacheField name="Clicks" numFmtId="0">
      <sharedItems containsString="0" containsBlank="1" containsNumber="1" containsInteger="1" minValue="10" maxValue="300"/>
    </cacheField>
    <cacheField name="Campaign_Name" numFmtId="0">
      <sharedItems containsBlank="1"/>
    </cacheField>
    <cacheField name="Attribute" numFmtId="0">
      <sharedItems containsBlank="1"/>
    </cacheField>
    <cacheField name="Hashtags" numFmtId="0">
      <sharedItems containsBlank="1" count="8">
        <s v="#FutureOfDriving"/>
        <s v="#AnytimeIsTeslaTime"/>
        <s v="no data"/>
        <s v="#TeslaCoInnovation"/>
        <s v="#BetterWithTesla"/>
        <s v="#EVRevolution"/>
        <s v="#SmoothLikeNitroTesla"/>
        <m/>
      </sharedItems>
    </cacheField>
  </cacheFields>
  <extLst>
    <ext xmlns:x14="http://schemas.microsoft.com/office/spreadsheetml/2009/9/main" uri="{725AE2AE-9491-48be-B2B4-4EB974FC3084}">
      <x14:pivotCacheDefinition pivotCacheId="20910559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th" refreshedDate="45960.911065046297" createdVersion="8" refreshedVersion="8" minRefreshableVersion="3" recordCount="301" xr:uid="{4634CEB4-F076-4776-A572-1F9C97ED5E7E}">
  <cacheSource type="worksheet">
    <worksheetSource ref="A1:Q1048576" sheet="Task_3.1"/>
  </cacheSource>
  <cacheFields count="17">
    <cacheField name="Post ID" numFmtId="0">
      <sharedItems containsBlank="1"/>
    </cacheField>
    <cacheField name="Platform" numFmtId="0">
      <sharedItems containsBlank="1" count="5">
        <s v="Twitter"/>
        <s v="YouTube"/>
        <s v="Instagram"/>
        <s v="Facebook"/>
        <m/>
      </sharedItems>
    </cacheField>
    <cacheField name="Date" numFmtId="0">
      <sharedItems containsNonDate="0" containsDate="1" containsString="0" containsBlank="1" minDate="2024-06-01T00:00:00" maxDate="2025-05-15T00:00:00"/>
    </cacheField>
    <cacheField name="Content Type" numFmtId="0">
      <sharedItems containsBlank="1"/>
    </cacheField>
    <cacheField name="Post Text" numFmtId="0">
      <sharedItems containsBlank="1"/>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0">
      <sharedItems containsString="0" containsBlank="1" containsNumber="1" containsInteger="1" minValue="588" maxValue="98100"/>
    </cacheField>
    <cacheField name="Reach" numFmtId="0">
      <sharedItems containsString="0" containsBlank="1" containsNumber="1" containsInteger="1" minValue="7" maxValue="97772"/>
    </cacheField>
    <cacheField name="Clicks" numFmtId="0">
      <sharedItems containsString="0" containsBlank="1" containsNumber="1" containsInteger="1" minValue="10" maxValue="300"/>
    </cacheField>
    <cacheField name="Hashtags Used" numFmtId="0">
      <sharedItems containsBlank="1"/>
    </cacheField>
    <cacheField name="Hashtags-1" numFmtId="0">
      <sharedItems containsBlank="1"/>
    </cacheField>
    <cacheField name="Hashtags_2" numFmtId="0">
      <sharedItems containsBlank="1"/>
    </cacheField>
    <cacheField name="Campaign_Name" numFmtId="0">
      <sharedItems containsBlank="1"/>
    </cacheField>
    <cacheField name="Engagement rate" numFmtId="0">
      <sharedItems containsString="0" containsBlank="1" containsNumber="1" minValue="5.2551586421122697E-2" maxValue="1.8129251700680271"/>
    </cacheField>
    <cacheField name="Total_Engagement" numFmtId="0">
      <sharedItems containsString="0" containsBlank="1" containsNumber="1" containsInteger="1" minValue="315" maxValue="627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th" refreshedDate="45961.53522662037" createdVersion="8" refreshedVersion="8" minRefreshableVersion="3" recordCount="201" xr:uid="{3BBF204C-21D0-4E5D-AD74-6294D76A3B8F}">
  <cacheSource type="worksheet">
    <worksheetSource ref="A1:I1048576" sheet="Engagement summary"/>
  </cacheSource>
  <cacheFields count="9">
    <cacheField name="Week_Start_Date" numFmtId="0">
      <sharedItems containsBlank="1"/>
    </cacheField>
    <cacheField name="Platform" numFmtId="0">
      <sharedItems containsBlank="1" count="5">
        <s v="Instagram"/>
        <s v="Facebook"/>
        <s v="Twitter"/>
        <s v="YouTube"/>
        <m/>
      </sharedItems>
    </cacheField>
    <cacheField name="New_Followers" numFmtId="0">
      <sharedItems containsString="0" containsBlank="1" containsNumber="1" containsInteger="1" minValue="115" maxValue="1980"/>
    </cacheField>
    <cacheField name="Unfollows" numFmtId="0">
      <sharedItems containsString="0" containsBlank="1" containsNumber="1" containsInteger="1" minValue="20" maxValue="498"/>
    </cacheField>
    <cacheField name="Total_Followers" numFmtId="0">
      <sharedItems containsString="0" containsBlank="1" containsNumber="1" containsInteger="1" minValue="11435" maxValue="496982"/>
    </cacheField>
    <cacheField name="Engagement_Rate" numFmtId="0">
      <sharedItems containsString="0" containsBlank="1" containsNumber="1" minValue="1.53" maxValue="9.48"/>
    </cacheField>
    <cacheField name="Ad_Spend" numFmtId="0">
      <sharedItems containsString="0" containsBlank="1" containsNumber="1" containsInteger="1" minValue="1083" maxValue="49772"/>
    </cacheField>
    <cacheField name="Net Followers" numFmtId="0">
      <sharedItems containsString="0" containsBlank="1" containsNumber="1" containsInteger="1" minValue="-337" maxValue="1881"/>
    </cacheField>
    <cacheField name="Growth rate" numFmtId="0">
      <sharedItems containsString="0" containsBlank="1" containsNumber="1" minValue="-4.0819787301048958E-3" maxValue="0.1082511426509502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th" refreshedDate="45961.54526712963" createdVersion="8" refreshedVersion="8" minRefreshableVersion="3" recordCount="300" xr:uid="{02A59D5D-6297-4526-9250-736D51C0F19B}">
  <cacheSource type="worksheet">
    <worksheetSource name="Table1_14"/>
  </cacheSource>
  <cacheFields count="16">
    <cacheField name="Post ID" numFmtId="0">
      <sharedItems/>
    </cacheField>
    <cacheField name="Platform" numFmtId="0">
      <sharedItems/>
    </cacheField>
    <cacheField name="Date" numFmtId="14">
      <sharedItems containsSemiMixedTypes="0" containsNonDate="0" containsDate="1" containsString="0" minDate="2024-06-01T00:00:00" maxDate="2025-05-15T00:00:00"/>
    </cacheField>
    <cacheField name="Content Type" numFmtId="0">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Hashtags-1" numFmtId="0">
      <sharedItems/>
    </cacheField>
    <cacheField name="Hashtags_2" numFmtId="0">
      <sharedItems/>
    </cacheField>
    <cacheField name="Campaign_Name" numFmtId="0">
      <sharedItems count="5">
        <s v="CybertruckLaunch"/>
        <s v="ModelYCampaign"/>
        <s v="FSDUpdate"/>
        <s v="SustainabilityDrive"/>
        <s v="unknown"/>
      </sharedItems>
    </cacheField>
    <cacheField name="Engagement rate" numFmtId="165">
      <sharedItems containsSemiMixedTypes="0" containsString="0"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th" refreshedDate="45961.552265625003" createdVersion="8" refreshedVersion="8" minRefreshableVersion="3" recordCount="901" xr:uid="{FEC7D3EE-24E1-41D1-8FD5-CB6C17C5AFE0}">
  <cacheSource type="worksheet">
    <worksheetSource ref="A1:O1048576" sheet="Table1"/>
  </cacheSource>
  <cacheFields count="15">
    <cacheField name="Post ID" numFmtId="0">
      <sharedItems containsBlank="1"/>
    </cacheField>
    <cacheField name="Platform" numFmtId="0">
      <sharedItems containsBlank="1" count="5">
        <s v="Twitter"/>
        <s v="YouTube"/>
        <s v="Instagram"/>
        <s v="Facebook"/>
        <m/>
      </sharedItems>
    </cacheField>
    <cacheField name="Date" numFmtId="0">
      <sharedItems containsNonDate="0" containsDate="1" containsString="0" containsBlank="1" minDate="2024-06-01T00:00:00" maxDate="2025-05-15T00:00:00"/>
    </cacheField>
    <cacheField name="Content Type" numFmtId="0">
      <sharedItems containsBlank="1" count="7">
        <s v="Reel"/>
        <s v="Text"/>
        <s v="Story"/>
        <s v="Carousel"/>
        <s v="Image"/>
        <s v="Video"/>
        <m/>
      </sharedItems>
    </cacheField>
    <cacheField name="Post Text" numFmtId="0">
      <sharedItems containsBlank="1"/>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0">
      <sharedItems containsString="0" containsBlank="1" containsNumber="1" containsInteger="1" minValue="588" maxValue="98100"/>
    </cacheField>
    <cacheField name="Reach" numFmtId="0">
      <sharedItems containsString="0" containsBlank="1" containsNumber="1" containsInteger="1" minValue="7" maxValue="97772"/>
    </cacheField>
    <cacheField name="Clicks" numFmtId="0">
      <sharedItems containsString="0" containsBlank="1" containsNumber="1" containsInteger="1" minValue="10" maxValue="300"/>
    </cacheField>
    <cacheField name="Campaign_Name" numFmtId="0">
      <sharedItems containsBlank="1" count="6">
        <s v="CybertruckLaunch"/>
        <s v="ModelYCampaign"/>
        <s v="FSDUpdate"/>
        <s v="SustainabilityDrive"/>
        <s v="unknown"/>
        <m/>
      </sharedItems>
    </cacheField>
    <cacheField name="Engagement rate" numFmtId="0">
      <sharedItems containsString="0" containsBlank="1" containsNumber="1" minValue="5.2551586421122697E-2" maxValue="1.8129251700680271"/>
    </cacheField>
    <cacheField name="Attribute" numFmtId="0">
      <sharedItems containsBlank="1"/>
    </cacheField>
    <cacheField name="Hashtags" numFmtId="0">
      <sharedItems containsBlank="1" count="8">
        <s v="#FutureOfDriving"/>
        <s v="#AnytimeIsTeslaTime"/>
        <s v="no data"/>
        <s v="#TeslaCoInnovation"/>
        <s v="#BetterWithTesla"/>
        <s v="#EVRevolution"/>
        <s v="#SmoothLikeNitroTesla"/>
        <m/>
      </sharedItems>
    </cacheField>
  </cacheFields>
  <extLst>
    <ext xmlns:x14="http://schemas.microsoft.com/office/spreadsheetml/2009/9/main" uri="{725AE2AE-9491-48be-B2B4-4EB974FC3084}">
      <x14:pivotCacheDefinition pivotCacheId="714219842"/>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th" refreshedDate="45961.632508564813" createdVersion="8" refreshedVersion="8" minRefreshableVersion="3" recordCount="301" xr:uid="{AE983E1D-092F-4510-858B-3EA2D9BFE00C}">
  <cacheSource type="worksheet">
    <worksheetSource ref="A1:Q1048576" sheet="Posts"/>
  </cacheSource>
  <cacheFields count="17">
    <cacheField name="Post ID" numFmtId="0">
      <sharedItems containsBlank="1"/>
    </cacheField>
    <cacheField name="Platform" numFmtId="0">
      <sharedItems containsBlank="1"/>
    </cacheField>
    <cacheField name="Date" numFmtId="0">
      <sharedItems containsNonDate="0" containsDate="1" containsString="0" containsBlank="1" minDate="2024-06-01T00:00:00" maxDate="2025-05-15T00:00:00"/>
    </cacheField>
    <cacheField name="Content Type" numFmtId="0">
      <sharedItems containsBlank="1"/>
    </cacheField>
    <cacheField name="Post Text" numFmtId="0">
      <sharedItems containsBlank="1"/>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0">
      <sharedItems containsString="0" containsBlank="1" containsNumber="1" containsInteger="1" minValue="588" maxValue="98100"/>
    </cacheField>
    <cacheField name="Reach" numFmtId="0">
      <sharedItems containsString="0" containsBlank="1" containsNumber="1" containsInteger="1" minValue="7" maxValue="97772"/>
    </cacheField>
    <cacheField name="Clicks" numFmtId="0">
      <sharedItems containsString="0" containsBlank="1" containsNumber="1" containsInteger="1" minValue="10" maxValue="300"/>
    </cacheField>
    <cacheField name="Hashtags Used" numFmtId="0">
      <sharedItems containsBlank="1"/>
    </cacheField>
    <cacheField name="Hashtags-1" numFmtId="0">
      <sharedItems containsBlank="1"/>
    </cacheField>
    <cacheField name="Hashtags_2" numFmtId="0">
      <sharedItems containsBlank="1"/>
    </cacheField>
    <cacheField name="Campaign_Name" numFmtId="0">
      <sharedItems containsBlank="1" count="6">
        <s v="CybertruckLaunch"/>
        <s v="ModelYCampaign"/>
        <s v="FSDUpdate"/>
        <s v="SustainabilityDrive"/>
        <s v="unknown"/>
        <m/>
      </sharedItems>
    </cacheField>
    <cacheField name="Engagement rate" numFmtId="0">
      <sharedItems containsString="0" containsBlank="1" containsNumber="1" minValue="5.2551586421122697E-2" maxValue="1.8129251700680271"/>
    </cacheField>
    <cacheField name="Period" numFmtId="0">
      <sharedItems containsBlank="1" count="5">
        <s v="After"/>
        <s v="During"/>
        <s v="Before"/>
        <b v="0"/>
        <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th" refreshedDate="45961.643876620372" createdVersion="8" refreshedVersion="8" minRefreshableVersion="3" recordCount="201" xr:uid="{86E55BE0-02D7-4DAE-9D9A-D227F1F404D1}">
  <cacheSource type="worksheet">
    <worksheetSource ref="A1:J1048576" sheet="Engagement summary"/>
  </cacheSource>
  <cacheFields count="11">
    <cacheField name="Week_Start_Date" numFmtId="0">
      <sharedItems containsBlank="1" count="51">
        <s v="2024-06-03"/>
        <s v="2024-06-10"/>
        <s v="2024-06-17"/>
        <s v="2024-06-24"/>
        <s v="2024-07-01"/>
        <s v="2024-07-08"/>
        <s v="2024-07-15"/>
        <s v="2024-07-22"/>
        <s v="2024-07-29"/>
        <s v="2024-08-05"/>
        <s v="2024-08-12"/>
        <s v="2024-08-19"/>
        <s v="2024-08-26"/>
        <s v="2024-09-02"/>
        <s v="2024-09-09"/>
        <s v="2024-09-16"/>
        <s v="2024-09-23"/>
        <s v="2024-09-30"/>
        <s v="2024-10-07"/>
        <s v="2024-10-14"/>
        <s v="2024-10-21"/>
        <s v="2024-10-28"/>
        <s v="2024-11-04"/>
        <s v="2024-11-11"/>
        <s v="2024-11-18"/>
        <s v="2024-11-25"/>
        <s v="2024-12-02"/>
        <s v="2024-12-09"/>
        <s v="2024-12-16"/>
        <s v="2024-12-23"/>
        <s v="2024-12-30"/>
        <s v="2025-01-06"/>
        <s v="2025-01-13"/>
        <s v="2025-01-20"/>
        <s v="2025-01-27"/>
        <s v="2025-02-03"/>
        <s v="2025-02-10"/>
        <s v="2025-02-17"/>
        <s v="2025-02-24"/>
        <s v="2025-03-03"/>
        <s v="2025-03-10"/>
        <s v="2025-03-17"/>
        <s v="2025-03-24"/>
        <s v="2025-03-31"/>
        <s v="2025-04-07"/>
        <s v="2025-04-14"/>
        <s v="2025-04-21"/>
        <s v="2025-04-28"/>
        <s v="2025-05-05"/>
        <s v="2025-05-12"/>
        <m/>
      </sharedItems>
    </cacheField>
    <cacheField name="Platform" numFmtId="0">
      <sharedItems containsBlank="1" count="5">
        <s v="Instagram"/>
        <s v="Facebook"/>
        <s v="Twitter"/>
        <s v="YouTube"/>
        <m/>
      </sharedItems>
    </cacheField>
    <cacheField name="New_Followers" numFmtId="0">
      <sharedItems containsString="0" containsBlank="1" containsNumber="1" containsInteger="1" minValue="115" maxValue="1980"/>
    </cacheField>
    <cacheField name="Unfollows" numFmtId="0">
      <sharedItems containsString="0" containsBlank="1" containsNumber="1" containsInteger="1" minValue="20" maxValue="498"/>
    </cacheField>
    <cacheField name="Total_Followers" numFmtId="0">
      <sharedItems containsString="0" containsBlank="1" containsNumber="1" containsInteger="1" minValue="11435" maxValue="496982"/>
    </cacheField>
    <cacheField name="Engagement_Rate" numFmtId="0">
      <sharedItems containsString="0" containsBlank="1" containsNumber="1" minValue="1.53" maxValue="9.48"/>
    </cacheField>
    <cacheField name="Ad_Spend" numFmtId="0">
      <sharedItems containsString="0" containsBlank="1" containsNumber="1" containsInteger="1" minValue="1083" maxValue="49772" count="200">
        <n v="5904"/>
        <n v="9566"/>
        <n v="26752"/>
        <n v="30671"/>
        <n v="9920"/>
        <n v="7924"/>
        <n v="8912"/>
        <n v="21205"/>
        <n v="11329"/>
        <n v="46670"/>
        <n v="22482"/>
        <n v="24313"/>
        <n v="18050"/>
        <n v="30635"/>
        <n v="31280"/>
        <n v="1783"/>
        <n v="42307"/>
        <n v="5914"/>
        <n v="30060"/>
        <n v="22728"/>
        <n v="38610"/>
        <n v="2932"/>
        <n v="15071"/>
        <n v="10740"/>
        <n v="43420"/>
        <n v="32393"/>
        <n v="28474"/>
        <n v="17328"/>
        <n v="26067"/>
        <n v="32763"/>
        <n v="26452"/>
        <n v="15353"/>
        <n v="4839"/>
        <n v="39272"/>
        <n v="16804"/>
        <n v="49303"/>
        <n v="26455"/>
        <n v="12384"/>
        <n v="49372"/>
        <n v="47101"/>
        <n v="37903"/>
        <n v="33258"/>
        <n v="6915"/>
        <n v="35501"/>
        <n v="14203"/>
        <n v="22206"/>
        <n v="10283"/>
        <n v="24913"/>
        <n v="26925"/>
        <n v="9942"/>
        <n v="32929"/>
        <n v="37829"/>
        <n v="24384"/>
        <n v="25797"/>
        <n v="12646"/>
        <n v="26663"/>
        <n v="40478"/>
        <n v="15476"/>
        <n v="10217"/>
        <n v="21939"/>
        <n v="47462"/>
        <n v="30270"/>
        <n v="5442"/>
        <n v="1083"/>
        <n v="11901"/>
        <n v="24018"/>
        <n v="38883"/>
        <n v="30575"/>
        <n v="2315"/>
        <n v="12148"/>
        <n v="36851"/>
        <n v="41215"/>
        <n v="43836"/>
        <n v="4509"/>
        <n v="27822"/>
        <n v="36397"/>
        <n v="7285"/>
        <n v="33174"/>
        <n v="6742"/>
        <n v="32478"/>
        <n v="42824"/>
        <n v="21208"/>
        <n v="44321"/>
        <n v="13116"/>
        <n v="30214"/>
        <n v="15827"/>
        <n v="46643"/>
        <n v="36484"/>
        <n v="4996"/>
        <n v="36095"/>
        <n v="16443"/>
        <n v="47812"/>
        <n v="38452"/>
        <n v="30428"/>
        <n v="9269"/>
        <n v="29533"/>
        <n v="39997"/>
        <n v="5391"/>
        <n v="22373"/>
        <n v="1810"/>
        <n v="28498"/>
        <n v="39530"/>
        <n v="37876"/>
        <n v="36103"/>
        <n v="26103"/>
        <n v="3455"/>
        <n v="40888"/>
        <n v="22724"/>
        <n v="18601"/>
        <n v="20861"/>
        <n v="46625"/>
        <n v="20692"/>
        <n v="18656"/>
        <n v="13316"/>
        <n v="49558"/>
        <n v="4683"/>
        <n v="47502"/>
        <n v="35359"/>
        <n v="14154"/>
        <n v="4313"/>
        <n v="25140"/>
        <n v="9118"/>
        <n v="39931"/>
        <n v="37132"/>
        <n v="17951"/>
        <n v="2798"/>
        <n v="15045"/>
        <n v="14548"/>
        <n v="45708"/>
        <n v="12350"/>
        <n v="40868"/>
        <n v="43122"/>
        <n v="23853"/>
        <n v="45380"/>
        <n v="7705"/>
        <n v="25525"/>
        <n v="20560"/>
        <n v="19119"/>
        <n v="43999"/>
        <n v="10825"/>
        <n v="40323"/>
        <n v="48270"/>
        <n v="18001"/>
        <n v="3314"/>
        <n v="23489"/>
        <n v="42832"/>
        <n v="24494"/>
        <n v="44097"/>
        <n v="31853"/>
        <n v="37636"/>
        <n v="22996"/>
        <n v="49772"/>
        <n v="22713"/>
        <n v="8718"/>
        <n v="39031"/>
        <n v="33799"/>
        <n v="20553"/>
        <n v="10002"/>
        <n v="30987"/>
        <n v="6296"/>
        <n v="21539"/>
        <n v="14722"/>
        <n v="11383"/>
        <n v="9480"/>
        <n v="29116"/>
        <n v="14068"/>
        <n v="35801"/>
        <n v="49077"/>
        <n v="21453"/>
        <n v="21061"/>
        <n v="20059"/>
        <n v="23140"/>
        <n v="23461"/>
        <n v="11805"/>
        <n v="15969"/>
        <n v="2436"/>
        <n v="47603"/>
        <n v="42964"/>
        <n v="39923"/>
        <n v="2293"/>
        <n v="25920"/>
        <n v="11035"/>
        <n v="20733"/>
        <n v="18693"/>
        <n v="7875"/>
        <n v="8471"/>
        <n v="14090"/>
        <n v="14216"/>
        <n v="3582"/>
        <n v="32500"/>
        <n v="6832"/>
        <n v="33381"/>
        <n v="48419"/>
        <n v="16149"/>
        <n v="7541"/>
        <n v="20042"/>
        <n v="49400"/>
        <n v="4007"/>
        <n v="12174"/>
        <m/>
      </sharedItems>
    </cacheField>
    <cacheField name="Net Followers" numFmtId="0">
      <sharedItems containsString="0" containsBlank="1" containsNumber="1" containsInteger="1" minValue="-337" maxValue="1881"/>
    </cacheField>
    <cacheField name="Growth rate" numFmtId="0">
      <sharedItems containsString="0" containsBlank="1" containsNumber="1" minValue="-4.0819787301048958E-3" maxValue="0.10825114265095021"/>
    </cacheField>
    <cacheField name="Campaign_Name" numFmtId="0">
      <sharedItems containsBlank="1" count="6">
        <s v="SustainabilityDrive"/>
        <s v="FSDUpdate"/>
        <s v="unknown"/>
        <s v="ModelYCampaign"/>
        <s v="CybertruckLaunch"/>
        <m/>
      </sharedItems>
    </cacheField>
    <cacheField name="ROI" numFmtId="0" formula="Engagement_Rate/Ad_Spend" databaseField="0"/>
  </cacheFields>
  <extLst>
    <ext xmlns:x14="http://schemas.microsoft.com/office/spreadsheetml/2009/9/main" uri="{725AE2AE-9491-48be-B2B4-4EB974FC3084}">
      <x14:pivotCacheDefinition pivotCacheId="1951160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P001"/>
    <x v="0"/>
    <d v="2024-12-23T00:00:00"/>
    <x v="0"/>
    <s v="Check out our latest reel on twitter!"/>
    <n v="1461"/>
    <n v="184"/>
    <n v="344"/>
    <n v="21915"/>
    <n v="21675"/>
    <n v="15"/>
    <s v="#FutureOfDriving"/>
    <s v="#AnytimeIsTeslaTime"/>
    <s v="no data"/>
    <s v="CybertruckLaunch"/>
    <n v="9.0759753593429152E-2"/>
  </r>
  <r>
    <s v="P002"/>
    <x v="0"/>
    <d v="2025-04-03T00:00:00"/>
    <x v="1"/>
    <s v="Check out our latest text on twitter!"/>
    <n v="4054"/>
    <n v="389"/>
    <n v="493"/>
    <n v="64864"/>
    <n v="64383"/>
    <n v="117"/>
    <s v="#TeslaCoInnovation"/>
    <s v="#BetterWithTesla"/>
    <s v="no data"/>
    <s v="ModelYCampaign"/>
    <n v="7.6097681302417369E-2"/>
  </r>
  <r>
    <s v="P003"/>
    <x v="1"/>
    <d v="2025-05-12T00:00:00"/>
    <x v="0"/>
    <s v="Check out our latest reel on youtube!"/>
    <n v="2795"/>
    <n v="105"/>
    <n v="49"/>
    <n v="53105"/>
    <n v="52307"/>
    <n v="204"/>
    <s v="#TeslaCoInnovation"/>
    <s v="no data"/>
    <s v="no data"/>
    <s v="FSDUpdate"/>
    <n v="5.5531494209584788E-2"/>
  </r>
  <r>
    <s v="P004"/>
    <x v="2"/>
    <d v="2024-08-12T00:00:00"/>
    <x v="2"/>
    <s v="Check out our latest story on instagram!"/>
    <n v="2404"/>
    <n v="363"/>
    <n v="138"/>
    <n v="19232"/>
    <n v="18636"/>
    <n v="128"/>
    <s v="#EVRevolution"/>
    <s v="no data"/>
    <s v="no data"/>
    <s v="SustainabilityDrive"/>
    <n v="0.15105033277870217"/>
  </r>
  <r>
    <s v="P005"/>
    <x v="1"/>
    <d v="2024-06-26T00:00:00"/>
    <x v="0"/>
    <s v="Check out our latest reel on youtube!"/>
    <n v="3557"/>
    <n v="687"/>
    <n v="424"/>
    <n v="71140"/>
    <n v="70701"/>
    <n v="224"/>
    <s v="#EVRevolution"/>
    <s v="#TeslaCoInnovation"/>
    <s v="no data"/>
    <s v="CybertruckLaunch"/>
    <n v="6.5617093055946027E-2"/>
  </r>
  <r>
    <s v="P006"/>
    <x v="3"/>
    <d v="2024-10-31T00:00:00"/>
    <x v="3"/>
    <s v="Check out our latest carousel on facebook!"/>
    <n v="2945"/>
    <n v="930"/>
    <n v="355"/>
    <n v="23560"/>
    <n v="23275"/>
    <n v="256"/>
    <s v="#TeslaCoInnovation"/>
    <s v="no data"/>
    <s v="no data"/>
    <s v="ModelYCampaign"/>
    <n v="0.17954159592529711"/>
  </r>
  <r>
    <s v="P007"/>
    <x v="0"/>
    <d v="2024-06-24T00:00:00"/>
    <x v="3"/>
    <s v="Check out our latest carousel on twitter!"/>
    <n v="3860"/>
    <n v="201"/>
    <n v="279"/>
    <n v="61760"/>
    <n v="61660"/>
    <n v="235"/>
    <s v="#TeslaCoInnovation"/>
    <s v="no data"/>
    <s v="no data"/>
    <s v="ModelYCampaign"/>
    <n v="7.0272020725388601E-2"/>
  </r>
  <r>
    <s v="P008"/>
    <x v="1"/>
    <d v="2024-07-13T00:00:00"/>
    <x v="4"/>
    <s v="Check out our latest image on youtube!"/>
    <n v="3929"/>
    <n v="262"/>
    <n v="278"/>
    <n v="43219"/>
    <n v="42841"/>
    <n v="39"/>
    <s v="#EVRevolution"/>
    <s v="no data"/>
    <s v="no data"/>
    <s v="SustainabilityDrive"/>
    <n v="0.10340359564080613"/>
  </r>
  <r>
    <s v="P009"/>
    <x v="3"/>
    <d v="2024-08-30T00:00:00"/>
    <x v="1"/>
    <s v="Check out our latest text on facebook!"/>
    <n v="3784"/>
    <n v="808"/>
    <n v="404"/>
    <n v="56760"/>
    <n v="56343"/>
    <n v="131"/>
    <s v="#TeslaCoInnovation"/>
    <s v="no data"/>
    <s v="no data"/>
    <s v="ModelYCampaign"/>
    <n v="8.8019732205778717E-2"/>
  </r>
  <r>
    <s v="P010"/>
    <x v="3"/>
    <d v="2025-03-11T00:00:00"/>
    <x v="4"/>
    <s v="Check out our latest image on facebook!"/>
    <n v="4241"/>
    <n v="902"/>
    <n v="47"/>
    <n v="72097"/>
    <n v="71598"/>
    <n v="167"/>
    <s v="#TeslaCoInnovation"/>
    <s v="no data"/>
    <s v="no data"/>
    <s v="ModelYCampaign"/>
    <n v="7.198635172059864E-2"/>
  </r>
  <r>
    <s v="P011"/>
    <x v="2"/>
    <d v="2025-02-02T00:00:00"/>
    <x v="2"/>
    <s v="Check out our latest story on instagram!"/>
    <n v="1792"/>
    <n v="614"/>
    <n v="497"/>
    <n v="25088"/>
    <n v="24675"/>
    <n v="65"/>
    <s v="#FutureOfDriving"/>
    <s v="no data"/>
    <s v="no data"/>
    <s v="SustainabilityDrive"/>
    <n v="0.11571269132653061"/>
  </r>
  <r>
    <s v="P012"/>
    <x v="3"/>
    <d v="2024-07-21T00:00:00"/>
    <x v="0"/>
    <s v="Check out our latest reel on facebook!"/>
    <n v="1946"/>
    <n v="686"/>
    <n v="377"/>
    <n v="23352"/>
    <n v="22982"/>
    <n v="213"/>
    <s v="#FutureOfDriving"/>
    <s v="no data"/>
    <s v="no data"/>
    <s v="FSDUpdate"/>
    <n v="0.12885405960945528"/>
  </r>
  <r>
    <s v="P013"/>
    <x v="1"/>
    <d v="2024-11-18T00:00:00"/>
    <x v="3"/>
    <s v="Check out our latest carousel on youtube!"/>
    <n v="1171"/>
    <n v="286"/>
    <n v="231"/>
    <n v="22249"/>
    <n v="21282"/>
    <n v="114"/>
    <s v="#EVRevolution"/>
    <s v="no data"/>
    <s v="no data"/>
    <s v="CybertruckLaunch"/>
    <n v="7.5868578363072495E-2"/>
  </r>
  <r>
    <s v="P014"/>
    <x v="3"/>
    <d v="2025-02-16T00:00:00"/>
    <x v="2"/>
    <s v="Check out our latest story on facebook!"/>
    <n v="4242"/>
    <n v="555"/>
    <n v="131"/>
    <n v="33936"/>
    <n v="33802"/>
    <n v="265"/>
    <s v="#FutureOfDriving"/>
    <s v="no data"/>
    <s v="no data"/>
    <s v="unknown"/>
    <n v="0.14521452145214522"/>
  </r>
  <r>
    <s v="P015"/>
    <x v="3"/>
    <d v="2024-10-24T00:00:00"/>
    <x v="5"/>
    <s v="Check out our latest video on facebook!"/>
    <n v="3888"/>
    <n v="604"/>
    <n v="128"/>
    <n v="77760"/>
    <n v="77167"/>
    <n v="20"/>
    <s v="#FutureOfDriving"/>
    <s v="no data"/>
    <s v="no data"/>
    <s v="CybertruckLaunch"/>
    <n v="5.941358024691358E-2"/>
  </r>
  <r>
    <s v="P016"/>
    <x v="3"/>
    <d v="2024-08-26T00:00:00"/>
    <x v="1"/>
    <s v="Check out our latest text on facebook!"/>
    <n v="3452"/>
    <n v="377"/>
    <n v="360"/>
    <n v="55232"/>
    <n v="55075"/>
    <n v="87"/>
    <s v="#FutureOfDriving"/>
    <s v="no data"/>
    <s v="no data"/>
    <s v="FSDUpdate"/>
    <n v="7.5843713789107758E-2"/>
  </r>
  <r>
    <s v="P017"/>
    <x v="3"/>
    <d v="2025-05-05T00:00:00"/>
    <x v="1"/>
    <s v="Check out our latest text on facebook!"/>
    <n v="4441"/>
    <n v="511"/>
    <n v="70"/>
    <n v="53292"/>
    <n v="53082"/>
    <n v="159"/>
    <s v="#EVRevolution"/>
    <s v="no data"/>
    <s v="no data"/>
    <s v="SustainabilityDrive"/>
    <n v="9.4235532537716729E-2"/>
  </r>
  <r>
    <s v="P018"/>
    <x v="2"/>
    <d v="2024-08-19T00:00:00"/>
    <x v="0"/>
    <s v="Check out our latest reel on instagram!"/>
    <n v="3000"/>
    <n v="382"/>
    <n v="325"/>
    <n v="36000"/>
    <n v="35819"/>
    <n v="19"/>
    <s v="#FutureOfDriving"/>
    <s v="no data"/>
    <s v="no data"/>
    <s v="CybertruckLaunch"/>
    <n v="0.10297222222222223"/>
  </r>
  <r>
    <s v="P019"/>
    <x v="2"/>
    <d v="2024-06-23T00:00:00"/>
    <x v="5"/>
    <s v="Check out our latest video on instagram!"/>
    <n v="1071"/>
    <n v="519"/>
    <n v="22"/>
    <n v="16065"/>
    <n v="15865"/>
    <n v="103"/>
    <s v="#TeslaCoInnovation"/>
    <s v="no data"/>
    <s v="no data"/>
    <s v="SustainabilityDrive"/>
    <n v="0.10034235916588857"/>
  </r>
  <r>
    <s v="P020"/>
    <x v="2"/>
    <d v="2024-09-09T00:00:00"/>
    <x v="3"/>
    <s v="Check out our latest carousel on instagram!"/>
    <n v="4054"/>
    <n v="488"/>
    <n v="373"/>
    <n v="77026"/>
    <n v="76881"/>
    <n v="25"/>
    <s v="#TeslaCoInnovation"/>
    <s v="no data"/>
    <s v="no data"/>
    <s v="CybertruckLaunch"/>
    <n v="6.3809622724794221E-2"/>
  </r>
  <r>
    <s v="P021"/>
    <x v="2"/>
    <d v="2025-01-04T00:00:00"/>
    <x v="0"/>
    <s v="Check out our latest reel on instagram!"/>
    <n v="4838"/>
    <n v="640"/>
    <n v="128"/>
    <n v="72570"/>
    <n v="72396"/>
    <n v="83"/>
    <s v="#FutureOfDriving"/>
    <s v="no data"/>
    <s v="no data"/>
    <s v="SustainabilityDrive"/>
    <n v="7.7249552156538517E-2"/>
  </r>
  <r>
    <s v="P022"/>
    <x v="3"/>
    <d v="2025-02-27T00:00:00"/>
    <x v="1"/>
    <s v="Check out our latest text on facebook!"/>
    <n v="1570"/>
    <n v="187"/>
    <n v="260"/>
    <n v="25120"/>
    <n v="24613"/>
    <n v="133"/>
    <s v="#TeslaCoInnovation"/>
    <s v="no data"/>
    <s v="no data"/>
    <s v="SustainabilityDrive"/>
    <n v="8.0294585987261149E-2"/>
  </r>
  <r>
    <s v="P023"/>
    <x v="3"/>
    <d v="2024-11-06T00:00:00"/>
    <x v="5"/>
    <s v="Check out our latest video on facebook!"/>
    <n v="1606"/>
    <n v="547"/>
    <n v="316"/>
    <n v="32120"/>
    <n v="31736"/>
    <n v="225"/>
    <s v="#TeslaCoInnovation"/>
    <s v="#AnytimeIsTeslaTime"/>
    <s v="no data"/>
    <s v="ModelYCampaign"/>
    <n v="7.6867995018679955E-2"/>
  </r>
  <r>
    <s v="P024"/>
    <x v="3"/>
    <d v="2025-01-23T00:00:00"/>
    <x v="5"/>
    <s v="Check out our latest video on facebook!"/>
    <n v="3961"/>
    <n v="761"/>
    <n v="131"/>
    <n v="67337"/>
    <n v="66615"/>
    <n v="161"/>
    <s v="#FutureOfDriving"/>
    <s v="no data"/>
    <s v="no data"/>
    <s v="FSDUpdate"/>
    <n v="7.2070332803659209E-2"/>
  </r>
  <r>
    <s v="P025"/>
    <x v="0"/>
    <d v="2025-04-10T00:00:00"/>
    <x v="3"/>
    <s v="Check out our latest carousel on twitter!"/>
    <n v="3128"/>
    <n v="211"/>
    <n v="197"/>
    <n v="59432"/>
    <n v="59182"/>
    <n v="238"/>
    <s v="#EVRevolution"/>
    <s v="no data"/>
    <s v="no data"/>
    <s v="unknown"/>
    <n v="5.9496567505720827E-2"/>
  </r>
  <r>
    <s v="P026"/>
    <x v="1"/>
    <d v="2025-04-05T00:00:00"/>
    <x v="0"/>
    <s v="Check out our latest reel on youtube!"/>
    <n v="3009"/>
    <n v="413"/>
    <n v="358"/>
    <n v="42126"/>
    <n v="41309"/>
    <n v="211"/>
    <s v="#FutureOfDriving"/>
    <s v="no data"/>
    <s v="no data"/>
    <s v="ModelYCampaign"/>
    <n v="8.9730807577268201E-2"/>
  </r>
  <r>
    <s v="P027"/>
    <x v="1"/>
    <d v="2024-09-17T00:00:00"/>
    <x v="1"/>
    <s v="Check out our latest text on youtube!"/>
    <n v="2076"/>
    <n v="195"/>
    <n v="104"/>
    <n v="33216"/>
    <n v="32244"/>
    <n v="51"/>
    <s v="#FutureOfDriving"/>
    <s v="no data"/>
    <s v="no data"/>
    <s v="SustainabilityDrive"/>
    <n v="7.1501685934489398E-2"/>
  </r>
  <r>
    <s v="P028"/>
    <x v="2"/>
    <d v="2025-03-04T00:00:00"/>
    <x v="5"/>
    <s v="Check out our latest video on instagram!"/>
    <n v="432"/>
    <n v="624"/>
    <n v="123"/>
    <n v="6912"/>
    <n v="6259"/>
    <n v="79"/>
    <s v="#FutureOfDriving"/>
    <s v="no data"/>
    <s v="no data"/>
    <s v="SustainabilityDrive"/>
    <n v="0.17057291666666666"/>
  </r>
  <r>
    <s v="P029"/>
    <x v="2"/>
    <d v="2025-01-31T00:00:00"/>
    <x v="3"/>
    <s v="Check out our latest carousel on instagram!"/>
    <n v="2566"/>
    <n v="118"/>
    <n v="37"/>
    <n v="12830"/>
    <n v="12264"/>
    <n v="221"/>
    <s v="#FutureOfDriving"/>
    <s v="no data"/>
    <s v="no data"/>
    <s v="FSDUpdate"/>
    <n v="0.21208106001558846"/>
  </r>
  <r>
    <s v="P030"/>
    <x v="2"/>
    <d v="2025-02-25T00:00:00"/>
    <x v="5"/>
    <s v="Check out our latest video on instagram!"/>
    <n v="3095"/>
    <n v="39"/>
    <n v="78"/>
    <n v="55710"/>
    <n v="54808"/>
    <n v="93"/>
    <s v="#EVRevolution"/>
    <s v="no data"/>
    <s v="no data"/>
    <s v="unknown"/>
    <n v="5.7655717106444085E-2"/>
  </r>
  <r>
    <s v="P031"/>
    <x v="2"/>
    <d v="2024-12-16T00:00:00"/>
    <x v="1"/>
    <s v="Check out our latest text on instagram!"/>
    <n v="438"/>
    <n v="153"/>
    <n v="275"/>
    <n v="3066"/>
    <n v="2701"/>
    <n v="282"/>
    <s v="#TeslaCoInnovation"/>
    <s v="no data"/>
    <s v="no data"/>
    <s v="ModelYCampaign"/>
    <n v="0.28245270711024134"/>
  </r>
  <r>
    <s v="P032"/>
    <x v="0"/>
    <d v="2024-07-31T00:00:00"/>
    <x v="3"/>
    <s v="Check out our latest carousel on twitter!"/>
    <n v="2278"/>
    <n v="10"/>
    <n v="321"/>
    <n v="13668"/>
    <n v="12676"/>
    <n v="275"/>
    <s v="#EVRevolution"/>
    <s v="no data"/>
    <s v="no data"/>
    <s v="CybertruckLaunch"/>
    <n v="0.19088381621305239"/>
  </r>
  <r>
    <s v="P033"/>
    <x v="3"/>
    <d v="2024-08-21T00:00:00"/>
    <x v="4"/>
    <s v="Check out our latest image on facebook!"/>
    <n v="1407"/>
    <n v="400"/>
    <n v="351"/>
    <n v="16884"/>
    <n v="15954"/>
    <n v="113"/>
    <s v="#TeslaCoInnovation"/>
    <s v="no data"/>
    <s v="no data"/>
    <s v="CybertruckLaunch"/>
    <n v="0.12781331438047855"/>
  </r>
  <r>
    <s v="P034"/>
    <x v="3"/>
    <d v="2025-03-26T00:00:00"/>
    <x v="1"/>
    <s v="Check out our latest text on facebook!"/>
    <n v="1652"/>
    <n v="89"/>
    <n v="357"/>
    <n v="29736"/>
    <n v="28771"/>
    <n v="215"/>
    <s v="#TeslaCoInnovation"/>
    <s v="no data"/>
    <s v="no data"/>
    <s v="FSDUpdate"/>
    <n v="7.055421038471886E-2"/>
  </r>
  <r>
    <s v="P035"/>
    <x v="2"/>
    <d v="2024-11-30T00:00:00"/>
    <x v="5"/>
    <s v="Check out our latest video on instagram!"/>
    <n v="3775"/>
    <n v="16"/>
    <n v="239"/>
    <n v="33975"/>
    <n v="33310"/>
    <n v="271"/>
    <s v="#FutureOfDriving"/>
    <s v="no data"/>
    <s v="no data"/>
    <s v="ModelYCampaign"/>
    <n v="0.11861662987490802"/>
  </r>
  <r>
    <s v="P036"/>
    <x v="2"/>
    <d v="2025-04-19T00:00:00"/>
    <x v="2"/>
    <s v="Check out our latest story on instagram!"/>
    <n v="4518"/>
    <n v="285"/>
    <n v="383"/>
    <n v="67770"/>
    <n v="67621"/>
    <n v="31"/>
    <s v="#EVRevolution"/>
    <s v="no data"/>
    <s v="no data"/>
    <s v="ModelYCampaign"/>
    <n v="7.6523535487678915E-2"/>
  </r>
  <r>
    <s v="P037"/>
    <x v="3"/>
    <d v="2025-01-06T00:00:00"/>
    <x v="3"/>
    <s v="Check out our latest carousel on facebook!"/>
    <n v="3024"/>
    <n v="925"/>
    <n v="350"/>
    <n v="24192"/>
    <n v="23518"/>
    <n v="36"/>
    <s v="#EVRevolution"/>
    <s v="no data"/>
    <s v="no data"/>
    <s v="ModelYCampaign"/>
    <n v="0.17770337301587302"/>
  </r>
  <r>
    <s v="P038"/>
    <x v="1"/>
    <d v="2025-02-17T00:00:00"/>
    <x v="0"/>
    <s v="Check out our latest reel on youtube!"/>
    <n v="3138"/>
    <n v="123"/>
    <n v="291"/>
    <n v="28242"/>
    <n v="27550"/>
    <n v="87"/>
    <s v="#TeslaCoInnovation"/>
    <s v="no data"/>
    <s v="no data"/>
    <s v="SustainabilityDrive"/>
    <n v="0.12577012959422137"/>
  </r>
  <r>
    <s v="P039"/>
    <x v="3"/>
    <d v="2024-11-25T00:00:00"/>
    <x v="4"/>
    <s v="Check out our latest image on facebook!"/>
    <n v="3564"/>
    <n v="629"/>
    <n v="177"/>
    <n v="60588"/>
    <n v="59627"/>
    <n v="92"/>
    <s v="#TeslaCoInnovation"/>
    <s v="no data"/>
    <s v="no data"/>
    <s v="unknown"/>
    <n v="7.2126493695121141E-2"/>
  </r>
  <r>
    <s v="P040"/>
    <x v="0"/>
    <d v="2025-03-07T00:00:00"/>
    <x v="4"/>
    <s v="Check out our latest image on twitter!"/>
    <n v="4750"/>
    <n v="151"/>
    <n v="415"/>
    <n v="38000"/>
    <n v="37792"/>
    <n v="299"/>
    <s v="#EVRevolution"/>
    <s v="no data"/>
    <s v="no data"/>
    <s v="SustainabilityDrive"/>
    <n v="0.13989473684210527"/>
  </r>
  <r>
    <s v="P041"/>
    <x v="2"/>
    <d v="2025-03-08T00:00:00"/>
    <x v="0"/>
    <s v="Check out our latest reel on instagram!"/>
    <n v="456"/>
    <n v="629"/>
    <n v="428"/>
    <n v="8208"/>
    <n v="7377"/>
    <n v="205"/>
    <s v="#FutureOfDriving"/>
    <s v="no data"/>
    <s v="no data"/>
    <s v="SustainabilityDrive"/>
    <n v="0.18433235867446393"/>
  </r>
  <r>
    <s v="P042"/>
    <x v="1"/>
    <d v="2025-03-05T00:00:00"/>
    <x v="0"/>
    <s v="Check out our latest reel on youtube!"/>
    <n v="1543"/>
    <n v="820"/>
    <n v="333"/>
    <n v="12344"/>
    <n v="11496"/>
    <n v="241"/>
    <s v="#EVRevolution"/>
    <s v="no data"/>
    <s v="no data"/>
    <s v="unknown"/>
    <n v="0.21840570317563188"/>
  </r>
  <r>
    <s v="P043"/>
    <x v="2"/>
    <d v="2024-12-14T00:00:00"/>
    <x v="3"/>
    <s v="Check out our latest carousel on instagram!"/>
    <n v="2174"/>
    <n v="658"/>
    <n v="15"/>
    <n v="13044"/>
    <n v="12206"/>
    <n v="137"/>
    <s v="#TeslaCoInnovation"/>
    <s v="no data"/>
    <s v="no data"/>
    <s v="FSDUpdate"/>
    <n v="0.21826126954921804"/>
  </r>
  <r>
    <s v="P044"/>
    <x v="0"/>
    <d v="2025-03-02T00:00:00"/>
    <x v="4"/>
    <s v="Check out our latest image on twitter!"/>
    <n v="2358"/>
    <n v="784"/>
    <n v="344"/>
    <n v="35370"/>
    <n v="34475"/>
    <n v="216"/>
    <s v="#TeslaCoInnovation"/>
    <s v="no data"/>
    <s v="no data"/>
    <s v="unknown"/>
    <n v="9.8558100084817649E-2"/>
  </r>
  <r>
    <s v="P045"/>
    <x v="3"/>
    <d v="2024-11-01T00:00:00"/>
    <x v="5"/>
    <s v="Check out our latest video on facebook!"/>
    <n v="3371"/>
    <n v="106"/>
    <n v="327"/>
    <n v="50565"/>
    <n v="49816"/>
    <n v="176"/>
    <s v="#FutureOfDriving"/>
    <s v="no data"/>
    <s v="no data"/>
    <s v="CybertruckLaunch"/>
    <n v="7.5229902106199939E-2"/>
  </r>
  <r>
    <s v="P046"/>
    <x v="0"/>
    <d v="2025-05-02T00:00:00"/>
    <x v="5"/>
    <s v="Check out our latest video on twitter!"/>
    <n v="1108"/>
    <n v="177"/>
    <n v="212"/>
    <n v="8864"/>
    <n v="8710"/>
    <n v="97"/>
    <s v="#TeslaCoInnovation"/>
    <s v="no data"/>
    <s v="no data"/>
    <s v="SustainabilityDrive"/>
    <n v="0.16888537906137185"/>
  </r>
  <r>
    <s v="P047"/>
    <x v="0"/>
    <d v="2025-02-24T00:00:00"/>
    <x v="3"/>
    <s v="Check out our latest carousel on twitter!"/>
    <n v="2704"/>
    <n v="752"/>
    <n v="153"/>
    <n v="21632"/>
    <n v="20792"/>
    <n v="127"/>
    <s v="#FutureOfDriving"/>
    <s v="no data"/>
    <s v="no data"/>
    <s v="unknown"/>
    <n v="0.16683616863905326"/>
  </r>
  <r>
    <s v="P048"/>
    <x v="0"/>
    <d v="2025-03-11T00:00:00"/>
    <x v="2"/>
    <s v="Check out our latest story on twitter!"/>
    <n v="1950"/>
    <n v="295"/>
    <n v="478"/>
    <n v="37050"/>
    <n v="36272"/>
    <n v="119"/>
    <s v="#TeslaCoInnovation"/>
    <s v="no data"/>
    <s v="no data"/>
    <s v="unknown"/>
    <n v="7.349527665317139E-2"/>
  </r>
  <r>
    <s v="P049"/>
    <x v="0"/>
    <d v="2024-06-10T00:00:00"/>
    <x v="2"/>
    <s v="Check out our latest story on twitter!"/>
    <n v="2164"/>
    <n v="549"/>
    <n v="274"/>
    <n v="28132"/>
    <n v="27361"/>
    <n v="177"/>
    <s v="#TeslaCoInnovation"/>
    <s v="no data"/>
    <s v="no data"/>
    <s v="SustainabilityDrive"/>
    <n v="0.10617801791554102"/>
  </r>
  <r>
    <s v="P050"/>
    <x v="1"/>
    <d v="2024-07-03T00:00:00"/>
    <x v="2"/>
    <s v="Check out our latest story on youtube!"/>
    <n v="2754"/>
    <n v="130"/>
    <n v="90"/>
    <n v="22032"/>
    <n v="21288"/>
    <n v="112"/>
    <s v="#TeslaCoInnovation"/>
    <s v="no data"/>
    <s v="no data"/>
    <s v="FSDUpdate"/>
    <n v="0.13498547567175018"/>
  </r>
  <r>
    <s v="P051"/>
    <x v="3"/>
    <d v="2024-06-13T00:00:00"/>
    <x v="3"/>
    <s v="Check out our latest carousel on facebook!"/>
    <n v="2200"/>
    <n v="504"/>
    <n v="239"/>
    <n v="37400"/>
    <n v="36938"/>
    <n v="225"/>
    <s v="#FutureOfDriving"/>
    <s v="no data"/>
    <s v="no data"/>
    <s v="ModelYCampaign"/>
    <n v="7.8689839572192513E-2"/>
  </r>
  <r>
    <s v="P052"/>
    <x v="3"/>
    <d v="2025-01-03T00:00:00"/>
    <x v="4"/>
    <s v="Check out our latest image on facebook!"/>
    <n v="947"/>
    <n v="338"/>
    <n v="350"/>
    <n v="10417"/>
    <n v="9730"/>
    <n v="34"/>
    <s v="#TeslaCoInnovation"/>
    <s v="no data"/>
    <s v="no data"/>
    <s v="SustainabilityDrive"/>
    <n v="0.1569549774407219"/>
  </r>
  <r>
    <s v="P053"/>
    <x v="1"/>
    <d v="2025-02-24T00:00:00"/>
    <x v="3"/>
    <s v="Check out our latest carousel on youtube!"/>
    <n v="804"/>
    <n v="639"/>
    <n v="43"/>
    <n v="4020"/>
    <n v="3144"/>
    <n v="11"/>
    <s v="#EVRevolution"/>
    <s v="#BetterWithTesla"/>
    <s v="no data"/>
    <s v="unknown"/>
    <n v="0.36965174129353234"/>
  </r>
  <r>
    <s v="P054"/>
    <x v="1"/>
    <d v="2025-03-13T00:00:00"/>
    <x v="3"/>
    <s v="Check out our latest carousel on youtube!"/>
    <n v="1686"/>
    <n v="904"/>
    <n v="472"/>
    <n v="18546"/>
    <n v="18171"/>
    <n v="52"/>
    <s v="#FutureOfDriving"/>
    <s v="no data"/>
    <s v="no data"/>
    <s v="ModelYCampaign"/>
    <n v="0.16510298716704411"/>
  </r>
  <r>
    <s v="P055"/>
    <x v="3"/>
    <d v="2024-06-17T00:00:00"/>
    <x v="4"/>
    <s v="Check out our latest image on facebook!"/>
    <n v="1226"/>
    <n v="119"/>
    <n v="7"/>
    <n v="14712"/>
    <n v="14049"/>
    <n v="123"/>
    <s v="#EVRevolution"/>
    <s v="no data"/>
    <s v="no data"/>
    <s v="SustainabilityDrive"/>
    <n v="9.1897770527460579E-2"/>
  </r>
  <r>
    <s v="P056"/>
    <x v="3"/>
    <d v="2024-12-18T00:00:00"/>
    <x v="3"/>
    <s v="Check out our latest carousel on facebook!"/>
    <n v="2946"/>
    <n v="498"/>
    <n v="367"/>
    <n v="29460"/>
    <n v="28527"/>
    <n v="60"/>
    <s v="#FutureOfDriving"/>
    <s v="no data"/>
    <s v="no data"/>
    <s v="FSDUpdate"/>
    <n v="0.12936184657162253"/>
  </r>
  <r>
    <s v="P057"/>
    <x v="0"/>
    <d v="2024-10-21T00:00:00"/>
    <x v="5"/>
    <s v="Check out our latest video on twitter!"/>
    <n v="2825"/>
    <n v="535"/>
    <n v="295"/>
    <n v="45200"/>
    <n v="44739"/>
    <n v="169"/>
    <s v="#TeslaCoInnovation"/>
    <s v="no data"/>
    <s v="no data"/>
    <s v="CybertruckLaunch"/>
    <n v="8.0862831858407078E-2"/>
  </r>
  <r>
    <s v="P058"/>
    <x v="2"/>
    <d v="2025-04-15T00:00:00"/>
    <x v="0"/>
    <s v="Check out our latest reel on instagram!"/>
    <n v="103"/>
    <n v="770"/>
    <n v="19"/>
    <n v="1030"/>
    <n v="410"/>
    <n v="262"/>
    <s v="#TeslaCoInnovation"/>
    <s v="no data"/>
    <s v="no data"/>
    <s v="SustainabilityDrive"/>
    <n v="0.86601941747572819"/>
  </r>
  <r>
    <s v="P059"/>
    <x v="2"/>
    <d v="2024-06-22T00:00:00"/>
    <x v="1"/>
    <s v="Check out our latest text on instagram!"/>
    <n v="2180"/>
    <n v="263"/>
    <n v="387"/>
    <n v="30520"/>
    <n v="30059"/>
    <n v="174"/>
    <s v="#EVRevolution"/>
    <s v="no data"/>
    <s v="no data"/>
    <s v="unknown"/>
    <n v="9.2726081258191345E-2"/>
  </r>
  <r>
    <s v="P060"/>
    <x v="2"/>
    <d v="2025-01-28T00:00:00"/>
    <x v="5"/>
    <s v="Check out our latest video on instagram!"/>
    <n v="904"/>
    <n v="973"/>
    <n v="63"/>
    <n v="11752"/>
    <n v="11580"/>
    <n v="84"/>
    <s v="#EVRevolution"/>
    <s v="#TeslaCoInnovation"/>
    <s v="#AnytimeIsTeslaTime"/>
    <s v="FSDUpdate"/>
    <n v="0.1650782845473111"/>
  </r>
  <r>
    <s v="P061"/>
    <x v="0"/>
    <d v="2024-09-05T00:00:00"/>
    <x v="5"/>
    <s v="Check out our latest video on twitter!"/>
    <n v="4886"/>
    <n v="983"/>
    <n v="409"/>
    <n v="43974"/>
    <n v="43239"/>
    <n v="65"/>
    <s v="#TeslaCoInnovation"/>
    <s v="no data"/>
    <s v="no data"/>
    <s v="CybertruckLaunch"/>
    <n v="0.14276618001546368"/>
  </r>
  <r>
    <s v="P062"/>
    <x v="0"/>
    <d v="2024-11-22T00:00:00"/>
    <x v="3"/>
    <s v="Check out our latest carousel on twitter!"/>
    <n v="53"/>
    <n v="81"/>
    <n v="379"/>
    <n v="954"/>
    <n v="7"/>
    <n v="148"/>
    <s v="#TeslaCoInnovation"/>
    <s v="no data"/>
    <s v="no data"/>
    <s v="FSDUpdate"/>
    <n v="0.53773584905660377"/>
  </r>
  <r>
    <s v="P063"/>
    <x v="0"/>
    <d v="2024-07-31T00:00:00"/>
    <x v="3"/>
    <s v="Check out our latest carousel on twitter!"/>
    <n v="4507"/>
    <n v="217"/>
    <n v="13"/>
    <n v="90140"/>
    <n v="89591"/>
    <n v="125"/>
    <s v="#FutureOfDriving"/>
    <s v="no data"/>
    <s v="no data"/>
    <s v="FSDUpdate"/>
    <n v="5.2551586421122697E-2"/>
  </r>
  <r>
    <s v="P064"/>
    <x v="3"/>
    <d v="2024-08-17T00:00:00"/>
    <x v="4"/>
    <s v="Check out our latest image on facebook!"/>
    <n v="2878"/>
    <n v="248"/>
    <n v="416"/>
    <n v="43170"/>
    <n v="42667"/>
    <n v="75"/>
    <s v="#FutureOfDriving"/>
    <s v="no data"/>
    <s v="no data"/>
    <s v="FSDUpdate"/>
    <n v="8.2047718322909427E-2"/>
  </r>
  <r>
    <s v="P065"/>
    <x v="2"/>
    <d v="2025-03-28T00:00:00"/>
    <x v="2"/>
    <s v="Check out our latest story on instagram!"/>
    <n v="1881"/>
    <n v="501"/>
    <n v="99"/>
    <n v="20691"/>
    <n v="19987"/>
    <n v="289"/>
    <s v="#EVRevolution"/>
    <s v="no data"/>
    <s v="no data"/>
    <s v="unknown"/>
    <n v="0.11990720603160794"/>
  </r>
  <r>
    <s v="P066"/>
    <x v="0"/>
    <d v="2024-07-26T00:00:00"/>
    <x v="3"/>
    <s v="Check out our latest carousel on twitter!"/>
    <n v="432"/>
    <n v="171"/>
    <n v="280"/>
    <n v="3024"/>
    <n v="2285"/>
    <n v="184"/>
    <s v="#EVRevolution"/>
    <s v="no data"/>
    <s v="no data"/>
    <s v="CybertruckLaunch"/>
    <n v="0.29199735449735448"/>
  </r>
  <r>
    <s v="P067"/>
    <x v="3"/>
    <d v="2025-03-29T00:00:00"/>
    <x v="3"/>
    <s v="Check out our latest carousel on facebook!"/>
    <n v="4712"/>
    <n v="568"/>
    <n v="127"/>
    <n v="84816"/>
    <n v="84691"/>
    <n v="100"/>
    <s v="#EVRevolution"/>
    <s v="no data"/>
    <s v="no data"/>
    <s v="FSDUpdate"/>
    <n v="6.3749764195434822E-2"/>
  </r>
  <r>
    <s v="P068"/>
    <x v="2"/>
    <d v="2024-12-08T00:00:00"/>
    <x v="2"/>
    <s v="Check out our latest story on instagram!"/>
    <n v="2610"/>
    <n v="126"/>
    <n v="288"/>
    <n v="15660"/>
    <n v="15145"/>
    <n v="73"/>
    <s v="#EVRevolution"/>
    <s v="no data"/>
    <s v="no data"/>
    <s v="unknown"/>
    <n v="0.19310344827586207"/>
  </r>
  <r>
    <s v="P069"/>
    <x v="0"/>
    <d v="2025-03-08T00:00:00"/>
    <x v="1"/>
    <s v="Check out our latest text on twitter!"/>
    <n v="1292"/>
    <n v="626"/>
    <n v="496"/>
    <n v="25840"/>
    <n v="24916"/>
    <n v="149"/>
    <s v="#FutureOfDriving"/>
    <s v="no data"/>
    <s v="no data"/>
    <s v="FSDUpdate"/>
    <n v="9.3421052631578946E-2"/>
  </r>
  <r>
    <s v="P070"/>
    <x v="3"/>
    <d v="2025-04-02T00:00:00"/>
    <x v="5"/>
    <s v="Check out our latest video on facebook!"/>
    <n v="199"/>
    <n v="772"/>
    <n v="400"/>
    <n v="3582"/>
    <n v="2988"/>
    <n v="43"/>
    <s v="#TeslaCoInnovation"/>
    <s v="no data"/>
    <s v="no data"/>
    <s v="unknown"/>
    <n v="0.38274706867671693"/>
  </r>
  <r>
    <s v="P071"/>
    <x v="1"/>
    <d v="2024-09-02T00:00:00"/>
    <x v="3"/>
    <s v="Check out our latest carousel on youtube!"/>
    <n v="2551"/>
    <n v="915"/>
    <n v="205"/>
    <n v="30612"/>
    <n v="30360"/>
    <n v="227"/>
    <s v="#TeslaCoInnovation"/>
    <s v="no data"/>
    <s v="no data"/>
    <s v="ModelYCampaign"/>
    <n v="0.1199202926956749"/>
  </r>
  <r>
    <s v="P072"/>
    <x v="1"/>
    <d v="2025-03-03T00:00:00"/>
    <x v="0"/>
    <s v="Check out our latest reel on youtube!"/>
    <n v="296"/>
    <n v="60"/>
    <n v="141"/>
    <n v="5624"/>
    <n v="5239"/>
    <n v="88"/>
    <s v="#EVRevolution"/>
    <s v="no data"/>
    <s v="no data"/>
    <s v="ModelYCampaign"/>
    <n v="8.837126600284495E-2"/>
  </r>
  <r>
    <s v="P073"/>
    <x v="3"/>
    <d v="2024-10-18T00:00:00"/>
    <x v="2"/>
    <s v="Check out our latest story on facebook!"/>
    <n v="4126"/>
    <n v="426"/>
    <n v="486"/>
    <n v="78394"/>
    <n v="77798"/>
    <n v="88"/>
    <s v="#FutureOfDriving"/>
    <s v="no data"/>
    <s v="no data"/>
    <s v="SustainabilityDrive"/>
    <n v="6.4265122330790625E-2"/>
  </r>
  <r>
    <s v="P074"/>
    <x v="1"/>
    <d v="2024-10-28T00:00:00"/>
    <x v="0"/>
    <s v="Check out our latest reel on youtube!"/>
    <n v="1855"/>
    <n v="200"/>
    <n v="174"/>
    <n v="16695"/>
    <n v="16330"/>
    <n v="123"/>
    <s v="#TeslaCoInnovation"/>
    <s v="no data"/>
    <s v="no data"/>
    <s v="FSDUpdate"/>
    <n v="0.13351302785265048"/>
  </r>
  <r>
    <s v="P075"/>
    <x v="2"/>
    <d v="2024-08-01T00:00:00"/>
    <x v="0"/>
    <s v="Check out our latest reel on instagram!"/>
    <n v="1674"/>
    <n v="929"/>
    <n v="37"/>
    <n v="21762"/>
    <n v="20998"/>
    <n v="255"/>
    <s v="#TeslaCoInnovation"/>
    <s v="no data"/>
    <s v="no data"/>
    <s v="SustainabilityDrive"/>
    <n v="0.12131237937689551"/>
  </r>
  <r>
    <s v="P076"/>
    <x v="0"/>
    <d v="2024-11-07T00:00:00"/>
    <x v="2"/>
    <s v="Check out our latest story on twitter!"/>
    <n v="1121"/>
    <n v="135"/>
    <n v="18"/>
    <n v="15694"/>
    <n v="14957"/>
    <n v="99"/>
    <s v="#TeslaCoInnovation"/>
    <s v="no data"/>
    <s v="no data"/>
    <s v="SustainabilityDrive"/>
    <n v="8.1177520071364848E-2"/>
  </r>
  <r>
    <s v="P077"/>
    <x v="3"/>
    <d v="2025-03-04T00:00:00"/>
    <x v="2"/>
    <s v="Check out our latest story on facebook!"/>
    <n v="1249"/>
    <n v="116"/>
    <n v="420"/>
    <n v="8743"/>
    <n v="8538"/>
    <n v="63"/>
    <s v="#TeslaCoInnovation"/>
    <s v="no data"/>
    <s v="no data"/>
    <s v="unknown"/>
    <n v="0.20416333066453163"/>
  </r>
  <r>
    <s v="P078"/>
    <x v="0"/>
    <d v="2024-06-17T00:00:00"/>
    <x v="4"/>
    <s v="Check out our latest image on twitter!"/>
    <n v="954"/>
    <n v="324"/>
    <n v="288"/>
    <n v="19080"/>
    <n v="18859"/>
    <n v="21"/>
    <s v="#FutureOfDriving"/>
    <s v="no data"/>
    <s v="no data"/>
    <s v="SustainabilityDrive"/>
    <n v="8.2075471698113203E-2"/>
  </r>
  <r>
    <s v="P079"/>
    <x v="2"/>
    <d v="2024-10-09T00:00:00"/>
    <x v="3"/>
    <s v="Check out our latest carousel on instagram!"/>
    <n v="3068"/>
    <n v="137"/>
    <n v="329"/>
    <n v="39884"/>
    <n v="39404"/>
    <n v="266"/>
    <s v="#EVRevolution"/>
    <s v="no data"/>
    <s v="no data"/>
    <s v="ModelYCampaign"/>
    <n v="8.860696018453515E-2"/>
  </r>
  <r>
    <s v="P080"/>
    <x v="2"/>
    <d v="2024-06-13T00:00:00"/>
    <x v="2"/>
    <s v="Check out our latest story on instagram!"/>
    <n v="2103"/>
    <n v="892"/>
    <n v="103"/>
    <n v="39957"/>
    <n v="39466"/>
    <n v="28"/>
    <s v="#FutureOfDriving"/>
    <s v="no data"/>
    <s v="no data"/>
    <s v="unknown"/>
    <n v="7.7533348349475686E-2"/>
  </r>
  <r>
    <s v="P081"/>
    <x v="2"/>
    <d v="2024-10-19T00:00:00"/>
    <x v="2"/>
    <s v="Check out our latest story on instagram!"/>
    <n v="1816"/>
    <n v="29"/>
    <n v="41"/>
    <n v="19976"/>
    <n v="19262"/>
    <n v="283"/>
    <s v="#TeslaCoInnovation"/>
    <s v="no data"/>
    <s v="no data"/>
    <s v="FSDUpdate"/>
    <n v="9.4413295955146179E-2"/>
  </r>
  <r>
    <s v="P082"/>
    <x v="2"/>
    <d v="2024-07-24T00:00:00"/>
    <x v="4"/>
    <s v="Check out our latest image on instagram!"/>
    <n v="725"/>
    <n v="88"/>
    <n v="428"/>
    <n v="14500"/>
    <n v="13637"/>
    <n v="200"/>
    <s v="#FutureOfDriving"/>
    <s v="#TeslaCoInnovation"/>
    <s v="#AnytimeIsTeslaTime"/>
    <s v="FSDUpdate"/>
    <n v="8.558620689655172E-2"/>
  </r>
  <r>
    <s v="P083"/>
    <x v="1"/>
    <d v="2024-10-15T00:00:00"/>
    <x v="5"/>
    <s v="Check out our latest video on youtube!"/>
    <n v="1094"/>
    <n v="472"/>
    <n v="21"/>
    <n v="9846"/>
    <n v="9609"/>
    <n v="112"/>
    <s v="#EVRevolution"/>
    <s v="no data"/>
    <s v="no data"/>
    <s v="unknown"/>
    <n v="0.16118220597196831"/>
  </r>
  <r>
    <s v="P084"/>
    <x v="3"/>
    <d v="2024-12-09T00:00:00"/>
    <x v="4"/>
    <s v="Check out our latest image on facebook!"/>
    <n v="1841"/>
    <n v="851"/>
    <n v="342"/>
    <n v="34979"/>
    <n v="34154"/>
    <n v="255"/>
    <s v="#FutureOfDriving"/>
    <s v="no data"/>
    <s v="no data"/>
    <s v="SustainabilityDrive"/>
    <n v="8.6737756939878216E-2"/>
  </r>
  <r>
    <s v="P085"/>
    <x v="2"/>
    <d v="2025-04-19T00:00:00"/>
    <x v="4"/>
    <s v="Check out our latest image on instagram!"/>
    <n v="4177"/>
    <n v="569"/>
    <n v="55"/>
    <n v="25062"/>
    <n v="24847"/>
    <n v="230"/>
    <s v="#FutureOfDriving"/>
    <s v="no data"/>
    <s v="no data"/>
    <s v="CybertruckLaunch"/>
    <n v="0.19156491900087783"/>
  </r>
  <r>
    <s v="P086"/>
    <x v="1"/>
    <d v="2025-01-27T00:00:00"/>
    <x v="1"/>
    <s v="Check out our latest text on youtube!"/>
    <n v="3428"/>
    <n v="305"/>
    <n v="85"/>
    <n v="58276"/>
    <n v="58052"/>
    <n v="242"/>
    <s v="#EVRevolution"/>
    <s v="#BetterWithTesla"/>
    <s v="no data"/>
    <s v="SustainabilityDrive"/>
    <n v="6.5515821264328367E-2"/>
  </r>
  <r>
    <s v="P087"/>
    <x v="0"/>
    <d v="2024-06-06T00:00:00"/>
    <x v="5"/>
    <s v="Check out our latest video on twitter!"/>
    <n v="1436"/>
    <n v="765"/>
    <n v="496"/>
    <n v="12924"/>
    <n v="12701"/>
    <n v="197"/>
    <s v="#FutureOfDriving"/>
    <s v="no data"/>
    <s v="no data"/>
    <s v="FSDUpdate"/>
    <n v="0.20868152274837512"/>
  </r>
  <r>
    <s v="P088"/>
    <x v="3"/>
    <d v="2024-07-07T00:00:00"/>
    <x v="2"/>
    <s v="Check out our latest story on facebook!"/>
    <n v="302"/>
    <n v="47"/>
    <n v="430"/>
    <n v="5738"/>
    <n v="4890"/>
    <n v="25"/>
    <s v="#TeslaCoInnovation"/>
    <s v="no data"/>
    <s v="no data"/>
    <s v="SustainabilityDrive"/>
    <n v="0.13576158940397351"/>
  </r>
  <r>
    <s v="P089"/>
    <x v="0"/>
    <d v="2025-01-10T00:00:00"/>
    <x v="4"/>
    <s v="Check out our latest image on twitter!"/>
    <n v="2214"/>
    <n v="249"/>
    <n v="152"/>
    <n v="15498"/>
    <n v="14800"/>
    <n v="180"/>
    <s v="#EVRevolution"/>
    <s v="no data"/>
    <s v="no data"/>
    <s v="unknown"/>
    <n v="0.16873144921925409"/>
  </r>
  <r>
    <s v="P090"/>
    <x v="2"/>
    <d v="2024-06-03T00:00:00"/>
    <x v="4"/>
    <s v="Check out our latest image on instagram!"/>
    <n v="3861"/>
    <n v="960"/>
    <n v="101"/>
    <n v="69498"/>
    <n v="68817"/>
    <n v="297"/>
    <s v="#TeslaCoInnovation"/>
    <s v="no data"/>
    <s v="no data"/>
    <s v="SustainabilityDrive"/>
    <n v="7.0822181933293038E-2"/>
  </r>
  <r>
    <s v="P091"/>
    <x v="3"/>
    <d v="2025-03-24T00:00:00"/>
    <x v="4"/>
    <s v="Check out our latest image on facebook!"/>
    <n v="1263"/>
    <n v="397"/>
    <n v="357"/>
    <n v="25260"/>
    <n v="24615"/>
    <n v="137"/>
    <s v="#EVRevolution"/>
    <s v="no data"/>
    <s v="no data"/>
    <s v="SustainabilityDrive"/>
    <n v="7.984956452889945E-2"/>
  </r>
  <r>
    <s v="P092"/>
    <x v="0"/>
    <d v="2024-10-21T00:00:00"/>
    <x v="2"/>
    <s v="Check out our latest story on twitter!"/>
    <n v="3801"/>
    <n v="967"/>
    <n v="401"/>
    <n v="38010"/>
    <n v="37625"/>
    <n v="236"/>
    <s v="#FutureOfDriving"/>
    <s v="no data"/>
    <s v="no data"/>
    <s v="FSDUpdate"/>
    <n v="0.13599052880820836"/>
  </r>
  <r>
    <s v="P093"/>
    <x v="2"/>
    <d v="2024-12-11T00:00:00"/>
    <x v="5"/>
    <s v="Check out our latest video on instagram!"/>
    <n v="1431"/>
    <n v="951"/>
    <n v="26"/>
    <n v="8586"/>
    <n v="8396"/>
    <n v="150"/>
    <s v="#EVRevolution"/>
    <s v="no data"/>
    <s v="no data"/>
    <s v="FSDUpdate"/>
    <n v="0.28045655718611695"/>
  </r>
  <r>
    <s v="P094"/>
    <x v="2"/>
    <d v="2024-11-07T00:00:00"/>
    <x v="4"/>
    <s v="Check out our latest image on instagram!"/>
    <n v="2647"/>
    <n v="304"/>
    <n v="170"/>
    <n v="18529"/>
    <n v="17841"/>
    <n v="46"/>
    <s v="#FutureOfDriving"/>
    <s v="no data"/>
    <s v="no data"/>
    <s v="FSDUpdate"/>
    <n v="0.16843866371633656"/>
  </r>
  <r>
    <s v="P095"/>
    <x v="2"/>
    <d v="2024-11-08T00:00:00"/>
    <x v="1"/>
    <s v="Check out our latest text on instagram!"/>
    <n v="3182"/>
    <n v="559"/>
    <n v="160"/>
    <n v="57276"/>
    <n v="56890"/>
    <n v="163"/>
    <s v="#FutureOfDriving"/>
    <s v="no data"/>
    <s v="no data"/>
    <s v="SustainabilityDrive"/>
    <n v="6.8108806480899509E-2"/>
  </r>
  <r>
    <s v="P096"/>
    <x v="0"/>
    <d v="2024-09-10T00:00:00"/>
    <x v="4"/>
    <s v="Check out our latest image on twitter!"/>
    <n v="1238"/>
    <n v="366"/>
    <n v="444"/>
    <n v="19808"/>
    <n v="19334"/>
    <n v="123"/>
    <s v="#FutureOfDriving"/>
    <s v="no data"/>
    <s v="no data"/>
    <s v="unknown"/>
    <n v="0.10339256865912763"/>
  </r>
  <r>
    <s v="P097"/>
    <x v="2"/>
    <d v="2024-08-13T00:00:00"/>
    <x v="4"/>
    <s v="Check out our latest image on instagram!"/>
    <n v="4739"/>
    <n v="527"/>
    <n v="135"/>
    <n v="61607"/>
    <n v="61333"/>
    <n v="36"/>
    <s v="#TeslaCoInnovation"/>
    <s v="#AnytimeIsTeslaTime"/>
    <s v="no data"/>
    <s v="ModelYCampaign"/>
    <n v="8.7668609086629767E-2"/>
  </r>
  <r>
    <s v="P098"/>
    <x v="0"/>
    <d v="2024-06-10T00:00:00"/>
    <x v="2"/>
    <s v="Check out our latest story on twitter!"/>
    <n v="1575"/>
    <n v="771"/>
    <n v="486"/>
    <n v="25200"/>
    <n v="24826"/>
    <n v="17"/>
    <s v="#FutureOfDriving"/>
    <s v="no data"/>
    <s v="no data"/>
    <s v="SustainabilityDrive"/>
    <n v="0.11238095238095239"/>
  </r>
  <r>
    <s v="P099"/>
    <x v="1"/>
    <d v="2024-07-02T00:00:00"/>
    <x v="3"/>
    <s v="Check out our latest carousel on youtube!"/>
    <n v="4171"/>
    <n v="548"/>
    <n v="86"/>
    <n v="66736"/>
    <n v="66634"/>
    <n v="173"/>
    <s v="#FutureOfDriving"/>
    <s v="no data"/>
    <s v="no data"/>
    <s v="FSDUpdate"/>
    <n v="7.2000119875329657E-2"/>
  </r>
  <r>
    <s v="P100"/>
    <x v="1"/>
    <d v="2025-02-10T00:00:00"/>
    <x v="5"/>
    <s v="Check out our latest video on youtube!"/>
    <n v="1766"/>
    <n v="92"/>
    <n v="424"/>
    <n v="24724"/>
    <n v="24333"/>
    <n v="52"/>
    <s v="#EVRevolution"/>
    <s v="no data"/>
    <s v="no data"/>
    <s v="unknown"/>
    <n v="9.2298980747451867E-2"/>
  </r>
  <r>
    <s v="P101"/>
    <x v="1"/>
    <d v="2024-10-18T00:00:00"/>
    <x v="5"/>
    <s v="Check out our latest video on youtube!"/>
    <n v="4450"/>
    <n v="983"/>
    <n v="143"/>
    <n v="75650"/>
    <n v="75008"/>
    <n v="12"/>
    <s v="#FutureOfDriving"/>
    <s v="no data"/>
    <s v="no data"/>
    <s v="FSDUpdate"/>
    <n v="7.3707865168539333E-2"/>
  </r>
  <r>
    <s v="P102"/>
    <x v="0"/>
    <d v="2024-09-18T00:00:00"/>
    <x v="0"/>
    <s v="Check out our latest reel on twitter!"/>
    <n v="1000"/>
    <n v="978"/>
    <n v="162"/>
    <n v="6000"/>
    <n v="5221"/>
    <n v="223"/>
    <s v="#EVRevolution"/>
    <s v="no data"/>
    <s v="no data"/>
    <s v="ModelYCampaign"/>
    <n v="0.35666666666666669"/>
  </r>
  <r>
    <s v="P103"/>
    <x v="3"/>
    <d v="2024-06-11T00:00:00"/>
    <x v="4"/>
    <s v="Check out our latest image on facebook!"/>
    <n v="3689"/>
    <n v="48"/>
    <n v="306"/>
    <n v="40579"/>
    <n v="39588"/>
    <n v="212"/>
    <s v="#EVRevolution"/>
    <s v="no data"/>
    <s v="no data"/>
    <s v="ModelYCampaign"/>
    <n v="9.9632815002833983E-2"/>
  </r>
  <r>
    <s v="P104"/>
    <x v="1"/>
    <d v="2025-03-23T00:00:00"/>
    <x v="2"/>
    <s v="Check out our latest story on youtube!"/>
    <n v="3655"/>
    <n v="568"/>
    <n v="286"/>
    <n v="32895"/>
    <n v="32015"/>
    <n v="199"/>
    <s v="#TeslaCoInnovation"/>
    <s v="no data"/>
    <s v="no data"/>
    <s v="FSDUpdate"/>
    <n v="0.13707250341997265"/>
  </r>
  <r>
    <s v="P105"/>
    <x v="2"/>
    <d v="2024-06-14T00:00:00"/>
    <x v="3"/>
    <s v="Check out our latest carousel on instagram!"/>
    <n v="498"/>
    <n v="38"/>
    <n v="42"/>
    <n v="4482"/>
    <n v="3647"/>
    <n v="32"/>
    <s v="#FutureOfDriving"/>
    <s v="no data"/>
    <s v="no data"/>
    <s v="CybertruckLaunch"/>
    <n v="0.12896028558679162"/>
  </r>
  <r>
    <s v="P106"/>
    <x v="2"/>
    <d v="2025-02-04T00:00:00"/>
    <x v="4"/>
    <s v="Check out our latest image on instagram!"/>
    <n v="4619"/>
    <n v="821"/>
    <n v="499"/>
    <n v="69285"/>
    <n v="69141"/>
    <n v="298"/>
    <s v="#TeslaCoInnovation"/>
    <s v="no data"/>
    <s v="no data"/>
    <s v="SustainabilityDrive"/>
    <n v="8.5718409468138843E-2"/>
  </r>
  <r>
    <s v="P107"/>
    <x v="1"/>
    <d v="2024-06-21T00:00:00"/>
    <x v="4"/>
    <s v="Check out our latest image on youtube!"/>
    <n v="4832"/>
    <n v="893"/>
    <n v="10"/>
    <n v="91808"/>
    <n v="91296"/>
    <n v="182"/>
    <s v="#TeslaCoInnovation"/>
    <s v="no data"/>
    <s v="no data"/>
    <s v="unknown"/>
    <n v="6.2467323109097243E-2"/>
  </r>
  <r>
    <s v="P108"/>
    <x v="0"/>
    <d v="2025-03-25T00:00:00"/>
    <x v="5"/>
    <s v="Check out our latest video on twitter!"/>
    <n v="4050"/>
    <n v="871"/>
    <n v="347"/>
    <n v="52650"/>
    <n v="51755"/>
    <n v="209"/>
    <s v="#TeslaCoInnovation"/>
    <s v="no data"/>
    <s v="no data"/>
    <s v="ModelYCampaign"/>
    <n v="0.10005698005698006"/>
  </r>
  <r>
    <s v="P109"/>
    <x v="0"/>
    <d v="2024-08-08T00:00:00"/>
    <x v="2"/>
    <s v="Check out our latest story on twitter!"/>
    <n v="3649"/>
    <n v="215"/>
    <n v="413"/>
    <n v="25543"/>
    <n v="24963"/>
    <n v="167"/>
    <s v="#FutureOfDriving"/>
    <s v="no data"/>
    <s v="no data"/>
    <s v="FSDUpdate"/>
    <n v="0.16744313510550835"/>
  </r>
  <r>
    <s v="P110"/>
    <x v="2"/>
    <d v="2024-07-29T00:00:00"/>
    <x v="0"/>
    <s v="Check out our latest reel on instagram!"/>
    <n v="3523"/>
    <n v="753"/>
    <n v="482"/>
    <n v="38753"/>
    <n v="38579"/>
    <n v="270"/>
    <s v="#EVRevolution"/>
    <s v="no data"/>
    <s v="no data"/>
    <s v="ModelYCampaign"/>
    <n v="0.12277759141227776"/>
  </r>
  <r>
    <s v="P111"/>
    <x v="1"/>
    <d v="2024-11-23T00:00:00"/>
    <x v="4"/>
    <s v="Check out our latest image on youtube!"/>
    <n v="2719"/>
    <n v="17"/>
    <n v="285"/>
    <n v="40785"/>
    <n v="40281"/>
    <n v="40"/>
    <s v="#TeslaCoInnovation"/>
    <s v="no data"/>
    <s v="no data"/>
    <s v="ModelYCampaign"/>
    <n v="7.4071349760941527E-2"/>
  </r>
  <r>
    <s v="P112"/>
    <x v="0"/>
    <d v="2024-10-05T00:00:00"/>
    <x v="2"/>
    <s v="Check out our latest story on twitter!"/>
    <n v="1957"/>
    <n v="877"/>
    <n v="238"/>
    <n v="17613"/>
    <n v="16865"/>
    <n v="297"/>
    <s v="#FutureOfDriving"/>
    <s v="no data"/>
    <s v="no data"/>
    <s v="FSDUpdate"/>
    <n v="0.17441662408448305"/>
  </r>
  <r>
    <s v="P113"/>
    <x v="0"/>
    <d v="2024-10-02T00:00:00"/>
    <x v="3"/>
    <s v="Check out our latest carousel on twitter!"/>
    <n v="4419"/>
    <n v="236"/>
    <n v="369"/>
    <n v="44190"/>
    <n v="43582"/>
    <n v="10"/>
    <s v="#EVRevolution"/>
    <s v="no data"/>
    <s v="no data"/>
    <s v="CybertruckLaunch"/>
    <n v="0.11369088028965829"/>
  </r>
  <r>
    <s v="P114"/>
    <x v="0"/>
    <d v="2024-11-14T00:00:00"/>
    <x v="2"/>
    <s v="Check out our latest story on twitter!"/>
    <n v="4000"/>
    <n v="689"/>
    <n v="488"/>
    <n v="40000"/>
    <n v="39569"/>
    <n v="44"/>
    <s v="#FutureOfDriving"/>
    <s v="no data"/>
    <s v="no data"/>
    <s v="CybertruckLaunch"/>
    <n v="0.12942500000000001"/>
  </r>
  <r>
    <s v="P115"/>
    <x v="0"/>
    <d v="2025-05-11T00:00:00"/>
    <x v="4"/>
    <s v="Check out our latest image on twitter!"/>
    <n v="2493"/>
    <n v="97"/>
    <n v="44"/>
    <n v="42381"/>
    <n v="41991"/>
    <n v="242"/>
    <s v="#TeslaCoInnovation"/>
    <s v="#AnytimeIsTeslaTime"/>
    <s v="no data"/>
    <s v="SustainabilityDrive"/>
    <n v="6.2150491965739366E-2"/>
  </r>
  <r>
    <s v="P116"/>
    <x v="1"/>
    <d v="2025-03-18T00:00:00"/>
    <x v="0"/>
    <s v="Check out our latest reel on youtube!"/>
    <n v="3704"/>
    <n v="186"/>
    <n v="458"/>
    <n v="25928"/>
    <n v="25081"/>
    <n v="131"/>
    <s v="#TeslaCoInnovation"/>
    <s v="no data"/>
    <s v="no data"/>
    <s v="unknown"/>
    <n v="0.16769515581610614"/>
  </r>
  <r>
    <s v="P117"/>
    <x v="0"/>
    <d v="2024-11-04T00:00:00"/>
    <x v="4"/>
    <s v="Check out our latest image on twitter!"/>
    <n v="1606"/>
    <n v="451"/>
    <n v="405"/>
    <n v="20878"/>
    <n v="20190"/>
    <n v="219"/>
    <s v="#EVRevolution"/>
    <s v="no data"/>
    <s v="no data"/>
    <s v="SustainabilityDrive"/>
    <n v="0.11792317271769326"/>
  </r>
  <r>
    <s v="P118"/>
    <x v="3"/>
    <d v="2024-11-04T00:00:00"/>
    <x v="4"/>
    <s v="Check out our latest image on facebook!"/>
    <n v="4551"/>
    <n v="714"/>
    <n v="207"/>
    <n v="68265"/>
    <n v="67754"/>
    <n v="57"/>
    <s v="#FutureOfDriving"/>
    <s v="no data"/>
    <s v="no data"/>
    <s v="FSDUpdate"/>
    <n v="8.0158206987475278E-2"/>
  </r>
  <r>
    <s v="P119"/>
    <x v="2"/>
    <d v="2025-02-07T00:00:00"/>
    <x v="0"/>
    <s v="Check out our latest reel on instagram!"/>
    <n v="1970"/>
    <n v="675"/>
    <n v="478"/>
    <n v="9850"/>
    <n v="8924"/>
    <n v="117"/>
    <s v="#FutureOfDriving"/>
    <s v="no data"/>
    <s v="no data"/>
    <s v="unknown"/>
    <n v="0.31705583756345179"/>
  </r>
  <r>
    <s v="P120"/>
    <x v="3"/>
    <d v="2024-10-21T00:00:00"/>
    <x v="2"/>
    <s v="Check out our latest story on facebook!"/>
    <n v="780"/>
    <n v="928"/>
    <n v="301"/>
    <n v="8580"/>
    <n v="8081"/>
    <n v="91"/>
    <s v="#EVRevolution"/>
    <s v="no data"/>
    <s v="no data"/>
    <s v="FSDUpdate"/>
    <n v="0.23414918414918415"/>
  </r>
  <r>
    <s v="P121"/>
    <x v="2"/>
    <d v="2024-07-29T00:00:00"/>
    <x v="2"/>
    <s v="Check out our latest story on instagram!"/>
    <n v="498"/>
    <n v="701"/>
    <n v="412"/>
    <n v="4980"/>
    <n v="4185"/>
    <n v="185"/>
    <s v="#FutureOfDriving"/>
    <s v="no data"/>
    <s v="no data"/>
    <s v="unknown"/>
    <n v="0.32349397590361445"/>
  </r>
  <r>
    <s v="P122"/>
    <x v="2"/>
    <d v="2024-10-02T00:00:00"/>
    <x v="1"/>
    <s v="Check out our latest text on instagram!"/>
    <n v="3432"/>
    <n v="869"/>
    <n v="123"/>
    <n v="54912"/>
    <n v="53916"/>
    <n v="264"/>
    <s v="#EVRevolution"/>
    <s v="no data"/>
    <s v="no data"/>
    <s v="ModelYCampaign"/>
    <n v="8.0565268065268064E-2"/>
  </r>
  <r>
    <s v="P123"/>
    <x v="2"/>
    <d v="2024-06-14T00:00:00"/>
    <x v="2"/>
    <s v="Check out our latest story on instagram!"/>
    <n v="4363"/>
    <n v="649"/>
    <n v="140"/>
    <n v="21815"/>
    <n v="21481"/>
    <n v="157"/>
    <s v="#EVRevolution"/>
    <s v="no data"/>
    <s v="no data"/>
    <s v="CybertruckLaunch"/>
    <n v="0.23616777446710979"/>
  </r>
  <r>
    <s v="P124"/>
    <x v="1"/>
    <d v="2025-04-06T00:00:00"/>
    <x v="3"/>
    <s v="Check out our latest carousel on youtube!"/>
    <n v="736"/>
    <n v="771"/>
    <n v="225"/>
    <n v="5152"/>
    <n v="4706"/>
    <n v="19"/>
    <s v="#EVRevolution"/>
    <s v="no data"/>
    <s v="no data"/>
    <s v="CybertruckLaunch"/>
    <n v="0.33618012422360249"/>
  </r>
  <r>
    <s v="P125"/>
    <x v="0"/>
    <d v="2024-09-08T00:00:00"/>
    <x v="3"/>
    <s v="Check out our latest carousel on twitter!"/>
    <n v="3811"/>
    <n v="866"/>
    <n v="216"/>
    <n v="34299"/>
    <n v="34088"/>
    <n v="233"/>
    <s v="#TeslaCoInnovation"/>
    <s v="no data"/>
    <s v="no data"/>
    <s v="SustainabilityDrive"/>
    <n v="0.14265722032712325"/>
  </r>
  <r>
    <s v="P126"/>
    <x v="2"/>
    <d v="2025-03-28T00:00:00"/>
    <x v="3"/>
    <s v="Check out our latest carousel on instagram!"/>
    <n v="4158"/>
    <n v="167"/>
    <n v="241"/>
    <n v="45738"/>
    <n v="45183"/>
    <n v="142"/>
    <s v="#FutureOfDriving"/>
    <s v="no data"/>
    <s v="no data"/>
    <s v="unknown"/>
    <n v="9.9829463465827106E-2"/>
  </r>
  <r>
    <s v="P127"/>
    <x v="3"/>
    <d v="2025-01-27T00:00:00"/>
    <x v="0"/>
    <s v="Check out our latest reel on facebook!"/>
    <n v="3452"/>
    <n v="652"/>
    <n v="442"/>
    <n v="65588"/>
    <n v="65049"/>
    <n v="158"/>
    <s v="#FutureOfDriving"/>
    <s v="no data"/>
    <s v="no data"/>
    <s v="FSDUpdate"/>
    <n v="6.9311459413307311E-2"/>
  </r>
  <r>
    <s v="P128"/>
    <x v="0"/>
    <d v="2025-01-10T00:00:00"/>
    <x v="4"/>
    <s v="Check out our latest image on twitter!"/>
    <n v="3092"/>
    <n v="106"/>
    <n v="291"/>
    <n v="27828"/>
    <n v="27217"/>
    <n v="102"/>
    <s v="#FutureOfDriving"/>
    <s v="no data"/>
    <s v="no data"/>
    <s v="unknown"/>
    <n v="0.12537731780940059"/>
  </r>
  <r>
    <s v="P129"/>
    <x v="0"/>
    <d v="2024-07-21T00:00:00"/>
    <x v="1"/>
    <s v="Check out our latest text on twitter!"/>
    <n v="2147"/>
    <n v="430"/>
    <n v="393"/>
    <n v="17176"/>
    <n v="16483"/>
    <n v="170"/>
    <s v="#TeslaCoInnovation"/>
    <s v="no data"/>
    <s v="no data"/>
    <s v="unknown"/>
    <n v="0.17291569632044715"/>
  </r>
  <r>
    <s v="P130"/>
    <x v="1"/>
    <d v="2024-09-29T00:00:00"/>
    <x v="0"/>
    <s v="Check out our latest reel on youtube!"/>
    <n v="2936"/>
    <n v="439"/>
    <n v="44"/>
    <n v="38168"/>
    <n v="37571"/>
    <n v="22"/>
    <s v="#EVRevolution"/>
    <s v="no data"/>
    <s v="no data"/>
    <s v="SustainabilityDrive"/>
    <n v="8.9577656675749323E-2"/>
  </r>
  <r>
    <s v="P131"/>
    <x v="2"/>
    <d v="2024-10-21T00:00:00"/>
    <x v="0"/>
    <s v="Check out our latest reel on instagram!"/>
    <n v="4840"/>
    <n v="658"/>
    <n v="211"/>
    <n v="43560"/>
    <n v="43225"/>
    <n v="57"/>
    <s v="#FutureOfDriving"/>
    <s v="no data"/>
    <s v="no data"/>
    <s v="FSDUpdate"/>
    <n v="0.13106060606060607"/>
  </r>
  <r>
    <s v="P132"/>
    <x v="2"/>
    <d v="2025-03-04T00:00:00"/>
    <x v="2"/>
    <s v="Check out our latest story on instagram!"/>
    <n v="1947"/>
    <n v="842"/>
    <n v="101"/>
    <n v="21417"/>
    <n v="20967"/>
    <n v="186"/>
    <s v="#FutureOfDriving"/>
    <s v="no data"/>
    <s v="no data"/>
    <s v="ModelYCampaign"/>
    <n v="0.13493953401503478"/>
  </r>
  <r>
    <s v="P133"/>
    <x v="3"/>
    <d v="2025-02-06T00:00:00"/>
    <x v="4"/>
    <s v="Check out our latest image on facebook!"/>
    <n v="2072"/>
    <n v="532"/>
    <n v="71"/>
    <n v="37296"/>
    <n v="36467"/>
    <n v="25"/>
    <s v="#TeslaCoInnovation"/>
    <s v="no data"/>
    <s v="no data"/>
    <s v="SustainabilityDrive"/>
    <n v="7.172350922350923E-2"/>
  </r>
  <r>
    <s v="P134"/>
    <x v="0"/>
    <d v="2025-04-24T00:00:00"/>
    <x v="0"/>
    <s v="Check out our latest reel on twitter!"/>
    <n v="3731"/>
    <n v="115"/>
    <n v="135"/>
    <n v="55965"/>
    <n v="55436"/>
    <n v="103"/>
    <s v="#TeslaCoInnovation"/>
    <s v="no data"/>
    <s v="no data"/>
    <s v="CybertruckLaunch"/>
    <n v="7.1133744304476013E-2"/>
  </r>
  <r>
    <s v="P135"/>
    <x v="3"/>
    <d v="2024-11-28T00:00:00"/>
    <x v="1"/>
    <s v="Check out our latest text on facebook!"/>
    <n v="4213"/>
    <n v="253"/>
    <n v="434"/>
    <n v="75834"/>
    <n v="75437"/>
    <n v="272"/>
    <s v="#FutureOfDriving"/>
    <s v="no data"/>
    <s v="no data"/>
    <s v="SustainabilityDrive"/>
    <n v="6.461481657304112E-2"/>
  </r>
  <r>
    <s v="P136"/>
    <x v="2"/>
    <d v="2024-07-11T00:00:00"/>
    <x v="1"/>
    <s v="Check out our latest text on instagram!"/>
    <n v="3134"/>
    <n v="888"/>
    <n v="444"/>
    <n v="21938"/>
    <n v="21337"/>
    <n v="130"/>
    <s v="#EVRevolution"/>
    <s v="no data"/>
    <s v="no data"/>
    <s v="SustainabilityDrive"/>
    <n v="0.20357370772176134"/>
  </r>
  <r>
    <s v="P137"/>
    <x v="3"/>
    <d v="2024-07-31T00:00:00"/>
    <x v="5"/>
    <s v="Check out our latest video on facebook!"/>
    <n v="3008"/>
    <n v="94"/>
    <n v="37"/>
    <n v="15040"/>
    <n v="14639"/>
    <n v="277"/>
    <s v="#FutureOfDriving"/>
    <s v="no data"/>
    <s v="no data"/>
    <s v="unknown"/>
    <n v="0.20871010638297871"/>
  </r>
  <r>
    <s v="P138"/>
    <x v="0"/>
    <d v="2025-03-29T00:00:00"/>
    <x v="4"/>
    <s v="Check out our latest image on twitter!"/>
    <n v="305"/>
    <n v="187"/>
    <n v="243"/>
    <n v="4575"/>
    <n v="3704"/>
    <n v="234"/>
    <s v="#FutureOfDriving"/>
    <s v="no data"/>
    <s v="no data"/>
    <s v="FSDUpdate"/>
    <n v="0.16065573770491803"/>
  </r>
  <r>
    <s v="P139"/>
    <x v="1"/>
    <d v="2024-10-29T00:00:00"/>
    <x v="1"/>
    <s v="Check out our latest text on youtube!"/>
    <n v="2746"/>
    <n v="156"/>
    <n v="203"/>
    <n v="32952"/>
    <n v="32147"/>
    <n v="147"/>
    <s v="#EVRevolution"/>
    <s v="no data"/>
    <s v="no data"/>
    <s v="CybertruckLaunch"/>
    <n v="9.422796795338674E-2"/>
  </r>
  <r>
    <s v="P140"/>
    <x v="3"/>
    <d v="2024-07-15T00:00:00"/>
    <x v="4"/>
    <s v="Check out our latest image on facebook!"/>
    <n v="2291"/>
    <n v="78"/>
    <n v="485"/>
    <n v="18328"/>
    <n v="18101"/>
    <n v="10"/>
    <s v="#EVRevolution"/>
    <s v="#SmoothLikeNitroTesla"/>
    <s v="no data"/>
    <s v="ModelYCampaign"/>
    <n v="0.15571802706241816"/>
  </r>
  <r>
    <s v="P141"/>
    <x v="0"/>
    <d v="2024-08-31T00:00:00"/>
    <x v="4"/>
    <s v="Check out our latest image on twitter!"/>
    <n v="3170"/>
    <n v="857"/>
    <n v="379"/>
    <n v="19020"/>
    <n v="18559"/>
    <n v="240"/>
    <s v="#FutureOfDriving"/>
    <s v="no data"/>
    <s v="no data"/>
    <s v="unknown"/>
    <n v="0.2316508937960042"/>
  </r>
  <r>
    <s v="P142"/>
    <x v="1"/>
    <d v="2025-03-25T00:00:00"/>
    <x v="2"/>
    <s v="Check out our latest story on youtube!"/>
    <n v="2070"/>
    <n v="275"/>
    <n v="386"/>
    <n v="39330"/>
    <n v="38627"/>
    <n v="114"/>
    <s v="#FutureOfDriving"/>
    <s v="no data"/>
    <s v="no data"/>
    <s v="SustainabilityDrive"/>
    <n v="6.9438087973557078E-2"/>
  </r>
  <r>
    <s v="P143"/>
    <x v="1"/>
    <d v="2024-10-02T00:00:00"/>
    <x v="3"/>
    <s v="Check out our latest carousel on youtube!"/>
    <n v="80"/>
    <n v="362"/>
    <n v="80"/>
    <n v="1040"/>
    <n v="349"/>
    <n v="117"/>
    <s v="#TeslaCoInnovation"/>
    <s v="no data"/>
    <s v="no data"/>
    <s v="FSDUpdate"/>
    <n v="0.50192307692307692"/>
  </r>
  <r>
    <s v="P144"/>
    <x v="1"/>
    <d v="2024-10-28T00:00:00"/>
    <x v="2"/>
    <s v="Check out our latest story on youtube!"/>
    <n v="4929"/>
    <n v="749"/>
    <n v="452"/>
    <n v="93651"/>
    <n v="92810"/>
    <n v="66"/>
    <s v="#EVRevolution"/>
    <s v="no data"/>
    <s v="no data"/>
    <s v="SustainabilityDrive"/>
    <n v="6.5455787978772245E-2"/>
  </r>
  <r>
    <s v="P145"/>
    <x v="2"/>
    <d v="2024-08-12T00:00:00"/>
    <x v="3"/>
    <s v="Check out our latest carousel on instagram!"/>
    <n v="1878"/>
    <n v="62"/>
    <n v="179"/>
    <n v="37560"/>
    <n v="36874"/>
    <n v="142"/>
    <s v="#TeslaCoInnovation"/>
    <s v="no data"/>
    <s v="no data"/>
    <s v="SustainabilityDrive"/>
    <n v="5.6416400425985093E-2"/>
  </r>
  <r>
    <s v="P146"/>
    <x v="1"/>
    <d v="2024-06-05T00:00:00"/>
    <x v="0"/>
    <s v="Check out our latest reel on youtube!"/>
    <n v="3065"/>
    <n v="772"/>
    <n v="142"/>
    <n v="18390"/>
    <n v="17875"/>
    <n v="200"/>
    <s v="#EVRevolution"/>
    <s v="#AnytimeIsTeslaTime"/>
    <s v="no data"/>
    <s v="unknown"/>
    <n v="0.21636759108210984"/>
  </r>
  <r>
    <s v="P147"/>
    <x v="2"/>
    <d v="2024-10-21T00:00:00"/>
    <x v="0"/>
    <s v="Check out our latest reel on instagram!"/>
    <n v="3256"/>
    <n v="459"/>
    <n v="266"/>
    <n v="26048"/>
    <n v="25529"/>
    <n v="143"/>
    <s v="#TeslaCoInnovation"/>
    <s v="no data"/>
    <s v="no data"/>
    <s v="ModelYCampaign"/>
    <n v="0.15283323095823095"/>
  </r>
  <r>
    <s v="P148"/>
    <x v="2"/>
    <d v="2025-04-15T00:00:00"/>
    <x v="5"/>
    <s v="Check out our latest video on instagram!"/>
    <n v="4133"/>
    <n v="466"/>
    <n v="327"/>
    <n v="24798"/>
    <n v="24620"/>
    <n v="176"/>
    <s v="#EVRevolution"/>
    <s v="no data"/>
    <s v="no data"/>
    <s v="SustainabilityDrive"/>
    <n v="0.19864505202032423"/>
  </r>
  <r>
    <s v="P149"/>
    <x v="0"/>
    <d v="2024-06-16T00:00:00"/>
    <x v="5"/>
    <s v="Check out our latest video on twitter!"/>
    <n v="1702"/>
    <n v="750"/>
    <n v="179"/>
    <n v="34040"/>
    <n v="33174"/>
    <n v="76"/>
    <s v="#EVRevolution"/>
    <s v="no data"/>
    <s v="no data"/>
    <s v="CybertruckLaunch"/>
    <n v="7.7291421856639245E-2"/>
  </r>
  <r>
    <s v="P150"/>
    <x v="1"/>
    <d v="2024-08-22T00:00:00"/>
    <x v="3"/>
    <s v="Check out our latest carousel on youtube!"/>
    <n v="4295"/>
    <n v="853"/>
    <n v="325"/>
    <n v="85900"/>
    <n v="85788"/>
    <n v="290"/>
    <s v="#TeslaCoInnovation"/>
    <s v="no data"/>
    <s v="no data"/>
    <s v="SustainabilityDrive"/>
    <n v="6.3713620488940623E-2"/>
  </r>
  <r>
    <s v="P151"/>
    <x v="2"/>
    <d v="2024-07-26T00:00:00"/>
    <x v="4"/>
    <s v="Check out our latest image on instagram!"/>
    <n v="3559"/>
    <n v="59"/>
    <n v="289"/>
    <n v="35590"/>
    <n v="35105"/>
    <n v="122"/>
    <s v="#EVRevolution"/>
    <s v="no data"/>
    <s v="no data"/>
    <s v="CybertruckLaunch"/>
    <n v="0.10977802753582468"/>
  </r>
  <r>
    <s v="P152"/>
    <x v="3"/>
    <d v="2025-04-22T00:00:00"/>
    <x v="4"/>
    <s v="Check out our latest image on facebook!"/>
    <n v="4804"/>
    <n v="550"/>
    <n v="270"/>
    <n v="28824"/>
    <n v="28370"/>
    <n v="47"/>
    <s v="#EVRevolution"/>
    <s v="no data"/>
    <s v="no data"/>
    <s v="SustainabilityDrive"/>
    <n v="0.19511518179295032"/>
  </r>
  <r>
    <s v="P153"/>
    <x v="0"/>
    <d v="2025-01-01T00:00:00"/>
    <x v="5"/>
    <s v="Check out our latest video on twitter!"/>
    <n v="754"/>
    <n v="197"/>
    <n v="257"/>
    <n v="6786"/>
    <n v="6221"/>
    <n v="212"/>
    <s v="#TeslaCoInnovation"/>
    <s v="no data"/>
    <s v="no data"/>
    <s v="FSDUpdate"/>
    <n v="0.17801355732390214"/>
  </r>
  <r>
    <s v="P154"/>
    <x v="2"/>
    <d v="2024-10-09T00:00:00"/>
    <x v="3"/>
    <s v="Check out our latest carousel on instagram!"/>
    <n v="985"/>
    <n v="932"/>
    <n v="287"/>
    <n v="6895"/>
    <n v="6757"/>
    <n v="64"/>
    <s v="#FutureOfDriving"/>
    <s v="no data"/>
    <s v="no data"/>
    <s v="SustainabilityDrive"/>
    <n v="0.31965192168237855"/>
  </r>
  <r>
    <s v="P155"/>
    <x v="1"/>
    <d v="2024-12-21T00:00:00"/>
    <x v="4"/>
    <s v="Check out our latest image on youtube!"/>
    <n v="2283"/>
    <n v="210"/>
    <n v="130"/>
    <n v="22830"/>
    <n v="22617"/>
    <n v="143"/>
    <s v="#FutureOfDriving"/>
    <s v="no data"/>
    <s v="no data"/>
    <s v="ModelYCampaign"/>
    <n v="0.11489268506351293"/>
  </r>
  <r>
    <s v="P156"/>
    <x v="3"/>
    <d v="2024-10-22T00:00:00"/>
    <x v="3"/>
    <s v="Check out our latest carousel on facebook!"/>
    <n v="3352"/>
    <n v="941"/>
    <n v="482"/>
    <n v="43576"/>
    <n v="43338"/>
    <n v="240"/>
    <s v="#FutureOfDriving"/>
    <s v="no data"/>
    <s v="no data"/>
    <s v="ModelYCampaign"/>
    <n v="0.1095786671562328"/>
  </r>
  <r>
    <s v="P157"/>
    <x v="1"/>
    <d v="2024-07-23T00:00:00"/>
    <x v="2"/>
    <s v="Check out our latest story on youtube!"/>
    <n v="4775"/>
    <n v="173"/>
    <n v="206"/>
    <n v="47750"/>
    <n v="47544"/>
    <n v="187"/>
    <s v="#FutureOfDriving"/>
    <s v="no data"/>
    <s v="no data"/>
    <s v="ModelYCampaign"/>
    <n v="0.10793717277486911"/>
  </r>
  <r>
    <s v="P158"/>
    <x v="2"/>
    <d v="2024-08-11T00:00:00"/>
    <x v="2"/>
    <s v="Check out our latest story on instagram!"/>
    <n v="1762"/>
    <n v="405"/>
    <n v="423"/>
    <n v="22906"/>
    <n v="21925"/>
    <n v="25"/>
    <s v="#TeslaCoInnovation"/>
    <s v="no data"/>
    <s v="no data"/>
    <s v="CybertruckLaunch"/>
    <n v="0.11307081114118571"/>
  </r>
  <r>
    <s v="P159"/>
    <x v="3"/>
    <d v="2024-11-25T00:00:00"/>
    <x v="2"/>
    <s v="Check out our latest story on facebook!"/>
    <n v="2120"/>
    <n v="158"/>
    <n v="488"/>
    <n v="12720"/>
    <n v="12085"/>
    <n v="17"/>
    <s v="#FutureOfDriving"/>
    <s v="no data"/>
    <s v="no data"/>
    <s v="ModelYCampaign"/>
    <n v="0.21745283018867925"/>
  </r>
  <r>
    <s v="P160"/>
    <x v="0"/>
    <d v="2024-08-24T00:00:00"/>
    <x v="5"/>
    <s v="Check out our latest video on twitter!"/>
    <n v="1082"/>
    <n v="209"/>
    <n v="484"/>
    <n v="19476"/>
    <n v="18654"/>
    <n v="20"/>
    <s v="#TeslaCoInnovation"/>
    <s v="no data"/>
    <s v="no data"/>
    <s v="unknown"/>
    <n v="9.1137810638734856E-2"/>
  </r>
  <r>
    <s v="P161"/>
    <x v="0"/>
    <d v="2025-02-19T00:00:00"/>
    <x v="1"/>
    <s v="Check out our latest text on twitter!"/>
    <n v="4671"/>
    <n v="876"/>
    <n v="366"/>
    <n v="51381"/>
    <n v="50565"/>
    <n v="245"/>
    <s v="#TeslaCoInnovation"/>
    <s v="no data"/>
    <s v="no data"/>
    <s v="SustainabilityDrive"/>
    <n v="0.11508145034156594"/>
  </r>
  <r>
    <s v="P162"/>
    <x v="3"/>
    <d v="2025-04-01T00:00:00"/>
    <x v="2"/>
    <s v="Check out our latest story on facebook!"/>
    <n v="3430"/>
    <n v="566"/>
    <n v="164"/>
    <n v="48020"/>
    <n v="47305"/>
    <n v="120"/>
    <s v="#FutureOfDriving"/>
    <s v="no data"/>
    <s v="no data"/>
    <s v="unknown"/>
    <n v="8.6630570595585168E-2"/>
  </r>
  <r>
    <s v="P163"/>
    <x v="2"/>
    <d v="2025-04-08T00:00:00"/>
    <x v="4"/>
    <s v="Check out our latest image on instagram!"/>
    <n v="4501"/>
    <n v="375"/>
    <n v="323"/>
    <n v="22505"/>
    <n v="21836"/>
    <n v="132"/>
    <s v="#TeslaCoInnovation"/>
    <s v="no data"/>
    <s v="no data"/>
    <s v="ModelYCampaign"/>
    <n v="0.23101532992668297"/>
  </r>
  <r>
    <s v="P164"/>
    <x v="1"/>
    <d v="2025-02-27T00:00:00"/>
    <x v="1"/>
    <s v="Check out our latest text on youtube!"/>
    <n v="4934"/>
    <n v="971"/>
    <n v="156"/>
    <n v="39472"/>
    <n v="39025"/>
    <n v="169"/>
    <s v="#TeslaCoInnovation"/>
    <s v="#AnytimeIsTeslaTime"/>
    <s v="no data"/>
    <s v="SustainabilityDrive"/>
    <n v="0.15355188488042157"/>
  </r>
  <r>
    <s v="P165"/>
    <x v="0"/>
    <d v="2024-12-11T00:00:00"/>
    <x v="1"/>
    <s v="Check out our latest text on twitter!"/>
    <n v="3239"/>
    <n v="43"/>
    <n v="211"/>
    <n v="22673"/>
    <n v="22171"/>
    <n v="230"/>
    <s v="#TeslaCoInnovation"/>
    <s v="no data"/>
    <s v="no data"/>
    <s v="ModelYCampaign"/>
    <n v="0.15405989502933004"/>
  </r>
  <r>
    <s v="P166"/>
    <x v="0"/>
    <d v="2025-02-16T00:00:00"/>
    <x v="0"/>
    <s v="Check out our latest reel on twitter!"/>
    <n v="1076"/>
    <n v="313"/>
    <n v="306"/>
    <n v="11836"/>
    <n v="11596"/>
    <n v="104"/>
    <s v="#FutureOfDriving"/>
    <s v="no data"/>
    <s v="no data"/>
    <s v="CybertruckLaunch"/>
    <n v="0.14320716458262928"/>
  </r>
  <r>
    <s v="P167"/>
    <x v="2"/>
    <d v="2024-11-28T00:00:00"/>
    <x v="1"/>
    <s v="Check out our latest text on instagram!"/>
    <n v="4771"/>
    <n v="818"/>
    <n v="56"/>
    <n v="57252"/>
    <n v="56378"/>
    <n v="150"/>
    <s v="#FutureOfDriving"/>
    <s v="no data"/>
    <s v="no data"/>
    <s v="unknown"/>
    <n v="9.859917557465242E-2"/>
  </r>
  <r>
    <s v="P168"/>
    <x v="3"/>
    <d v="2024-11-12T00:00:00"/>
    <x v="1"/>
    <s v="Check out our latest text on facebook!"/>
    <n v="2418"/>
    <n v="754"/>
    <n v="54"/>
    <n v="43524"/>
    <n v="42743"/>
    <n v="182"/>
    <s v="#EVRevolution"/>
    <s v="no data"/>
    <s v="no data"/>
    <s v="CybertruckLaunch"/>
    <n v="7.412002573292896E-2"/>
  </r>
  <r>
    <s v="P169"/>
    <x v="1"/>
    <d v="2024-12-03T00:00:00"/>
    <x v="5"/>
    <s v="Check out our latest video on youtube!"/>
    <n v="3809"/>
    <n v="273"/>
    <n v="200"/>
    <n v="34281"/>
    <n v="33534"/>
    <n v="83"/>
    <s v="#EVRevolution"/>
    <s v="no data"/>
    <s v="no data"/>
    <s v="CybertruckLaunch"/>
    <n v="0.12490884163239112"/>
  </r>
  <r>
    <s v="P170"/>
    <x v="0"/>
    <d v="2025-04-28T00:00:00"/>
    <x v="1"/>
    <s v="Check out our latest text on twitter!"/>
    <n v="3577"/>
    <n v="596"/>
    <n v="493"/>
    <n v="67963"/>
    <n v="67839"/>
    <n v="53"/>
    <s v="#TeslaCoInnovation"/>
    <s v="no data"/>
    <s v="no data"/>
    <s v="FSDUpdate"/>
    <n v="6.8655003457763777E-2"/>
  </r>
  <r>
    <s v="P171"/>
    <x v="1"/>
    <d v="2024-12-31T00:00:00"/>
    <x v="5"/>
    <s v="Check out our latest video on youtube!"/>
    <n v="1018"/>
    <n v="447"/>
    <n v="332"/>
    <n v="18324"/>
    <n v="18164"/>
    <n v="38"/>
    <s v="#FutureOfDriving"/>
    <s v="no data"/>
    <s v="no data"/>
    <s v="ModelYCampaign"/>
    <n v="9.8068107400130972E-2"/>
  </r>
  <r>
    <s v="P172"/>
    <x v="3"/>
    <d v="2024-08-14T00:00:00"/>
    <x v="3"/>
    <s v="Check out our latest carousel on facebook!"/>
    <n v="3073"/>
    <n v="553"/>
    <n v="174"/>
    <n v="52241"/>
    <n v="51605"/>
    <n v="246"/>
    <s v="#EVRevolution"/>
    <s v="no data"/>
    <s v="no data"/>
    <s v="FSDUpdate"/>
    <n v="7.2739802071170159E-2"/>
  </r>
  <r>
    <s v="P173"/>
    <x v="0"/>
    <d v="2024-12-05T00:00:00"/>
    <x v="5"/>
    <s v="Check out our latest video on twitter!"/>
    <n v="1330"/>
    <n v="925"/>
    <n v="35"/>
    <n v="15960"/>
    <n v="15379"/>
    <n v="229"/>
    <s v="#FutureOfDriving"/>
    <s v="no data"/>
    <s v="no data"/>
    <s v="FSDUpdate"/>
    <n v="0.14348370927318296"/>
  </r>
  <r>
    <s v="P174"/>
    <x v="3"/>
    <d v="2024-06-22T00:00:00"/>
    <x v="1"/>
    <s v="Check out our latest text on facebook!"/>
    <n v="3828"/>
    <n v="148"/>
    <n v="253"/>
    <n v="30624"/>
    <n v="30229"/>
    <n v="235"/>
    <s v="#EVRevolution"/>
    <s v="no data"/>
    <s v="no data"/>
    <s v="unknown"/>
    <n v="0.13809430512016718"/>
  </r>
  <r>
    <s v="P175"/>
    <x v="2"/>
    <d v="2025-01-17T00:00:00"/>
    <x v="0"/>
    <s v="Check out our latest reel on instagram!"/>
    <n v="142"/>
    <n v="784"/>
    <n v="183"/>
    <n v="1704"/>
    <n v="995"/>
    <n v="154"/>
    <s v="#FutureOfDriving"/>
    <s v="no data"/>
    <s v="no data"/>
    <s v="SustainabilityDrive"/>
    <n v="0.6508215962441315"/>
  </r>
  <r>
    <s v="P176"/>
    <x v="3"/>
    <d v="2024-06-20T00:00:00"/>
    <x v="5"/>
    <s v="Check out our latest video on facebook!"/>
    <n v="3798"/>
    <n v="31"/>
    <n v="279"/>
    <n v="75960"/>
    <n v="75813"/>
    <n v="266"/>
    <s v="#TeslaCoInnovation"/>
    <s v="no data"/>
    <s v="no data"/>
    <s v="CybertruckLaunch"/>
    <n v="5.4081095313322801E-2"/>
  </r>
  <r>
    <s v="P177"/>
    <x v="2"/>
    <d v="2024-07-10T00:00:00"/>
    <x v="3"/>
    <s v="Check out our latest carousel on instagram!"/>
    <n v="3099"/>
    <n v="694"/>
    <n v="171"/>
    <n v="43386"/>
    <n v="42921"/>
    <n v="52"/>
    <s v="#TeslaCoInnovation"/>
    <s v="no data"/>
    <s v="no data"/>
    <s v="FSDUpdate"/>
    <n v="9.1365878393951966E-2"/>
  </r>
  <r>
    <s v="P178"/>
    <x v="2"/>
    <d v="2024-11-07T00:00:00"/>
    <x v="5"/>
    <s v="Check out our latest video on instagram!"/>
    <n v="129"/>
    <n v="643"/>
    <n v="136"/>
    <n v="1290"/>
    <n v="839"/>
    <n v="238"/>
    <s v="#TeslaCoInnovation"/>
    <s v="no data"/>
    <s v="no data"/>
    <s v="SustainabilityDrive"/>
    <n v="0.70387596899224802"/>
  </r>
  <r>
    <s v="P179"/>
    <x v="3"/>
    <d v="2024-07-15T00:00:00"/>
    <x v="3"/>
    <s v="Check out our latest carousel on facebook!"/>
    <n v="3796"/>
    <n v="667"/>
    <n v="395"/>
    <n v="64532"/>
    <n v="63550"/>
    <n v="292"/>
    <s v="#TeslaCoInnovation"/>
    <s v="no data"/>
    <s v="no data"/>
    <s v="unknown"/>
    <n v="7.5280481001673588E-2"/>
  </r>
  <r>
    <s v="P180"/>
    <x v="1"/>
    <d v="2024-12-03T00:00:00"/>
    <x v="1"/>
    <s v="Check out our latest text on youtube!"/>
    <n v="3711"/>
    <n v="352"/>
    <n v="290"/>
    <n v="48243"/>
    <n v="47579"/>
    <n v="11"/>
    <s v="#TeslaCoInnovation"/>
    <s v="no data"/>
    <s v="no data"/>
    <s v="CybertruckLaunch"/>
    <n v="9.023070704558174E-2"/>
  </r>
  <r>
    <s v="P181"/>
    <x v="1"/>
    <d v="2025-03-21T00:00:00"/>
    <x v="4"/>
    <s v="Check out our latest image on youtube!"/>
    <n v="606"/>
    <n v="789"/>
    <n v="470"/>
    <n v="7878"/>
    <n v="7389"/>
    <n v="239"/>
    <s v="#EVRevolution"/>
    <s v="no data"/>
    <s v="no data"/>
    <s v="FSDUpdate"/>
    <n v="0.23673521198273673"/>
  </r>
  <r>
    <s v="P182"/>
    <x v="3"/>
    <d v="2024-07-31T00:00:00"/>
    <x v="4"/>
    <s v="Check out our latest image on facebook!"/>
    <n v="4689"/>
    <n v="134"/>
    <n v="403"/>
    <n v="51579"/>
    <n v="50924"/>
    <n v="173"/>
    <s v="#TeslaCoInnovation"/>
    <s v="no data"/>
    <s v="no data"/>
    <s v="SustainabilityDrive"/>
    <n v="0.10132030477519921"/>
  </r>
  <r>
    <s v="P183"/>
    <x v="2"/>
    <d v="2024-12-17T00:00:00"/>
    <x v="2"/>
    <s v="Check out our latest story on instagram!"/>
    <n v="360"/>
    <n v="590"/>
    <n v="393"/>
    <n v="4680"/>
    <n v="4322"/>
    <n v="208"/>
    <s v="#FutureOfDriving"/>
    <s v="no data"/>
    <s v="no data"/>
    <s v="ModelYCampaign"/>
    <n v="0.28696581196581195"/>
  </r>
  <r>
    <s v="P184"/>
    <x v="0"/>
    <d v="2024-07-28T00:00:00"/>
    <x v="4"/>
    <s v="Check out our latest image on twitter!"/>
    <n v="3215"/>
    <n v="960"/>
    <n v="202"/>
    <n v="32150"/>
    <n v="31404"/>
    <n v="251"/>
    <s v="#EVRevolution"/>
    <s v="no data"/>
    <s v="no data"/>
    <s v="CybertruckLaunch"/>
    <n v="0.13614307931570763"/>
  </r>
  <r>
    <s v="P185"/>
    <x v="2"/>
    <d v="2025-01-11T00:00:00"/>
    <x v="3"/>
    <s v="Check out our latest carousel on instagram!"/>
    <n v="4523"/>
    <n v="61"/>
    <n v="157"/>
    <n v="49753"/>
    <n v="49329"/>
    <n v="71"/>
    <s v="#EVRevolution"/>
    <s v="no data"/>
    <s v="no data"/>
    <s v="unknown"/>
    <n v="9.5290736237010829E-2"/>
  </r>
  <r>
    <s v="P186"/>
    <x v="3"/>
    <d v="2024-08-24T00:00:00"/>
    <x v="3"/>
    <s v="Check out our latest carousel on facebook!"/>
    <n v="4292"/>
    <n v="51"/>
    <n v="392"/>
    <n v="55796"/>
    <n v="54826"/>
    <n v="264"/>
    <s v="#EVRevolution"/>
    <s v="no data"/>
    <s v="no data"/>
    <s v="FSDUpdate"/>
    <n v="8.4862714173059003E-2"/>
  </r>
  <r>
    <s v="P187"/>
    <x v="0"/>
    <d v="2024-12-22T00:00:00"/>
    <x v="0"/>
    <s v="Check out our latest reel on twitter!"/>
    <n v="1644"/>
    <n v="546"/>
    <n v="150"/>
    <n v="27948"/>
    <n v="27184"/>
    <n v="300"/>
    <s v="#EVRevolution"/>
    <s v="no data"/>
    <s v="no data"/>
    <s v="FSDUpdate"/>
    <n v="8.3726921425504502E-2"/>
  </r>
  <r>
    <s v="P188"/>
    <x v="1"/>
    <d v="2024-06-06T00:00:00"/>
    <x v="0"/>
    <s v="Check out our latest reel on youtube!"/>
    <n v="2728"/>
    <n v="533"/>
    <n v="215"/>
    <n v="40920"/>
    <n v="40816"/>
    <n v="137"/>
    <s v="#FutureOfDriving"/>
    <s v="no data"/>
    <s v="no data"/>
    <s v="ModelYCampaign"/>
    <n v="8.4946236559139784E-2"/>
  </r>
  <r>
    <s v="P189"/>
    <x v="3"/>
    <d v="2025-03-24T00:00:00"/>
    <x v="0"/>
    <s v="Check out our latest reel on facebook!"/>
    <n v="3360"/>
    <n v="525"/>
    <n v="500"/>
    <n v="60480"/>
    <n v="59610"/>
    <n v="192"/>
    <s v="#TeslaCoInnovation"/>
    <s v="no data"/>
    <s v="no data"/>
    <s v="CybertruckLaunch"/>
    <n v="7.2503306878306875E-2"/>
  </r>
  <r>
    <s v="P190"/>
    <x v="1"/>
    <d v="2024-10-04T00:00:00"/>
    <x v="1"/>
    <s v="Check out our latest text on youtube!"/>
    <n v="1963"/>
    <n v="213"/>
    <n v="19"/>
    <n v="39260"/>
    <n v="38771"/>
    <n v="145"/>
    <s v="#FutureOfDriving"/>
    <s v="no data"/>
    <s v="no data"/>
    <s v="unknown"/>
    <n v="5.5909322465613857E-2"/>
  </r>
  <r>
    <s v="P191"/>
    <x v="1"/>
    <d v="2024-12-03T00:00:00"/>
    <x v="2"/>
    <s v="Check out our latest story on youtube!"/>
    <n v="4285"/>
    <n v="886"/>
    <n v="376"/>
    <n v="55705"/>
    <n v="55556"/>
    <n v="51"/>
    <s v="#FutureOfDriving"/>
    <s v="no data"/>
    <s v="no data"/>
    <s v="FSDUpdate"/>
    <n v="9.9578134817341346E-2"/>
  </r>
  <r>
    <s v="P192"/>
    <x v="2"/>
    <d v="2024-11-29T00:00:00"/>
    <x v="5"/>
    <s v="Check out our latest video on instagram!"/>
    <n v="1176"/>
    <n v="464"/>
    <n v="394"/>
    <n v="14112"/>
    <n v="13588"/>
    <n v="272"/>
    <s v="#EVRevolution"/>
    <s v="no data"/>
    <s v="no data"/>
    <s v="unknown"/>
    <n v="0.1441326530612245"/>
  </r>
  <r>
    <s v="P193"/>
    <x v="0"/>
    <d v="2024-09-11T00:00:00"/>
    <x v="4"/>
    <s v="Check out our latest image on twitter!"/>
    <n v="4858"/>
    <n v="317"/>
    <n v="129"/>
    <n v="53438"/>
    <n v="52687"/>
    <n v="223"/>
    <s v="#EVRevolution"/>
    <s v="no data"/>
    <s v="no data"/>
    <s v="FSDUpdate"/>
    <n v="9.9255211647142488E-2"/>
  </r>
  <r>
    <s v="P194"/>
    <x v="1"/>
    <d v="2024-10-02T00:00:00"/>
    <x v="2"/>
    <s v="Check out our latest story on youtube!"/>
    <n v="4350"/>
    <n v="771"/>
    <n v="7"/>
    <n v="60900"/>
    <n v="60592"/>
    <n v="195"/>
    <s v="#EVRevolution"/>
    <s v="no data"/>
    <s v="no data"/>
    <s v="CybertruckLaunch"/>
    <n v="8.4203612479474554E-2"/>
  </r>
  <r>
    <s v="P195"/>
    <x v="2"/>
    <d v="2024-08-15T00:00:00"/>
    <x v="3"/>
    <s v="Check out our latest carousel on instagram!"/>
    <n v="914"/>
    <n v="464"/>
    <n v="246"/>
    <n v="11882"/>
    <n v="11500"/>
    <n v="282"/>
    <s v="#FutureOfDriving"/>
    <s v="#TeslaCoInnovation"/>
    <s v="#AnytimeIsTeslaTime"/>
    <s v="SustainabilityDrive"/>
    <n v="0.13667732704931829"/>
  </r>
  <r>
    <s v="P196"/>
    <x v="2"/>
    <d v="2024-12-19T00:00:00"/>
    <x v="1"/>
    <s v="Check out our latest text on instagram!"/>
    <n v="1813"/>
    <n v="623"/>
    <n v="72"/>
    <n v="19943"/>
    <n v="18959"/>
    <n v="85"/>
    <s v="#EVRevolution"/>
    <s v="no data"/>
    <s v="no data"/>
    <s v="FSDUpdate"/>
    <n v="0.12575841147269717"/>
  </r>
  <r>
    <s v="P197"/>
    <x v="0"/>
    <d v="2024-10-22T00:00:00"/>
    <x v="0"/>
    <s v="Check out our latest reel on twitter!"/>
    <n v="4782"/>
    <n v="721"/>
    <n v="82"/>
    <n v="86076"/>
    <n v="85339"/>
    <n v="19"/>
    <s v="#EVRevolution"/>
    <s v="no data"/>
    <s v="no data"/>
    <s v="CybertruckLaunch"/>
    <n v="6.4884520656164318E-2"/>
  </r>
  <r>
    <s v="P198"/>
    <x v="0"/>
    <d v="2024-09-14T00:00:00"/>
    <x v="4"/>
    <s v="Check out our latest image on twitter!"/>
    <n v="1048"/>
    <n v="374"/>
    <n v="450"/>
    <n v="9432"/>
    <n v="8882"/>
    <n v="158"/>
    <s v="#TeslaCoInnovation"/>
    <s v="no data"/>
    <s v="no data"/>
    <s v="FSDUpdate"/>
    <n v="0.19847328244274809"/>
  </r>
  <r>
    <s v="P199"/>
    <x v="1"/>
    <d v="2024-11-30T00:00:00"/>
    <x v="3"/>
    <s v="Check out our latest carousel on youtube!"/>
    <n v="2509"/>
    <n v="324"/>
    <n v="171"/>
    <n v="35126"/>
    <n v="34685"/>
    <n v="277"/>
    <s v="#TeslaCoInnovation"/>
    <s v="no data"/>
    <s v="no data"/>
    <s v="ModelYCampaign"/>
    <n v="8.5520696919660646E-2"/>
  </r>
  <r>
    <s v="P200"/>
    <x v="3"/>
    <d v="2025-04-07T00:00:00"/>
    <x v="0"/>
    <s v="Check out our latest reel on facebook!"/>
    <n v="3718"/>
    <n v="385"/>
    <n v="310"/>
    <n v="70642"/>
    <n v="69749"/>
    <n v="233"/>
    <s v="#TeslaCoInnovation"/>
    <s v="no data"/>
    <s v="no data"/>
    <s v="ModelYCampaign"/>
    <n v="6.246991874522239E-2"/>
  </r>
  <r>
    <s v="P201"/>
    <x v="0"/>
    <d v="2025-01-15T00:00:00"/>
    <x v="0"/>
    <s v="Check out our latest reel on twitter!"/>
    <n v="802"/>
    <n v="262"/>
    <n v="244"/>
    <n v="14436"/>
    <n v="14280"/>
    <n v="49"/>
    <s v="#EVRevolution"/>
    <s v="no data"/>
    <s v="no data"/>
    <s v="CybertruckLaunch"/>
    <n v="9.0606816292601824E-2"/>
  </r>
  <r>
    <s v="P202"/>
    <x v="3"/>
    <d v="2024-06-02T00:00:00"/>
    <x v="4"/>
    <s v="Check out our latest image on facebook!"/>
    <n v="1871"/>
    <n v="252"/>
    <n v="335"/>
    <n v="29936"/>
    <n v="29576"/>
    <n v="288"/>
    <s v="#EVRevolution"/>
    <s v="no data"/>
    <s v="no data"/>
    <s v="FSDUpdate"/>
    <n v="8.2108498129342594E-2"/>
  </r>
  <r>
    <s v="P203"/>
    <x v="2"/>
    <d v="2024-11-21T00:00:00"/>
    <x v="3"/>
    <s v="Check out our latest carousel on instagram!"/>
    <n v="3773"/>
    <n v="299"/>
    <n v="38"/>
    <n v="71687"/>
    <n v="71447"/>
    <n v="286"/>
    <s v="#FutureOfDriving"/>
    <s v="no data"/>
    <s v="no data"/>
    <s v="CybertruckLaunch"/>
    <n v="5.7332570758993957E-2"/>
  </r>
  <r>
    <s v="P204"/>
    <x v="2"/>
    <d v="2025-01-01T00:00:00"/>
    <x v="3"/>
    <s v="Check out our latest carousel on instagram!"/>
    <n v="2234"/>
    <n v="653"/>
    <n v="432"/>
    <n v="11170"/>
    <n v="10569"/>
    <n v="198"/>
    <s v="#FutureOfDriving"/>
    <s v="no data"/>
    <s v="no data"/>
    <s v="FSDUpdate"/>
    <n v="0.29713518352730528"/>
  </r>
  <r>
    <s v="P205"/>
    <x v="0"/>
    <d v="2025-04-24T00:00:00"/>
    <x v="5"/>
    <s v="Check out our latest video on twitter!"/>
    <n v="3820"/>
    <n v="697"/>
    <n v="268"/>
    <n v="45840"/>
    <n v="45631"/>
    <n v="171"/>
    <s v="#TeslaCoInnovation"/>
    <s v="#SmoothLikeNitroTesla"/>
    <s v="no data"/>
    <s v="SustainabilityDrive"/>
    <n v="0.1043848167539267"/>
  </r>
  <r>
    <s v="P206"/>
    <x v="0"/>
    <d v="2024-06-24T00:00:00"/>
    <x v="1"/>
    <s v="Check out our latest text on twitter!"/>
    <n v="941"/>
    <n v="121"/>
    <n v="458"/>
    <n v="14115"/>
    <n v="13838"/>
    <n v="87"/>
    <s v="#EVRevolution"/>
    <s v="no data"/>
    <s v="no data"/>
    <s v="CybertruckLaunch"/>
    <n v="0.10768685795253277"/>
  </r>
  <r>
    <s v="P207"/>
    <x v="0"/>
    <d v="2024-12-29T00:00:00"/>
    <x v="3"/>
    <s v="Check out our latest carousel on twitter!"/>
    <n v="4274"/>
    <n v="340"/>
    <n v="281"/>
    <n v="34192"/>
    <n v="33446"/>
    <n v="129"/>
    <s v="#TeslaCoInnovation"/>
    <s v="#SmoothLikeNitroTesla"/>
    <s v="no data"/>
    <s v="FSDUpdate"/>
    <n v="0.14316214319138981"/>
  </r>
  <r>
    <s v="P208"/>
    <x v="1"/>
    <d v="2024-06-24T00:00:00"/>
    <x v="5"/>
    <s v="Check out our latest video on youtube!"/>
    <n v="2949"/>
    <n v="476"/>
    <n v="403"/>
    <n v="44235"/>
    <n v="43705"/>
    <n v="135"/>
    <s v="#TeslaCoInnovation"/>
    <s v="no data"/>
    <s v="no data"/>
    <s v="ModelYCampaign"/>
    <n v="8.6537809426924378E-2"/>
  </r>
  <r>
    <s v="P209"/>
    <x v="0"/>
    <d v="2025-03-19T00:00:00"/>
    <x v="5"/>
    <s v="Check out our latest video on twitter!"/>
    <n v="3160"/>
    <n v="204"/>
    <n v="297"/>
    <n v="44240"/>
    <n v="43666"/>
    <n v="49"/>
    <s v="#FutureOfDriving"/>
    <s v="#AnytimeIsTeslaTime"/>
    <s v="no data"/>
    <s v="SustainabilityDrive"/>
    <n v="8.2753164556962022E-2"/>
  </r>
  <r>
    <s v="P210"/>
    <x v="1"/>
    <d v="2025-02-19T00:00:00"/>
    <x v="4"/>
    <s v="Check out our latest image on youtube!"/>
    <n v="257"/>
    <n v="966"/>
    <n v="398"/>
    <n v="3341"/>
    <n v="2753"/>
    <n v="287"/>
    <s v="#FutureOfDriving"/>
    <s v="no data"/>
    <s v="no data"/>
    <s v="CybertruckLaunch"/>
    <n v="0.48518407662376534"/>
  </r>
  <r>
    <s v="P211"/>
    <x v="0"/>
    <d v="2024-07-18T00:00:00"/>
    <x v="3"/>
    <s v="Check out our latest carousel on twitter!"/>
    <n v="2120"/>
    <n v="38"/>
    <n v="212"/>
    <n v="12720"/>
    <n v="12564"/>
    <n v="21"/>
    <s v="#FutureOfDriving"/>
    <s v="no data"/>
    <s v="no data"/>
    <s v="SustainabilityDrive"/>
    <n v="0.18632075471698112"/>
  </r>
  <r>
    <s v="P212"/>
    <x v="1"/>
    <d v="2025-03-03T00:00:00"/>
    <x v="5"/>
    <s v="Check out our latest video on youtube!"/>
    <n v="3874"/>
    <n v="884"/>
    <n v="19"/>
    <n v="38740"/>
    <n v="38552"/>
    <n v="219"/>
    <s v="#TeslaCoInnovation"/>
    <s v="no data"/>
    <s v="no data"/>
    <s v="ModelYCampaign"/>
    <n v="0.123309241094476"/>
  </r>
  <r>
    <s v="P213"/>
    <x v="3"/>
    <d v="2025-05-01T00:00:00"/>
    <x v="3"/>
    <s v="Check out our latest carousel on facebook!"/>
    <n v="2696"/>
    <n v="628"/>
    <n v="443"/>
    <n v="45832"/>
    <n v="45632"/>
    <n v="248"/>
    <s v="#EVRevolution"/>
    <s v="no data"/>
    <s v="no data"/>
    <s v="SustainabilityDrive"/>
    <n v="8.21914819340199E-2"/>
  </r>
  <r>
    <s v="P214"/>
    <x v="2"/>
    <d v="2024-12-23T00:00:00"/>
    <x v="4"/>
    <s v="Check out our latest image on instagram!"/>
    <n v="521"/>
    <n v="746"/>
    <n v="315"/>
    <n v="4168"/>
    <n v="3399"/>
    <n v="282"/>
    <s v="#FutureOfDriving"/>
    <s v="no data"/>
    <s v="no data"/>
    <s v="ModelYCampaign"/>
    <n v="0.37955854126679461"/>
  </r>
  <r>
    <s v="P215"/>
    <x v="3"/>
    <d v="2025-05-06T00:00:00"/>
    <x v="4"/>
    <s v="Check out our latest image on facebook!"/>
    <n v="4872"/>
    <n v="925"/>
    <n v="176"/>
    <n v="82824"/>
    <n v="82543"/>
    <n v="89"/>
    <s v="#EVRevolution"/>
    <s v="no data"/>
    <s v="no data"/>
    <s v="ModelYCampaign"/>
    <n v="7.2116777745580993E-2"/>
  </r>
  <r>
    <s v="P216"/>
    <x v="1"/>
    <d v="2024-07-29T00:00:00"/>
    <x v="2"/>
    <s v="Check out our latest story on youtube!"/>
    <n v="1509"/>
    <n v="88"/>
    <n v="163"/>
    <n v="30180"/>
    <n v="29689"/>
    <n v="119"/>
    <s v="#EVRevolution"/>
    <s v="no data"/>
    <s v="no data"/>
    <s v="ModelYCampaign"/>
    <n v="5.8316766070245198E-2"/>
  </r>
  <r>
    <s v="P217"/>
    <x v="3"/>
    <d v="2024-12-03T00:00:00"/>
    <x v="4"/>
    <s v="Check out our latest image on facebook!"/>
    <n v="4606"/>
    <n v="931"/>
    <n v="230"/>
    <n v="92120"/>
    <n v="91440"/>
    <n v="56"/>
    <s v="#TeslaCoInnovation"/>
    <s v="no data"/>
    <s v="no data"/>
    <s v="unknown"/>
    <n v="6.2603126356925748E-2"/>
  </r>
  <r>
    <s v="P218"/>
    <x v="3"/>
    <d v="2024-06-11T00:00:00"/>
    <x v="3"/>
    <s v="Check out our latest carousel on facebook!"/>
    <n v="1869"/>
    <n v="453"/>
    <n v="490"/>
    <n v="14952"/>
    <n v="14309"/>
    <n v="275"/>
    <s v="#TeslaCoInnovation"/>
    <s v="no data"/>
    <s v="no data"/>
    <s v="SustainabilityDrive"/>
    <n v="0.18806848582129482"/>
  </r>
  <r>
    <s v="P219"/>
    <x v="0"/>
    <d v="2025-01-28T00:00:00"/>
    <x v="0"/>
    <s v="Check out our latest reel on twitter!"/>
    <n v="1188"/>
    <n v="470"/>
    <n v="174"/>
    <n v="7128"/>
    <n v="6145"/>
    <n v="270"/>
    <s v="#TeslaCoInnovation"/>
    <s v="no data"/>
    <s v="no data"/>
    <s v="SustainabilityDrive"/>
    <n v="0.25701459034792368"/>
  </r>
  <r>
    <s v="P220"/>
    <x v="2"/>
    <d v="2024-06-02T00:00:00"/>
    <x v="2"/>
    <s v="Check out our latest story on instagram!"/>
    <n v="84"/>
    <n v="897"/>
    <n v="85"/>
    <n v="588"/>
    <n v="8"/>
    <n v="12"/>
    <s v="#EVRevolution"/>
    <s v="no data"/>
    <s v="no data"/>
    <s v="unknown"/>
    <n v="1.8129251700680271"/>
  </r>
  <r>
    <s v="P221"/>
    <x v="3"/>
    <d v="2025-03-23T00:00:00"/>
    <x v="5"/>
    <s v="Check out our latest video on facebook!"/>
    <n v="4453"/>
    <n v="111"/>
    <n v="420"/>
    <n v="31171"/>
    <n v="30565"/>
    <n v="23"/>
    <s v="#TeslaCoInnovation"/>
    <s v="no data"/>
    <s v="no data"/>
    <s v="unknown"/>
    <n v="0.15989220750056141"/>
  </r>
  <r>
    <s v="P222"/>
    <x v="3"/>
    <d v="2024-10-08T00:00:00"/>
    <x v="0"/>
    <s v="Check out our latest reel on facebook!"/>
    <n v="1814"/>
    <n v="653"/>
    <n v="363"/>
    <n v="25396"/>
    <n v="25286"/>
    <n v="39"/>
    <s v="#FutureOfDriving"/>
    <s v="#SmoothLikeNitroTesla"/>
    <s v="no data"/>
    <s v="CybertruckLaunch"/>
    <n v="0.11143487163332809"/>
  </r>
  <r>
    <s v="P223"/>
    <x v="0"/>
    <d v="2024-11-12T00:00:00"/>
    <x v="4"/>
    <s v="Check out our latest image on twitter!"/>
    <n v="3338"/>
    <n v="277"/>
    <n v="118"/>
    <n v="60084"/>
    <n v="59842"/>
    <n v="252"/>
    <s v="#TeslaCoInnovation"/>
    <s v="no data"/>
    <s v="no data"/>
    <s v="unknown"/>
    <n v="6.2129685107516146E-2"/>
  </r>
  <r>
    <s v="P224"/>
    <x v="3"/>
    <d v="2025-05-13T00:00:00"/>
    <x v="4"/>
    <s v="Check out our latest image on facebook!"/>
    <n v="602"/>
    <n v="594"/>
    <n v="156"/>
    <n v="4214"/>
    <n v="3363"/>
    <n v="164"/>
    <s v="#TeslaCoInnovation"/>
    <s v="no data"/>
    <s v="no data"/>
    <s v="FSDUpdate"/>
    <n v="0.32083531086853345"/>
  </r>
  <r>
    <s v="P225"/>
    <x v="0"/>
    <d v="2024-06-20T00:00:00"/>
    <x v="3"/>
    <s v="Check out our latest carousel on twitter!"/>
    <n v="4672"/>
    <n v="325"/>
    <n v="32"/>
    <n v="88768"/>
    <n v="87833"/>
    <n v="118"/>
    <s v="#EVRevolution"/>
    <s v="no data"/>
    <s v="no data"/>
    <s v="unknown"/>
    <n v="5.6653298485940883E-2"/>
  </r>
  <r>
    <s v="P226"/>
    <x v="2"/>
    <d v="2024-08-07T00:00:00"/>
    <x v="3"/>
    <s v="Check out our latest carousel on instagram!"/>
    <n v="1741"/>
    <n v="164"/>
    <n v="318"/>
    <n v="8705"/>
    <n v="8272"/>
    <n v="121"/>
    <s v="#TeslaCoInnovation"/>
    <s v="no data"/>
    <s v="no data"/>
    <s v="unknown"/>
    <n v="0.25537047673750718"/>
  </r>
  <r>
    <s v="P227"/>
    <x v="2"/>
    <d v="2024-06-12T00:00:00"/>
    <x v="1"/>
    <s v="Check out our latest text on instagram!"/>
    <n v="246"/>
    <n v="149"/>
    <n v="130"/>
    <n v="4674"/>
    <n v="4390"/>
    <n v="217"/>
    <s v="#FutureOfDriving"/>
    <s v="no data"/>
    <s v="no data"/>
    <s v="FSDUpdate"/>
    <n v="0.11232349165596919"/>
  </r>
  <r>
    <s v="P228"/>
    <x v="2"/>
    <d v="2024-07-01T00:00:00"/>
    <x v="2"/>
    <s v="Check out our latest story on instagram!"/>
    <n v="4808"/>
    <n v="772"/>
    <n v="320"/>
    <n v="72120"/>
    <n v="71696"/>
    <n v="195"/>
    <s v="#EVRevolution"/>
    <s v="no data"/>
    <s v="no data"/>
    <s v="CybertruckLaunch"/>
    <n v="8.1808097615085965E-2"/>
  </r>
  <r>
    <s v="P229"/>
    <x v="2"/>
    <d v="2024-07-03T00:00:00"/>
    <x v="3"/>
    <s v="Check out our latest carousel on instagram!"/>
    <n v="4799"/>
    <n v="694"/>
    <n v="289"/>
    <n v="43191"/>
    <n v="42228"/>
    <n v="118"/>
    <s v="#TeslaCoInnovation"/>
    <s v="no data"/>
    <s v="no data"/>
    <s v="unknown"/>
    <n v="0.13387048227640017"/>
  </r>
  <r>
    <s v="P230"/>
    <x v="3"/>
    <d v="2024-07-15T00:00:00"/>
    <x v="0"/>
    <s v="Check out our latest reel on facebook!"/>
    <n v="3663"/>
    <n v="17"/>
    <n v="295"/>
    <n v="51282"/>
    <n v="50567"/>
    <n v="84"/>
    <s v="#EVRevolution"/>
    <s v="no data"/>
    <s v="no data"/>
    <s v="FSDUpdate"/>
    <n v="7.7512577512577507E-2"/>
  </r>
  <r>
    <s v="P231"/>
    <x v="2"/>
    <d v="2025-05-01T00:00:00"/>
    <x v="1"/>
    <s v="Check out our latest text on instagram!"/>
    <n v="1430"/>
    <n v="376"/>
    <n v="33"/>
    <n v="21450"/>
    <n v="20509"/>
    <n v="251"/>
    <s v="#FutureOfDriving"/>
    <s v="no data"/>
    <s v="no data"/>
    <s v="CybertruckLaunch"/>
    <n v="8.5734265734265735E-2"/>
  </r>
  <r>
    <s v="P232"/>
    <x v="0"/>
    <d v="2025-04-29T00:00:00"/>
    <x v="2"/>
    <s v="Check out our latest story on twitter!"/>
    <n v="249"/>
    <n v="592"/>
    <n v="230"/>
    <n v="1494"/>
    <n v="1044"/>
    <n v="201"/>
    <s v="#EVRevolution"/>
    <s v="no data"/>
    <s v="no data"/>
    <s v="SustainabilityDrive"/>
    <n v="0.7168674698795181"/>
  </r>
  <r>
    <s v="P233"/>
    <x v="3"/>
    <d v="2025-03-08T00:00:00"/>
    <x v="4"/>
    <s v="Check out our latest image on facebook!"/>
    <n v="2382"/>
    <n v="265"/>
    <n v="134"/>
    <n v="38112"/>
    <n v="37437"/>
    <n v="249"/>
    <s v="#FutureOfDriving"/>
    <s v="no data"/>
    <s v="no data"/>
    <s v="SustainabilityDrive"/>
    <n v="7.2969143576826198E-2"/>
  </r>
  <r>
    <s v="P234"/>
    <x v="3"/>
    <d v="2024-06-01T00:00:00"/>
    <x v="1"/>
    <s v="Check out our latest text on facebook!"/>
    <n v="1272"/>
    <n v="465"/>
    <n v="99"/>
    <n v="24168"/>
    <n v="23719"/>
    <n v="42"/>
    <s v="#TeslaCoInnovation"/>
    <s v="no data"/>
    <s v="no data"/>
    <s v="unknown"/>
    <n v="7.5968222442899705E-2"/>
  </r>
  <r>
    <s v="P235"/>
    <x v="3"/>
    <d v="2024-12-22T00:00:00"/>
    <x v="4"/>
    <s v="Check out our latest image on facebook!"/>
    <n v="3196"/>
    <n v="941"/>
    <n v="376"/>
    <n v="35156"/>
    <n v="34444"/>
    <n v="241"/>
    <s v="#TeslaCoInnovation"/>
    <s v="no data"/>
    <s v="no data"/>
    <s v="FSDUpdate"/>
    <n v="0.1283706906360223"/>
  </r>
  <r>
    <s v="P236"/>
    <x v="3"/>
    <d v="2024-08-19T00:00:00"/>
    <x v="1"/>
    <s v="Check out our latest text on facebook!"/>
    <n v="1257"/>
    <n v="19"/>
    <n v="351"/>
    <n v="12570"/>
    <n v="11660"/>
    <n v="194"/>
    <s v="#FutureOfDriving"/>
    <s v="#AnytimeIsTeslaTime"/>
    <s v="#EVRevolution"/>
    <s v="ModelYCampaign"/>
    <n v="0.12943516308671441"/>
  </r>
  <r>
    <s v="P237"/>
    <x v="2"/>
    <d v="2024-10-22T00:00:00"/>
    <x v="2"/>
    <s v="Check out our latest story on instagram!"/>
    <n v="3770"/>
    <n v="917"/>
    <n v="129"/>
    <n v="71630"/>
    <n v="71322"/>
    <n v="76"/>
    <s v="#FutureOfDriving"/>
    <s v="no data"/>
    <s v="no data"/>
    <s v="CybertruckLaunch"/>
    <n v="6.7234398994834563E-2"/>
  </r>
  <r>
    <s v="P238"/>
    <x v="0"/>
    <d v="2024-07-16T00:00:00"/>
    <x v="1"/>
    <s v="Check out our latest text on twitter!"/>
    <n v="4725"/>
    <n v="400"/>
    <n v="362"/>
    <n v="75600"/>
    <n v="74927"/>
    <n v="43"/>
    <s v="#FutureOfDriving"/>
    <s v="no data"/>
    <s v="no data"/>
    <s v="SustainabilityDrive"/>
    <n v="7.2579365079365077E-2"/>
  </r>
  <r>
    <s v="P239"/>
    <x v="1"/>
    <d v="2025-02-24T00:00:00"/>
    <x v="1"/>
    <s v="Check out our latest text on youtube!"/>
    <n v="4188"/>
    <n v="942"/>
    <n v="118"/>
    <n v="20940"/>
    <n v="20471"/>
    <n v="102"/>
    <s v="#FutureOfDriving"/>
    <s v="no data"/>
    <s v="no data"/>
    <s v="unknown"/>
    <n v="0.25062082139446035"/>
  </r>
  <r>
    <s v="P240"/>
    <x v="0"/>
    <d v="2024-08-26T00:00:00"/>
    <x v="3"/>
    <s v="Check out our latest carousel on twitter!"/>
    <n v="929"/>
    <n v="192"/>
    <n v="322"/>
    <n v="16722"/>
    <n v="15996"/>
    <n v="145"/>
    <s v="#EVRevolution"/>
    <s v="#TeslaCoInnovation"/>
    <s v="#AnytimeIsTeslaTime"/>
    <s v="FSDUpdate"/>
    <n v="8.6293505561535699E-2"/>
  </r>
  <r>
    <s v="P241"/>
    <x v="3"/>
    <d v="2025-01-18T00:00:00"/>
    <x v="2"/>
    <s v="Check out our latest story on facebook!"/>
    <n v="4321"/>
    <n v="874"/>
    <n v="172"/>
    <n v="30247"/>
    <n v="29254"/>
    <n v="122"/>
    <s v="#TeslaCoInnovation"/>
    <s v="no data"/>
    <s v="no data"/>
    <s v="SustainabilityDrive"/>
    <n v="0.17743908486792079"/>
  </r>
  <r>
    <s v="P242"/>
    <x v="3"/>
    <d v="2024-07-07T00:00:00"/>
    <x v="0"/>
    <s v="Check out our latest reel on facebook!"/>
    <n v="4767"/>
    <n v="190"/>
    <n v="340"/>
    <n v="28602"/>
    <n v="28044"/>
    <n v="210"/>
    <s v="#EVRevolution"/>
    <s v="no data"/>
    <s v="no data"/>
    <s v="FSDUpdate"/>
    <n v="0.18519683938186141"/>
  </r>
  <r>
    <s v="P243"/>
    <x v="0"/>
    <d v="2025-03-06T00:00:00"/>
    <x v="4"/>
    <s v="Check out our latest image on twitter!"/>
    <n v="3592"/>
    <n v="911"/>
    <n v="375"/>
    <n v="50288"/>
    <n v="49490"/>
    <n v="32"/>
    <s v="#FutureOfDriving"/>
    <s v="no data"/>
    <s v="no data"/>
    <s v="SustainabilityDrive"/>
    <n v="9.7001272669424113E-2"/>
  </r>
  <r>
    <s v="P244"/>
    <x v="1"/>
    <d v="2024-10-25T00:00:00"/>
    <x v="5"/>
    <s v="Check out our latest video on youtube!"/>
    <n v="4661"/>
    <n v="935"/>
    <n v="433"/>
    <n v="23305"/>
    <n v="22583"/>
    <n v="63"/>
    <s v="#FutureOfDriving"/>
    <s v="no data"/>
    <s v="no data"/>
    <s v="FSDUpdate"/>
    <n v="0.25869984981763572"/>
  </r>
  <r>
    <s v="P245"/>
    <x v="3"/>
    <d v="2025-01-12T00:00:00"/>
    <x v="0"/>
    <s v="Check out our latest reel on facebook!"/>
    <n v="4134"/>
    <n v="824"/>
    <n v="99"/>
    <n v="41340"/>
    <n v="41050"/>
    <n v="177"/>
    <s v="#EVRevolution"/>
    <s v="no data"/>
    <s v="no data"/>
    <s v="CybertruckLaunch"/>
    <n v="0.12232704402515723"/>
  </r>
  <r>
    <s v="P246"/>
    <x v="3"/>
    <d v="2024-10-11T00:00:00"/>
    <x v="4"/>
    <s v="Check out our latest image on facebook!"/>
    <n v="400"/>
    <n v="680"/>
    <n v="434"/>
    <n v="6400"/>
    <n v="5472"/>
    <n v="160"/>
    <s v="#FutureOfDriving"/>
    <s v="no data"/>
    <s v="no data"/>
    <s v="ModelYCampaign"/>
    <n v="0.23656250000000001"/>
  </r>
  <r>
    <s v="P247"/>
    <x v="3"/>
    <d v="2024-08-27T00:00:00"/>
    <x v="0"/>
    <s v="Check out our latest reel on facebook!"/>
    <n v="3960"/>
    <n v="266"/>
    <n v="8"/>
    <n v="35640"/>
    <n v="34850"/>
    <n v="208"/>
    <s v="#FutureOfDriving"/>
    <s v="#EVRevolution"/>
    <s v="#BetterWithTesla"/>
    <s v="unknown"/>
    <n v="0.11879910213243547"/>
  </r>
  <r>
    <s v="P248"/>
    <x v="3"/>
    <d v="2025-02-02T00:00:00"/>
    <x v="2"/>
    <s v="Check out our latest story on facebook!"/>
    <n v="886"/>
    <n v="126"/>
    <n v="153"/>
    <n v="4430"/>
    <n v="4037"/>
    <n v="212"/>
    <s v="#EVRevolution"/>
    <s v="no data"/>
    <s v="no data"/>
    <s v="unknown"/>
    <n v="0.26297968397291194"/>
  </r>
  <r>
    <s v="P249"/>
    <x v="0"/>
    <d v="2024-07-18T00:00:00"/>
    <x v="4"/>
    <s v="Check out our latest image on twitter!"/>
    <n v="827"/>
    <n v="77"/>
    <n v="402"/>
    <n v="14886"/>
    <n v="14129"/>
    <n v="254"/>
    <s v="#EVRevolution"/>
    <s v="no data"/>
    <s v="no data"/>
    <s v="ModelYCampaign"/>
    <n v="8.7733440816874911E-2"/>
  </r>
  <r>
    <s v="P250"/>
    <x v="3"/>
    <d v="2024-06-22T00:00:00"/>
    <x v="0"/>
    <s v="Check out our latest reel on facebook!"/>
    <n v="3813"/>
    <n v="935"/>
    <n v="274"/>
    <n v="68634"/>
    <n v="68488"/>
    <n v="251"/>
    <s v="#FutureOfDriving"/>
    <s v="no data"/>
    <s v="no data"/>
    <s v="unknown"/>
    <n v="7.3170731707317069E-2"/>
  </r>
  <r>
    <s v="P251"/>
    <x v="2"/>
    <d v="2025-03-27T00:00:00"/>
    <x v="3"/>
    <s v="Check out our latest carousel on instagram!"/>
    <n v="1377"/>
    <n v="796"/>
    <n v="387"/>
    <n v="22032"/>
    <n v="21869"/>
    <n v="189"/>
    <s v="#FutureOfDriving"/>
    <s v="no data"/>
    <s v="no data"/>
    <s v="unknown"/>
    <n v="0.11619462599854757"/>
  </r>
  <r>
    <s v="P252"/>
    <x v="3"/>
    <d v="2025-04-28T00:00:00"/>
    <x v="3"/>
    <s v="Check out our latest carousel on facebook!"/>
    <n v="2089"/>
    <n v="476"/>
    <n v="69"/>
    <n v="16712"/>
    <n v="16309"/>
    <n v="64"/>
    <s v="#FutureOfDriving"/>
    <s v="no data"/>
    <s v="no data"/>
    <s v="FSDUpdate"/>
    <n v="0.15761129727142173"/>
  </r>
  <r>
    <s v="P253"/>
    <x v="0"/>
    <d v="2024-08-03T00:00:00"/>
    <x v="0"/>
    <s v="Check out our latest reel on twitter!"/>
    <n v="3791"/>
    <n v="593"/>
    <n v="228"/>
    <n v="53074"/>
    <n v="52613"/>
    <n v="205"/>
    <s v="#EVRevolution"/>
    <s v="no data"/>
    <s v="no data"/>
    <s v="unknown"/>
    <n v="8.6897539284772202E-2"/>
  </r>
  <r>
    <s v="P254"/>
    <x v="0"/>
    <d v="2025-01-14T00:00:00"/>
    <x v="4"/>
    <s v="Check out our latest image on twitter!"/>
    <n v="2692"/>
    <n v="115"/>
    <n v="64"/>
    <n v="21536"/>
    <n v="21120"/>
    <n v="224"/>
    <s v="#FutureOfDriving"/>
    <s v="no data"/>
    <s v="no data"/>
    <s v="ModelYCampaign"/>
    <n v="0.13331166419019316"/>
  </r>
  <r>
    <s v="P255"/>
    <x v="3"/>
    <d v="2025-04-03T00:00:00"/>
    <x v="2"/>
    <s v="Check out our latest story on facebook!"/>
    <n v="3767"/>
    <n v="514"/>
    <n v="238"/>
    <n v="37670"/>
    <n v="36807"/>
    <n v="226"/>
    <s v="#FutureOfDriving"/>
    <s v="no data"/>
    <s v="no data"/>
    <s v="SustainabilityDrive"/>
    <n v="0.11996283514733209"/>
  </r>
  <r>
    <s v="P256"/>
    <x v="1"/>
    <d v="2024-09-18T00:00:00"/>
    <x v="3"/>
    <s v="Check out our latest carousel on youtube!"/>
    <n v="2143"/>
    <n v="12"/>
    <n v="204"/>
    <n v="40717"/>
    <n v="40125"/>
    <n v="248"/>
    <s v="#EVRevolution"/>
    <s v="no data"/>
    <s v="no data"/>
    <s v="ModelYCampaign"/>
    <n v="5.7936488444630008E-2"/>
  </r>
  <r>
    <s v="P257"/>
    <x v="3"/>
    <d v="2025-04-06T00:00:00"/>
    <x v="4"/>
    <s v="Check out our latest image on facebook!"/>
    <n v="3090"/>
    <n v="697"/>
    <n v="164"/>
    <n v="49440"/>
    <n v="48524"/>
    <n v="25"/>
    <s v="#EVRevolution"/>
    <s v="#EVRevolution"/>
    <s v="#BetterWithTesla"/>
    <s v="ModelYCampaign"/>
    <n v="7.9915048543689318E-2"/>
  </r>
  <r>
    <s v="P258"/>
    <x v="2"/>
    <d v="2024-08-05T00:00:00"/>
    <x v="2"/>
    <s v="Check out our latest story on instagram!"/>
    <n v="3601"/>
    <n v="695"/>
    <n v="75"/>
    <n v="21606"/>
    <n v="21454"/>
    <n v="172"/>
    <s v="#EVRevolution"/>
    <s v="no data"/>
    <s v="no data"/>
    <s v="ModelYCampaign"/>
    <n v="0.2023049153013052"/>
  </r>
  <r>
    <s v="P259"/>
    <x v="3"/>
    <d v="2025-02-10T00:00:00"/>
    <x v="1"/>
    <s v="Check out our latest text on facebook!"/>
    <n v="562"/>
    <n v="158"/>
    <n v="149"/>
    <n v="3372"/>
    <n v="2940"/>
    <n v="93"/>
    <s v="#TeslaCoInnovation"/>
    <s v="no data"/>
    <s v="no data"/>
    <s v="CybertruckLaunch"/>
    <n v="0.25771055753262156"/>
  </r>
  <r>
    <s v="P260"/>
    <x v="2"/>
    <d v="2025-02-12T00:00:00"/>
    <x v="2"/>
    <s v="Check out our latest story on instagram!"/>
    <n v="4332"/>
    <n v="771"/>
    <n v="219"/>
    <n v="60648"/>
    <n v="60397"/>
    <n v="10"/>
    <s v="#TeslaCoInnovation"/>
    <s v="#EVRevolution"/>
    <s v="#BetterWithTesla"/>
    <s v="FSDUpdate"/>
    <n v="8.7752275425405618E-2"/>
  </r>
  <r>
    <s v="P261"/>
    <x v="2"/>
    <d v="2024-10-27T00:00:00"/>
    <x v="4"/>
    <s v="Check out our latest image on instagram!"/>
    <n v="4853"/>
    <n v="837"/>
    <n v="340"/>
    <n v="72795"/>
    <n v="72237"/>
    <n v="170"/>
    <s v="#EVRevolution"/>
    <s v="no data"/>
    <s v="no data"/>
    <s v="CybertruckLaunch"/>
    <n v="8.2835359571399134E-2"/>
  </r>
  <r>
    <s v="P262"/>
    <x v="1"/>
    <d v="2025-01-18T00:00:00"/>
    <x v="4"/>
    <s v="Check out our latest image on youtube!"/>
    <n v="1206"/>
    <n v="238"/>
    <n v="36"/>
    <n v="9648"/>
    <n v="9417"/>
    <n v="237"/>
    <s v="#TeslaCoInnovation"/>
    <s v="no data"/>
    <s v="no data"/>
    <s v="unknown"/>
    <n v="0.15339966832504145"/>
  </r>
  <r>
    <s v="P263"/>
    <x v="2"/>
    <d v="2024-08-20T00:00:00"/>
    <x v="0"/>
    <s v="Check out our latest reel on instagram!"/>
    <n v="2603"/>
    <n v="690"/>
    <n v="205"/>
    <n v="13015"/>
    <n v="12130"/>
    <n v="20"/>
    <s v="#FutureOfDriving"/>
    <s v="no data"/>
    <s v="no data"/>
    <s v="ModelYCampaign"/>
    <n v="0.26876680752977333"/>
  </r>
  <r>
    <s v="P264"/>
    <x v="0"/>
    <d v="2025-01-30T00:00:00"/>
    <x v="4"/>
    <s v="Check out our latest image on twitter!"/>
    <n v="59"/>
    <n v="163"/>
    <n v="93"/>
    <n v="590"/>
    <n v="475"/>
    <n v="293"/>
    <s v="#TeslaCoInnovation"/>
    <s v="no data"/>
    <s v="no data"/>
    <s v="ModelYCampaign"/>
    <n v="0.53389830508474578"/>
  </r>
  <r>
    <s v="P265"/>
    <x v="0"/>
    <d v="2025-02-20T00:00:00"/>
    <x v="3"/>
    <s v="Check out our latest carousel on twitter!"/>
    <n v="1877"/>
    <n v="745"/>
    <n v="225"/>
    <n v="11262"/>
    <n v="10967"/>
    <n v="41"/>
    <s v="#EVRevolution"/>
    <s v="no data"/>
    <s v="no data"/>
    <s v="SustainabilityDrive"/>
    <n v="0.25279701651571657"/>
  </r>
  <r>
    <s v="P266"/>
    <x v="3"/>
    <d v="2024-11-25T00:00:00"/>
    <x v="2"/>
    <s v="Check out our latest story on facebook!"/>
    <n v="4182"/>
    <n v="640"/>
    <n v="240"/>
    <n v="50184"/>
    <n v="49351"/>
    <n v="10"/>
    <s v="#TeslaCoInnovation"/>
    <s v="no data"/>
    <s v="no data"/>
    <s v="FSDUpdate"/>
    <n v="0.10086880280567512"/>
  </r>
  <r>
    <s v="P267"/>
    <x v="0"/>
    <d v="2024-10-04T00:00:00"/>
    <x v="0"/>
    <s v="Check out our latest reel on twitter!"/>
    <n v="4187"/>
    <n v="66"/>
    <n v="31"/>
    <n v="66992"/>
    <n v="66614"/>
    <n v="62"/>
    <s v="#FutureOfDriving"/>
    <s v="no data"/>
    <s v="no data"/>
    <s v="unknown"/>
    <n v="6.3947934081681396E-2"/>
  </r>
  <r>
    <s v="P268"/>
    <x v="2"/>
    <d v="2025-04-13T00:00:00"/>
    <x v="0"/>
    <s v="Check out our latest reel on instagram!"/>
    <n v="4579"/>
    <n v="125"/>
    <n v="300"/>
    <n v="59527"/>
    <n v="59400"/>
    <n v="269"/>
    <s v="#EVRevolution"/>
    <s v="no data"/>
    <s v="no data"/>
    <s v="CybertruckLaunch"/>
    <n v="8.4062694239588759E-2"/>
  </r>
  <r>
    <s v="P269"/>
    <x v="2"/>
    <d v="2024-11-05T00:00:00"/>
    <x v="5"/>
    <s v="Check out our latest video on instagram!"/>
    <n v="4561"/>
    <n v="51"/>
    <n v="441"/>
    <n v="22805"/>
    <n v="21890"/>
    <n v="45"/>
    <s v="#TeslaCoInnovation"/>
    <s v="no data"/>
    <s v="no data"/>
    <s v="ModelYCampaign"/>
    <n v="0.22157421618066214"/>
  </r>
  <r>
    <s v="P270"/>
    <x v="1"/>
    <d v="2025-01-15T00:00:00"/>
    <x v="0"/>
    <s v="Check out our latest reel on youtube!"/>
    <n v="3774"/>
    <n v="239"/>
    <n v="39"/>
    <n v="60384"/>
    <n v="59490"/>
    <n v="241"/>
    <s v="#TeslaCoInnovation"/>
    <s v="no data"/>
    <s v="no data"/>
    <s v="FSDUpdate"/>
    <n v="6.7103868574456813E-2"/>
  </r>
  <r>
    <s v="P271"/>
    <x v="2"/>
    <d v="2024-10-17T00:00:00"/>
    <x v="5"/>
    <s v="Check out our latest video on instagram!"/>
    <n v="3575"/>
    <n v="749"/>
    <n v="111"/>
    <n v="21450"/>
    <n v="20785"/>
    <n v="195"/>
    <s v="#EVRevolution"/>
    <s v="no data"/>
    <s v="no data"/>
    <s v="ModelYCampaign"/>
    <n v="0.20675990675990677"/>
  </r>
  <r>
    <s v="P272"/>
    <x v="2"/>
    <d v="2025-03-27T00:00:00"/>
    <x v="1"/>
    <s v="Check out our latest text on instagram!"/>
    <n v="4941"/>
    <n v="414"/>
    <n v="266"/>
    <n v="39528"/>
    <n v="39154"/>
    <n v="217"/>
    <s v="#TeslaCoInnovation"/>
    <s v="no data"/>
    <s v="no data"/>
    <s v="FSDUpdate"/>
    <n v="0.14220299534507186"/>
  </r>
  <r>
    <s v="P273"/>
    <x v="1"/>
    <d v="2024-10-12T00:00:00"/>
    <x v="2"/>
    <s v="Check out our latest story on youtube!"/>
    <n v="3641"/>
    <n v="226"/>
    <n v="46"/>
    <n v="40051"/>
    <n v="39319"/>
    <n v="296"/>
    <s v="#EVRevolution"/>
    <s v="no data"/>
    <s v="no data"/>
    <s v="SustainabilityDrive"/>
    <n v="9.7700431949264685E-2"/>
  </r>
  <r>
    <s v="P274"/>
    <x v="0"/>
    <d v="2025-01-01T00:00:00"/>
    <x v="3"/>
    <s v="Check out our latest carousel on twitter!"/>
    <n v="3535"/>
    <n v="494"/>
    <n v="152"/>
    <n v="53025"/>
    <n v="52791"/>
    <n v="44"/>
    <s v="#TeslaCoInnovation"/>
    <s v="no data"/>
    <s v="no data"/>
    <s v="SustainabilityDrive"/>
    <n v="7.8849599245638849E-2"/>
  </r>
  <r>
    <s v="P275"/>
    <x v="3"/>
    <d v="2024-08-05T00:00:00"/>
    <x v="0"/>
    <s v="Check out our latest reel on facebook!"/>
    <n v="1741"/>
    <n v="831"/>
    <n v="345"/>
    <n v="17410"/>
    <n v="16844"/>
    <n v="58"/>
    <s v="#EVRevolution"/>
    <s v="no data"/>
    <s v="no data"/>
    <s v="FSDUpdate"/>
    <n v="0.16754738655944859"/>
  </r>
  <r>
    <s v="P276"/>
    <x v="0"/>
    <d v="2024-06-07T00:00:00"/>
    <x v="3"/>
    <s v="Check out our latest carousel on twitter!"/>
    <n v="1556"/>
    <n v="195"/>
    <n v="131"/>
    <n v="9336"/>
    <n v="8875"/>
    <n v="137"/>
    <s v="#TeslaCoInnovation"/>
    <s v="no data"/>
    <s v="no data"/>
    <s v="ModelYCampaign"/>
    <n v="0.2015852613538989"/>
  </r>
  <r>
    <s v="P277"/>
    <x v="3"/>
    <d v="2025-04-06T00:00:00"/>
    <x v="4"/>
    <s v="Check out our latest image on facebook!"/>
    <n v="4236"/>
    <n v="711"/>
    <n v="298"/>
    <n v="21180"/>
    <n v="20516"/>
    <n v="238"/>
    <s v="#FutureOfDriving"/>
    <s v="no data"/>
    <s v="no data"/>
    <s v="CybertruckLaunch"/>
    <n v="0.24763928234183191"/>
  </r>
  <r>
    <s v="P278"/>
    <x v="0"/>
    <d v="2024-11-26T00:00:00"/>
    <x v="1"/>
    <s v="Check out our latest text on twitter!"/>
    <n v="4516"/>
    <n v="836"/>
    <n v="169"/>
    <n v="49676"/>
    <n v="49257"/>
    <n v="282"/>
    <s v="#EVRevolution"/>
    <s v="no data"/>
    <s v="no data"/>
    <s v="SustainabilityDrive"/>
    <n v="0.11114018842096787"/>
  </r>
  <r>
    <s v="P279"/>
    <x v="1"/>
    <d v="2024-09-02T00:00:00"/>
    <x v="4"/>
    <s v="Check out our latest image on youtube!"/>
    <n v="4905"/>
    <n v="845"/>
    <n v="129"/>
    <n v="98100"/>
    <n v="97772"/>
    <n v="279"/>
    <s v="#TeslaCoInnovation"/>
    <s v="no data"/>
    <s v="no data"/>
    <s v="ModelYCampaign"/>
    <n v="5.9928644240570844E-2"/>
  </r>
  <r>
    <s v="P280"/>
    <x v="1"/>
    <d v="2024-10-21T00:00:00"/>
    <x v="5"/>
    <s v="Check out our latest video on youtube!"/>
    <n v="4275"/>
    <n v="680"/>
    <n v="385"/>
    <n v="64125"/>
    <n v="63650"/>
    <n v="104"/>
    <s v="#EVRevolution"/>
    <s v="#TeslaCoInnovation"/>
    <s v="#AnytimeIsTeslaTime"/>
    <s v="SustainabilityDrive"/>
    <n v="8.3274853801169585E-2"/>
  </r>
  <r>
    <s v="P281"/>
    <x v="1"/>
    <d v="2025-03-22T00:00:00"/>
    <x v="4"/>
    <s v="Check out our latest image on youtube!"/>
    <n v="3166"/>
    <n v="90"/>
    <n v="341"/>
    <n v="56988"/>
    <n v="56125"/>
    <n v="135"/>
    <s v="#EVRevolution"/>
    <s v="no data"/>
    <s v="no data"/>
    <s v="ModelYCampaign"/>
    <n v="6.3118551273952411E-2"/>
  </r>
  <r>
    <s v="P282"/>
    <x v="2"/>
    <d v="2024-10-03T00:00:00"/>
    <x v="5"/>
    <s v="Check out our latest video on instagram!"/>
    <n v="1488"/>
    <n v="417"/>
    <n v="168"/>
    <n v="19344"/>
    <n v="18395"/>
    <n v="30"/>
    <s v="#FutureOfDriving"/>
    <s v="no data"/>
    <s v="no data"/>
    <s v="FSDUpdate"/>
    <n v="0.1071650124069479"/>
  </r>
  <r>
    <s v="P283"/>
    <x v="0"/>
    <d v="2025-05-09T00:00:00"/>
    <x v="0"/>
    <s v="Check out our latest reel on twitter!"/>
    <n v="3367"/>
    <n v="302"/>
    <n v="57"/>
    <n v="63973"/>
    <n v="63789"/>
    <n v="157"/>
    <s v="#FutureOfDriving"/>
    <s v="no data"/>
    <s v="no data"/>
    <s v="ModelYCampaign"/>
    <n v="5.8243321401216137E-2"/>
  </r>
  <r>
    <s v="P284"/>
    <x v="0"/>
    <d v="2024-09-17T00:00:00"/>
    <x v="1"/>
    <s v="Check out our latest text on twitter!"/>
    <n v="571"/>
    <n v="190"/>
    <n v="352"/>
    <n v="9707"/>
    <n v="9418"/>
    <n v="231"/>
    <s v="#TeslaCoInnovation"/>
    <s v="no data"/>
    <s v="no data"/>
    <s v="SustainabilityDrive"/>
    <n v="0.11465952405480581"/>
  </r>
  <r>
    <s v="P285"/>
    <x v="1"/>
    <d v="2024-07-18T00:00:00"/>
    <x v="1"/>
    <s v="Check out our latest text on youtube!"/>
    <n v="4021"/>
    <n v="794"/>
    <n v="77"/>
    <n v="36189"/>
    <n v="35505"/>
    <n v="174"/>
    <s v="#EVRevolution"/>
    <s v="no data"/>
    <s v="no data"/>
    <s v="unknown"/>
    <n v="0.13517919809886983"/>
  </r>
  <r>
    <s v="P286"/>
    <x v="1"/>
    <d v="2024-09-25T00:00:00"/>
    <x v="5"/>
    <s v="Check out our latest video on youtube!"/>
    <n v="3389"/>
    <n v="344"/>
    <n v="229"/>
    <n v="20334"/>
    <n v="19443"/>
    <n v="228"/>
    <s v="#FutureOfDriving"/>
    <s v="no data"/>
    <s v="no data"/>
    <s v="FSDUpdate"/>
    <n v="0.19484607062063539"/>
  </r>
  <r>
    <s v="P287"/>
    <x v="2"/>
    <d v="2024-08-15T00:00:00"/>
    <x v="0"/>
    <s v="Check out our latest reel on instagram!"/>
    <n v="1164"/>
    <n v="616"/>
    <n v="324"/>
    <n v="6984"/>
    <n v="6636"/>
    <n v="82"/>
    <s v="#EVRevolution"/>
    <s v="no data"/>
    <s v="no data"/>
    <s v="CybertruckLaunch"/>
    <n v="0.30126002290950743"/>
  </r>
  <r>
    <s v="P288"/>
    <x v="1"/>
    <d v="2025-04-17T00:00:00"/>
    <x v="3"/>
    <s v="Check out our latest carousel on youtube!"/>
    <n v="4780"/>
    <n v="691"/>
    <n v="380"/>
    <n v="86040"/>
    <n v="85743"/>
    <n v="262"/>
    <s v="#FutureOfDriving"/>
    <s v="no data"/>
    <s v="no data"/>
    <s v="FSDUpdate"/>
    <n v="6.800325430032543E-2"/>
  </r>
  <r>
    <s v="P289"/>
    <x v="3"/>
    <d v="2024-11-28T00:00:00"/>
    <x v="3"/>
    <s v="Check out our latest carousel on facebook!"/>
    <n v="2751"/>
    <n v="33"/>
    <n v="430"/>
    <n v="44016"/>
    <n v="43415"/>
    <n v="129"/>
    <s v="#FutureOfDriving"/>
    <s v="no data"/>
    <s v="no data"/>
    <s v="unknown"/>
    <n v="7.3018902217375503E-2"/>
  </r>
  <r>
    <s v="P290"/>
    <x v="2"/>
    <d v="2024-12-20T00:00:00"/>
    <x v="3"/>
    <s v="Check out our latest carousel on instagram!"/>
    <n v="2107"/>
    <n v="550"/>
    <n v="349"/>
    <n v="35819"/>
    <n v="35340"/>
    <n v="191"/>
    <s v="#EVRevolution"/>
    <s v="no data"/>
    <s v="no data"/>
    <s v="SustainabilityDrive"/>
    <n v="8.3921940869371006E-2"/>
  </r>
  <r>
    <s v="P291"/>
    <x v="3"/>
    <d v="2024-11-06T00:00:00"/>
    <x v="5"/>
    <s v="Check out our latest video on facebook!"/>
    <n v="4663"/>
    <n v="145"/>
    <n v="225"/>
    <n v="69945"/>
    <n v="69596"/>
    <n v="35"/>
    <s v="#EVRevolution"/>
    <s v="no data"/>
    <s v="no data"/>
    <s v="SustainabilityDrive"/>
    <n v="7.1956537279290869E-2"/>
  </r>
  <r>
    <s v="P292"/>
    <x v="3"/>
    <d v="2024-11-17T00:00:00"/>
    <x v="1"/>
    <s v="Check out our latest text on facebook!"/>
    <n v="880"/>
    <n v="297"/>
    <n v="345"/>
    <n v="12320"/>
    <n v="11978"/>
    <n v="238"/>
    <s v="#TeslaCoInnovation"/>
    <s v="#AnytimeIsTeslaTime"/>
    <s v="no data"/>
    <s v="unknown"/>
    <n v="0.12353896103896105"/>
  </r>
  <r>
    <s v="P293"/>
    <x v="3"/>
    <d v="2025-05-14T00:00:00"/>
    <x v="1"/>
    <s v="Check out our latest text on facebook!"/>
    <n v="2634"/>
    <n v="726"/>
    <n v="241"/>
    <n v="28974"/>
    <n v="28102"/>
    <n v="277"/>
    <s v="#EVRevolution"/>
    <s v="no data"/>
    <s v="no data"/>
    <s v="CybertruckLaunch"/>
    <n v="0.12428384068475185"/>
  </r>
  <r>
    <s v="P294"/>
    <x v="3"/>
    <d v="2024-06-19T00:00:00"/>
    <x v="3"/>
    <s v="Check out our latest carousel on facebook!"/>
    <n v="4731"/>
    <n v="173"/>
    <n v="276"/>
    <n v="28386"/>
    <n v="28185"/>
    <n v="89"/>
    <s v="#EVRevolution"/>
    <s v="no data"/>
    <s v="no data"/>
    <s v="FSDUpdate"/>
    <n v="0.18248432325794406"/>
  </r>
  <r>
    <s v="P295"/>
    <x v="0"/>
    <d v="2025-05-06T00:00:00"/>
    <x v="4"/>
    <s v="Check out our latest image on twitter!"/>
    <n v="1952"/>
    <n v="344"/>
    <n v="287"/>
    <n v="15616"/>
    <n v="15403"/>
    <n v="235"/>
    <s v="#FutureOfDriving"/>
    <s v="#TeslaCoInnovation"/>
    <s v="#AnytimeIsTeslaTime"/>
    <s v="ModelYCampaign"/>
    <n v="0.16540727459016394"/>
  </r>
  <r>
    <s v="P296"/>
    <x v="0"/>
    <d v="2025-02-11T00:00:00"/>
    <x v="5"/>
    <s v="Check out our latest video on twitter!"/>
    <n v="3440"/>
    <n v="13"/>
    <n v="20"/>
    <n v="58480"/>
    <n v="58146"/>
    <n v="210"/>
    <s v="#TeslaCoInnovation"/>
    <s v="#SmoothLikeNitroTesla"/>
    <s v="no data"/>
    <s v="SustainabilityDrive"/>
    <n v="5.9387824897400819E-2"/>
  </r>
  <r>
    <s v="P297"/>
    <x v="0"/>
    <d v="2024-12-24T00:00:00"/>
    <x v="1"/>
    <s v="Check out our latest text on twitter!"/>
    <n v="2166"/>
    <n v="354"/>
    <n v="117"/>
    <n v="10830"/>
    <n v="10245"/>
    <n v="24"/>
    <s v="#EVRevolution"/>
    <s v="no data"/>
    <s v="no data"/>
    <s v="SustainabilityDrive"/>
    <n v="0.24349030470914126"/>
  </r>
  <r>
    <s v="P298"/>
    <x v="3"/>
    <d v="2024-10-24T00:00:00"/>
    <x v="4"/>
    <s v="Check out our latest image on facebook!"/>
    <n v="4303"/>
    <n v="451"/>
    <n v="286"/>
    <n v="86060"/>
    <n v="85823"/>
    <n v="14"/>
    <s v="#TeslaCoInnovation"/>
    <s v="no data"/>
    <s v="no data"/>
    <s v="FSDUpdate"/>
    <n v="5.8563792702765516E-2"/>
  </r>
  <r>
    <s v="P299"/>
    <x v="3"/>
    <d v="2024-08-26T00:00:00"/>
    <x v="4"/>
    <s v="Check out our latest image on facebook!"/>
    <n v="2581"/>
    <n v="517"/>
    <n v="117"/>
    <n v="23229"/>
    <n v="22331"/>
    <n v="70"/>
    <s v="#FutureOfDriving"/>
    <s v="no data"/>
    <s v="no data"/>
    <s v="FSDUpdate"/>
    <n v="0.13840458048129492"/>
  </r>
  <r>
    <s v="P300"/>
    <x v="0"/>
    <d v="2024-08-31T00:00:00"/>
    <x v="3"/>
    <s v="Check out our latest carousel on twitter!"/>
    <n v="4494"/>
    <n v="717"/>
    <n v="45"/>
    <n v="62916"/>
    <n v="62688"/>
    <n v="191"/>
    <s v="#TeslaCoInnovation"/>
    <s v="#EVRevolution"/>
    <s v="#BetterWithTesla"/>
    <s v="CybertruckLaunch"/>
    <n v="8.3539958039290485E-2"/>
  </r>
  <r>
    <m/>
    <x v="4"/>
    <m/>
    <x v="6"/>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1">
  <r>
    <s v="P001"/>
    <s v="Twitter"/>
    <d v="2024-12-23T00:00:00"/>
    <s v="Reel"/>
    <s v="Check out our latest reel on twitter!"/>
    <n v="1461"/>
    <n v="184"/>
    <n v="344"/>
    <n v="21915"/>
    <n v="21675"/>
    <n v="15"/>
    <s v="CybertruckLaunch"/>
    <s v="Hashtags Used"/>
    <x v="0"/>
  </r>
  <r>
    <s v="P001"/>
    <s v="Twitter"/>
    <d v="2024-12-23T00:00:00"/>
    <s v="Reel"/>
    <s v="Check out our latest reel on twitter!"/>
    <n v="1461"/>
    <n v="184"/>
    <n v="344"/>
    <n v="21915"/>
    <n v="21675"/>
    <n v="15"/>
    <s v="CybertruckLaunch"/>
    <s v="Hashtags-1"/>
    <x v="1"/>
  </r>
  <r>
    <s v="P001"/>
    <s v="Twitter"/>
    <d v="2024-12-23T00:00:00"/>
    <s v="Reel"/>
    <s v="Check out our latest reel on twitter!"/>
    <n v="1461"/>
    <n v="184"/>
    <n v="344"/>
    <n v="21915"/>
    <n v="21675"/>
    <n v="15"/>
    <s v="CybertruckLaunch"/>
    <s v="Hashtags_2"/>
    <x v="2"/>
  </r>
  <r>
    <s v="P002"/>
    <s v="Twitter"/>
    <d v="2025-04-03T00:00:00"/>
    <s v="Text"/>
    <s v="Check out our latest text on twitter!"/>
    <n v="4054"/>
    <n v="389"/>
    <n v="493"/>
    <n v="64864"/>
    <n v="64383"/>
    <n v="117"/>
    <s v="ModelYCampaign"/>
    <s v="Hashtags Used"/>
    <x v="3"/>
  </r>
  <r>
    <s v="P002"/>
    <s v="Twitter"/>
    <d v="2025-04-03T00:00:00"/>
    <s v="Text"/>
    <s v="Check out our latest text on twitter!"/>
    <n v="4054"/>
    <n v="389"/>
    <n v="493"/>
    <n v="64864"/>
    <n v="64383"/>
    <n v="117"/>
    <s v="ModelYCampaign"/>
    <s v="Hashtags-1"/>
    <x v="4"/>
  </r>
  <r>
    <s v="P002"/>
    <s v="Twitter"/>
    <d v="2025-04-03T00:00:00"/>
    <s v="Text"/>
    <s v="Check out our latest text on twitter!"/>
    <n v="4054"/>
    <n v="389"/>
    <n v="493"/>
    <n v="64864"/>
    <n v="64383"/>
    <n v="117"/>
    <s v="ModelYCampaign"/>
    <s v="Hashtags_2"/>
    <x v="2"/>
  </r>
  <r>
    <s v="P003"/>
    <s v="YouTube"/>
    <d v="2025-05-12T00:00:00"/>
    <s v="Reel"/>
    <s v="Check out our latest reel on youtube!"/>
    <n v="2795"/>
    <n v="105"/>
    <n v="49"/>
    <n v="53105"/>
    <n v="52307"/>
    <n v="204"/>
    <s v="FSDUpdate"/>
    <s v="Hashtags Used"/>
    <x v="3"/>
  </r>
  <r>
    <s v="P003"/>
    <s v="YouTube"/>
    <d v="2025-05-12T00:00:00"/>
    <s v="Reel"/>
    <s v="Check out our latest reel on youtube!"/>
    <n v="2795"/>
    <n v="105"/>
    <n v="49"/>
    <n v="53105"/>
    <n v="52307"/>
    <n v="204"/>
    <s v="FSDUpdate"/>
    <s v="Hashtags-1"/>
    <x v="2"/>
  </r>
  <r>
    <s v="P003"/>
    <s v="YouTube"/>
    <d v="2025-05-12T00:00:00"/>
    <s v="Reel"/>
    <s v="Check out our latest reel on youtube!"/>
    <n v="2795"/>
    <n v="105"/>
    <n v="49"/>
    <n v="53105"/>
    <n v="52307"/>
    <n v="204"/>
    <s v="FSDUpdate"/>
    <s v="Hashtags_2"/>
    <x v="2"/>
  </r>
  <r>
    <s v="P004"/>
    <s v="Instagram"/>
    <d v="2024-08-12T00:00:00"/>
    <s v="Story"/>
    <s v="Check out our latest story on instagram!"/>
    <n v="2404"/>
    <n v="363"/>
    <n v="138"/>
    <n v="19232"/>
    <n v="18636"/>
    <n v="128"/>
    <s v="SustainabilityDrive"/>
    <s v="Hashtags Used"/>
    <x v="5"/>
  </r>
  <r>
    <s v="P004"/>
    <s v="Instagram"/>
    <d v="2024-08-12T00:00:00"/>
    <s v="Story"/>
    <s v="Check out our latest story on instagram!"/>
    <n v="2404"/>
    <n v="363"/>
    <n v="138"/>
    <n v="19232"/>
    <n v="18636"/>
    <n v="128"/>
    <s v="SustainabilityDrive"/>
    <s v="Hashtags-1"/>
    <x v="2"/>
  </r>
  <r>
    <s v="P004"/>
    <s v="Instagram"/>
    <d v="2024-08-12T00:00:00"/>
    <s v="Story"/>
    <s v="Check out our latest story on instagram!"/>
    <n v="2404"/>
    <n v="363"/>
    <n v="138"/>
    <n v="19232"/>
    <n v="18636"/>
    <n v="128"/>
    <s v="SustainabilityDrive"/>
    <s v="Hashtags_2"/>
    <x v="2"/>
  </r>
  <r>
    <s v="P005"/>
    <s v="YouTube"/>
    <d v="2024-06-26T00:00:00"/>
    <s v="Reel"/>
    <s v="Check out our latest reel on youtube!"/>
    <n v="3557"/>
    <n v="687"/>
    <n v="424"/>
    <n v="71140"/>
    <n v="70701"/>
    <n v="224"/>
    <s v="CybertruckLaunch"/>
    <s v="Hashtags Used"/>
    <x v="5"/>
  </r>
  <r>
    <s v="P005"/>
    <s v="YouTube"/>
    <d v="2024-06-26T00:00:00"/>
    <s v="Reel"/>
    <s v="Check out our latest reel on youtube!"/>
    <n v="3557"/>
    <n v="687"/>
    <n v="424"/>
    <n v="71140"/>
    <n v="70701"/>
    <n v="224"/>
    <s v="CybertruckLaunch"/>
    <s v="Hashtags-1"/>
    <x v="3"/>
  </r>
  <r>
    <s v="P005"/>
    <s v="YouTube"/>
    <d v="2024-06-26T00:00:00"/>
    <s v="Reel"/>
    <s v="Check out our latest reel on youtube!"/>
    <n v="3557"/>
    <n v="687"/>
    <n v="424"/>
    <n v="71140"/>
    <n v="70701"/>
    <n v="224"/>
    <s v="CybertruckLaunch"/>
    <s v="Hashtags_2"/>
    <x v="2"/>
  </r>
  <r>
    <s v="P006"/>
    <s v="Facebook"/>
    <d v="2024-10-31T00:00:00"/>
    <s v="Carousel"/>
    <s v="Check out our latest carousel on facebook!"/>
    <n v="2945"/>
    <n v="930"/>
    <n v="355"/>
    <n v="23560"/>
    <n v="23275"/>
    <n v="256"/>
    <s v="ModelYCampaign"/>
    <s v="Hashtags Used"/>
    <x v="3"/>
  </r>
  <r>
    <s v="P006"/>
    <s v="Facebook"/>
    <d v="2024-10-31T00:00:00"/>
    <s v="Carousel"/>
    <s v="Check out our latest carousel on facebook!"/>
    <n v="2945"/>
    <n v="930"/>
    <n v="355"/>
    <n v="23560"/>
    <n v="23275"/>
    <n v="256"/>
    <s v="ModelYCampaign"/>
    <s v="Hashtags-1"/>
    <x v="2"/>
  </r>
  <r>
    <s v="P006"/>
    <s v="Facebook"/>
    <d v="2024-10-31T00:00:00"/>
    <s v="Carousel"/>
    <s v="Check out our latest carousel on facebook!"/>
    <n v="2945"/>
    <n v="930"/>
    <n v="355"/>
    <n v="23560"/>
    <n v="23275"/>
    <n v="256"/>
    <s v="ModelYCampaign"/>
    <s v="Hashtags_2"/>
    <x v="2"/>
  </r>
  <r>
    <s v="P007"/>
    <s v="Twitter"/>
    <d v="2024-06-24T00:00:00"/>
    <s v="Carousel"/>
    <s v="Check out our latest carousel on twitter!"/>
    <n v="3860"/>
    <n v="201"/>
    <n v="279"/>
    <n v="61760"/>
    <n v="61660"/>
    <n v="235"/>
    <s v="ModelYCampaign"/>
    <s v="Hashtags Used"/>
    <x v="3"/>
  </r>
  <r>
    <s v="P007"/>
    <s v="Twitter"/>
    <d v="2024-06-24T00:00:00"/>
    <s v="Carousel"/>
    <s v="Check out our latest carousel on twitter!"/>
    <n v="3860"/>
    <n v="201"/>
    <n v="279"/>
    <n v="61760"/>
    <n v="61660"/>
    <n v="235"/>
    <s v="ModelYCampaign"/>
    <s v="Hashtags-1"/>
    <x v="2"/>
  </r>
  <r>
    <s v="P007"/>
    <s v="Twitter"/>
    <d v="2024-06-24T00:00:00"/>
    <s v="Carousel"/>
    <s v="Check out our latest carousel on twitter!"/>
    <n v="3860"/>
    <n v="201"/>
    <n v="279"/>
    <n v="61760"/>
    <n v="61660"/>
    <n v="235"/>
    <s v="ModelYCampaign"/>
    <s v="Hashtags_2"/>
    <x v="2"/>
  </r>
  <r>
    <s v="P008"/>
    <s v="YouTube"/>
    <d v="2024-07-13T00:00:00"/>
    <s v="Image"/>
    <s v="Check out our latest image on youtube!"/>
    <n v="3929"/>
    <n v="262"/>
    <n v="278"/>
    <n v="43219"/>
    <n v="42841"/>
    <n v="39"/>
    <s v="SustainabilityDrive"/>
    <s v="Hashtags Used"/>
    <x v="5"/>
  </r>
  <r>
    <s v="P008"/>
    <s v="YouTube"/>
    <d v="2024-07-13T00:00:00"/>
    <s v="Image"/>
    <s v="Check out our latest image on youtube!"/>
    <n v="3929"/>
    <n v="262"/>
    <n v="278"/>
    <n v="43219"/>
    <n v="42841"/>
    <n v="39"/>
    <s v="SustainabilityDrive"/>
    <s v="Hashtags-1"/>
    <x v="2"/>
  </r>
  <r>
    <s v="P008"/>
    <s v="YouTube"/>
    <d v="2024-07-13T00:00:00"/>
    <s v="Image"/>
    <s v="Check out our latest image on youtube!"/>
    <n v="3929"/>
    <n v="262"/>
    <n v="278"/>
    <n v="43219"/>
    <n v="42841"/>
    <n v="39"/>
    <s v="SustainabilityDrive"/>
    <s v="Hashtags_2"/>
    <x v="2"/>
  </r>
  <r>
    <s v="P009"/>
    <s v="Facebook"/>
    <d v="2024-08-30T00:00:00"/>
    <s v="Text"/>
    <s v="Check out our latest text on facebook!"/>
    <n v="3784"/>
    <n v="808"/>
    <n v="404"/>
    <n v="56760"/>
    <n v="56343"/>
    <n v="131"/>
    <s v="ModelYCampaign"/>
    <s v="Hashtags Used"/>
    <x v="3"/>
  </r>
  <r>
    <s v="P009"/>
    <s v="Facebook"/>
    <d v="2024-08-30T00:00:00"/>
    <s v="Text"/>
    <s v="Check out our latest text on facebook!"/>
    <n v="3784"/>
    <n v="808"/>
    <n v="404"/>
    <n v="56760"/>
    <n v="56343"/>
    <n v="131"/>
    <s v="ModelYCampaign"/>
    <s v="Hashtags-1"/>
    <x v="2"/>
  </r>
  <r>
    <s v="P009"/>
    <s v="Facebook"/>
    <d v="2024-08-30T00:00:00"/>
    <s v="Text"/>
    <s v="Check out our latest text on facebook!"/>
    <n v="3784"/>
    <n v="808"/>
    <n v="404"/>
    <n v="56760"/>
    <n v="56343"/>
    <n v="131"/>
    <s v="ModelYCampaign"/>
    <s v="Hashtags_2"/>
    <x v="2"/>
  </r>
  <r>
    <s v="P010"/>
    <s v="Facebook"/>
    <d v="2025-03-11T00:00:00"/>
    <s v="Image"/>
    <s v="Check out our latest image on facebook!"/>
    <n v="4241"/>
    <n v="902"/>
    <n v="47"/>
    <n v="72097"/>
    <n v="71598"/>
    <n v="167"/>
    <s v="ModelYCampaign"/>
    <s v="Hashtags Used"/>
    <x v="3"/>
  </r>
  <r>
    <s v="P010"/>
    <s v="Facebook"/>
    <d v="2025-03-11T00:00:00"/>
    <s v="Image"/>
    <s v="Check out our latest image on facebook!"/>
    <n v="4241"/>
    <n v="902"/>
    <n v="47"/>
    <n v="72097"/>
    <n v="71598"/>
    <n v="167"/>
    <s v="ModelYCampaign"/>
    <s v="Hashtags-1"/>
    <x v="2"/>
  </r>
  <r>
    <s v="P010"/>
    <s v="Facebook"/>
    <d v="2025-03-11T00:00:00"/>
    <s v="Image"/>
    <s v="Check out our latest image on facebook!"/>
    <n v="4241"/>
    <n v="902"/>
    <n v="47"/>
    <n v="72097"/>
    <n v="71598"/>
    <n v="167"/>
    <s v="ModelYCampaign"/>
    <s v="Hashtags_2"/>
    <x v="2"/>
  </r>
  <r>
    <s v="P011"/>
    <s v="Instagram"/>
    <d v="2025-02-02T00:00:00"/>
    <s v="Story"/>
    <s v="Check out our latest story on instagram!"/>
    <n v="1792"/>
    <n v="614"/>
    <n v="497"/>
    <n v="25088"/>
    <n v="24675"/>
    <n v="65"/>
    <s v="SustainabilityDrive"/>
    <s v="Hashtags Used"/>
    <x v="0"/>
  </r>
  <r>
    <s v="P011"/>
    <s v="Instagram"/>
    <d v="2025-02-02T00:00:00"/>
    <s v="Story"/>
    <s v="Check out our latest story on instagram!"/>
    <n v="1792"/>
    <n v="614"/>
    <n v="497"/>
    <n v="25088"/>
    <n v="24675"/>
    <n v="65"/>
    <s v="SustainabilityDrive"/>
    <s v="Hashtags-1"/>
    <x v="2"/>
  </r>
  <r>
    <s v="P011"/>
    <s v="Instagram"/>
    <d v="2025-02-02T00:00:00"/>
    <s v="Story"/>
    <s v="Check out our latest story on instagram!"/>
    <n v="1792"/>
    <n v="614"/>
    <n v="497"/>
    <n v="25088"/>
    <n v="24675"/>
    <n v="65"/>
    <s v="SustainabilityDrive"/>
    <s v="Hashtags_2"/>
    <x v="2"/>
  </r>
  <r>
    <s v="P012"/>
    <s v="Facebook"/>
    <d v="2024-07-21T00:00:00"/>
    <s v="Reel"/>
    <s v="Check out our latest reel on facebook!"/>
    <n v="1946"/>
    <n v="686"/>
    <n v="377"/>
    <n v="23352"/>
    <n v="22982"/>
    <n v="213"/>
    <s v="FSDUpdate"/>
    <s v="Hashtags Used"/>
    <x v="0"/>
  </r>
  <r>
    <s v="P012"/>
    <s v="Facebook"/>
    <d v="2024-07-21T00:00:00"/>
    <s v="Reel"/>
    <s v="Check out our latest reel on facebook!"/>
    <n v="1946"/>
    <n v="686"/>
    <n v="377"/>
    <n v="23352"/>
    <n v="22982"/>
    <n v="213"/>
    <s v="FSDUpdate"/>
    <s v="Hashtags-1"/>
    <x v="2"/>
  </r>
  <r>
    <s v="P012"/>
    <s v="Facebook"/>
    <d v="2024-07-21T00:00:00"/>
    <s v="Reel"/>
    <s v="Check out our latest reel on facebook!"/>
    <n v="1946"/>
    <n v="686"/>
    <n v="377"/>
    <n v="23352"/>
    <n v="22982"/>
    <n v="213"/>
    <s v="FSDUpdate"/>
    <s v="Hashtags_2"/>
    <x v="2"/>
  </r>
  <r>
    <s v="P013"/>
    <s v="YouTube"/>
    <d v="2024-11-18T00:00:00"/>
    <s v="Carousel"/>
    <s v="Check out our latest carousel on youtube!"/>
    <n v="1171"/>
    <n v="286"/>
    <n v="231"/>
    <n v="22249"/>
    <n v="21282"/>
    <n v="114"/>
    <s v="CybertruckLaunch"/>
    <s v="Hashtags Used"/>
    <x v="5"/>
  </r>
  <r>
    <s v="P013"/>
    <s v="YouTube"/>
    <d v="2024-11-18T00:00:00"/>
    <s v="Carousel"/>
    <s v="Check out our latest carousel on youtube!"/>
    <n v="1171"/>
    <n v="286"/>
    <n v="231"/>
    <n v="22249"/>
    <n v="21282"/>
    <n v="114"/>
    <s v="CybertruckLaunch"/>
    <s v="Hashtags-1"/>
    <x v="2"/>
  </r>
  <r>
    <s v="P013"/>
    <s v="YouTube"/>
    <d v="2024-11-18T00:00:00"/>
    <s v="Carousel"/>
    <s v="Check out our latest carousel on youtube!"/>
    <n v="1171"/>
    <n v="286"/>
    <n v="231"/>
    <n v="22249"/>
    <n v="21282"/>
    <n v="114"/>
    <s v="CybertruckLaunch"/>
    <s v="Hashtags_2"/>
    <x v="2"/>
  </r>
  <r>
    <s v="P014"/>
    <s v="Facebook"/>
    <d v="2025-02-16T00:00:00"/>
    <s v="Story"/>
    <s v="Check out our latest story on facebook!"/>
    <n v="4242"/>
    <n v="555"/>
    <n v="131"/>
    <n v="33936"/>
    <n v="33802"/>
    <n v="265"/>
    <s v="unknown"/>
    <s v="Hashtags Used"/>
    <x v="0"/>
  </r>
  <r>
    <s v="P014"/>
    <s v="Facebook"/>
    <d v="2025-02-16T00:00:00"/>
    <s v="Story"/>
    <s v="Check out our latest story on facebook!"/>
    <n v="4242"/>
    <n v="555"/>
    <n v="131"/>
    <n v="33936"/>
    <n v="33802"/>
    <n v="265"/>
    <s v="unknown"/>
    <s v="Hashtags-1"/>
    <x v="2"/>
  </r>
  <r>
    <s v="P014"/>
    <s v="Facebook"/>
    <d v="2025-02-16T00:00:00"/>
    <s v="Story"/>
    <s v="Check out our latest story on facebook!"/>
    <n v="4242"/>
    <n v="555"/>
    <n v="131"/>
    <n v="33936"/>
    <n v="33802"/>
    <n v="265"/>
    <s v="unknown"/>
    <s v="Hashtags_2"/>
    <x v="2"/>
  </r>
  <r>
    <s v="P015"/>
    <s v="Facebook"/>
    <d v="2024-10-24T00:00:00"/>
    <s v="Video"/>
    <s v="Check out our latest video on facebook!"/>
    <n v="3888"/>
    <n v="604"/>
    <n v="128"/>
    <n v="77760"/>
    <n v="77167"/>
    <n v="20"/>
    <s v="CybertruckLaunch"/>
    <s v="Hashtags Used"/>
    <x v="0"/>
  </r>
  <r>
    <s v="P015"/>
    <s v="Facebook"/>
    <d v="2024-10-24T00:00:00"/>
    <s v="Video"/>
    <s v="Check out our latest video on facebook!"/>
    <n v="3888"/>
    <n v="604"/>
    <n v="128"/>
    <n v="77760"/>
    <n v="77167"/>
    <n v="20"/>
    <s v="CybertruckLaunch"/>
    <s v="Hashtags-1"/>
    <x v="2"/>
  </r>
  <r>
    <s v="P015"/>
    <s v="Facebook"/>
    <d v="2024-10-24T00:00:00"/>
    <s v="Video"/>
    <s v="Check out our latest video on facebook!"/>
    <n v="3888"/>
    <n v="604"/>
    <n v="128"/>
    <n v="77760"/>
    <n v="77167"/>
    <n v="20"/>
    <s v="CybertruckLaunch"/>
    <s v="Hashtags_2"/>
    <x v="2"/>
  </r>
  <r>
    <s v="P016"/>
    <s v="Facebook"/>
    <d v="2024-08-26T00:00:00"/>
    <s v="Text"/>
    <s v="Check out our latest text on facebook!"/>
    <n v="3452"/>
    <n v="377"/>
    <n v="360"/>
    <n v="55232"/>
    <n v="55075"/>
    <n v="87"/>
    <s v="FSDUpdate"/>
    <s v="Hashtags Used"/>
    <x v="0"/>
  </r>
  <r>
    <s v="P016"/>
    <s v="Facebook"/>
    <d v="2024-08-26T00:00:00"/>
    <s v="Text"/>
    <s v="Check out our latest text on facebook!"/>
    <n v="3452"/>
    <n v="377"/>
    <n v="360"/>
    <n v="55232"/>
    <n v="55075"/>
    <n v="87"/>
    <s v="FSDUpdate"/>
    <s v="Hashtags-1"/>
    <x v="2"/>
  </r>
  <r>
    <s v="P016"/>
    <s v="Facebook"/>
    <d v="2024-08-26T00:00:00"/>
    <s v="Text"/>
    <s v="Check out our latest text on facebook!"/>
    <n v="3452"/>
    <n v="377"/>
    <n v="360"/>
    <n v="55232"/>
    <n v="55075"/>
    <n v="87"/>
    <s v="FSDUpdate"/>
    <s v="Hashtags_2"/>
    <x v="2"/>
  </r>
  <r>
    <s v="P017"/>
    <s v="Facebook"/>
    <d v="2025-05-05T00:00:00"/>
    <s v="Text"/>
    <s v="Check out our latest text on facebook!"/>
    <n v="4441"/>
    <n v="511"/>
    <n v="70"/>
    <n v="53292"/>
    <n v="53082"/>
    <n v="159"/>
    <s v="SustainabilityDrive"/>
    <s v="Hashtags Used"/>
    <x v="5"/>
  </r>
  <r>
    <s v="P017"/>
    <s v="Facebook"/>
    <d v="2025-05-05T00:00:00"/>
    <s v="Text"/>
    <s v="Check out our latest text on facebook!"/>
    <n v="4441"/>
    <n v="511"/>
    <n v="70"/>
    <n v="53292"/>
    <n v="53082"/>
    <n v="159"/>
    <s v="SustainabilityDrive"/>
    <s v="Hashtags-1"/>
    <x v="2"/>
  </r>
  <r>
    <s v="P017"/>
    <s v="Facebook"/>
    <d v="2025-05-05T00:00:00"/>
    <s v="Text"/>
    <s v="Check out our latest text on facebook!"/>
    <n v="4441"/>
    <n v="511"/>
    <n v="70"/>
    <n v="53292"/>
    <n v="53082"/>
    <n v="159"/>
    <s v="SustainabilityDrive"/>
    <s v="Hashtags_2"/>
    <x v="2"/>
  </r>
  <r>
    <s v="P018"/>
    <s v="Instagram"/>
    <d v="2024-08-19T00:00:00"/>
    <s v="Reel"/>
    <s v="Check out our latest reel on instagram!"/>
    <n v="3000"/>
    <n v="382"/>
    <n v="325"/>
    <n v="36000"/>
    <n v="35819"/>
    <n v="19"/>
    <s v="CybertruckLaunch"/>
    <s v="Hashtags Used"/>
    <x v="0"/>
  </r>
  <r>
    <s v="P018"/>
    <s v="Instagram"/>
    <d v="2024-08-19T00:00:00"/>
    <s v="Reel"/>
    <s v="Check out our latest reel on instagram!"/>
    <n v="3000"/>
    <n v="382"/>
    <n v="325"/>
    <n v="36000"/>
    <n v="35819"/>
    <n v="19"/>
    <s v="CybertruckLaunch"/>
    <s v="Hashtags-1"/>
    <x v="2"/>
  </r>
  <r>
    <s v="P018"/>
    <s v="Instagram"/>
    <d v="2024-08-19T00:00:00"/>
    <s v="Reel"/>
    <s v="Check out our latest reel on instagram!"/>
    <n v="3000"/>
    <n v="382"/>
    <n v="325"/>
    <n v="36000"/>
    <n v="35819"/>
    <n v="19"/>
    <s v="CybertruckLaunch"/>
    <s v="Hashtags_2"/>
    <x v="2"/>
  </r>
  <r>
    <s v="P019"/>
    <s v="Instagram"/>
    <d v="2024-06-23T00:00:00"/>
    <s v="Video"/>
    <s v="Check out our latest video on instagram!"/>
    <n v="1071"/>
    <n v="519"/>
    <n v="22"/>
    <n v="16065"/>
    <n v="15865"/>
    <n v="103"/>
    <s v="SustainabilityDrive"/>
    <s v="Hashtags Used"/>
    <x v="3"/>
  </r>
  <r>
    <s v="P019"/>
    <s v="Instagram"/>
    <d v="2024-06-23T00:00:00"/>
    <s v="Video"/>
    <s v="Check out our latest video on instagram!"/>
    <n v="1071"/>
    <n v="519"/>
    <n v="22"/>
    <n v="16065"/>
    <n v="15865"/>
    <n v="103"/>
    <s v="SustainabilityDrive"/>
    <s v="Hashtags-1"/>
    <x v="2"/>
  </r>
  <r>
    <s v="P019"/>
    <s v="Instagram"/>
    <d v="2024-06-23T00:00:00"/>
    <s v="Video"/>
    <s v="Check out our latest video on instagram!"/>
    <n v="1071"/>
    <n v="519"/>
    <n v="22"/>
    <n v="16065"/>
    <n v="15865"/>
    <n v="103"/>
    <s v="SustainabilityDrive"/>
    <s v="Hashtags_2"/>
    <x v="2"/>
  </r>
  <r>
    <s v="P020"/>
    <s v="Instagram"/>
    <d v="2024-09-09T00:00:00"/>
    <s v="Carousel"/>
    <s v="Check out our latest carousel on instagram!"/>
    <n v="4054"/>
    <n v="488"/>
    <n v="373"/>
    <n v="77026"/>
    <n v="76881"/>
    <n v="25"/>
    <s v="CybertruckLaunch"/>
    <s v="Hashtags Used"/>
    <x v="3"/>
  </r>
  <r>
    <s v="P020"/>
    <s v="Instagram"/>
    <d v="2024-09-09T00:00:00"/>
    <s v="Carousel"/>
    <s v="Check out our latest carousel on instagram!"/>
    <n v="4054"/>
    <n v="488"/>
    <n v="373"/>
    <n v="77026"/>
    <n v="76881"/>
    <n v="25"/>
    <s v="CybertruckLaunch"/>
    <s v="Hashtags-1"/>
    <x v="2"/>
  </r>
  <r>
    <s v="P020"/>
    <s v="Instagram"/>
    <d v="2024-09-09T00:00:00"/>
    <s v="Carousel"/>
    <s v="Check out our latest carousel on instagram!"/>
    <n v="4054"/>
    <n v="488"/>
    <n v="373"/>
    <n v="77026"/>
    <n v="76881"/>
    <n v="25"/>
    <s v="CybertruckLaunch"/>
    <s v="Hashtags_2"/>
    <x v="2"/>
  </r>
  <r>
    <s v="P021"/>
    <s v="Instagram"/>
    <d v="2025-01-04T00:00:00"/>
    <s v="Reel"/>
    <s v="Check out our latest reel on instagram!"/>
    <n v="4838"/>
    <n v="640"/>
    <n v="128"/>
    <n v="72570"/>
    <n v="72396"/>
    <n v="83"/>
    <s v="SustainabilityDrive"/>
    <s v="Hashtags Used"/>
    <x v="0"/>
  </r>
  <r>
    <s v="P021"/>
    <s v="Instagram"/>
    <d v="2025-01-04T00:00:00"/>
    <s v="Reel"/>
    <s v="Check out our latest reel on instagram!"/>
    <n v="4838"/>
    <n v="640"/>
    <n v="128"/>
    <n v="72570"/>
    <n v="72396"/>
    <n v="83"/>
    <s v="SustainabilityDrive"/>
    <s v="Hashtags-1"/>
    <x v="2"/>
  </r>
  <r>
    <s v="P021"/>
    <s v="Instagram"/>
    <d v="2025-01-04T00:00:00"/>
    <s v="Reel"/>
    <s v="Check out our latest reel on instagram!"/>
    <n v="4838"/>
    <n v="640"/>
    <n v="128"/>
    <n v="72570"/>
    <n v="72396"/>
    <n v="83"/>
    <s v="SustainabilityDrive"/>
    <s v="Hashtags_2"/>
    <x v="2"/>
  </r>
  <r>
    <s v="P022"/>
    <s v="Facebook"/>
    <d v="2025-02-27T00:00:00"/>
    <s v="Text"/>
    <s v="Check out our latest text on facebook!"/>
    <n v="1570"/>
    <n v="187"/>
    <n v="260"/>
    <n v="25120"/>
    <n v="24613"/>
    <n v="133"/>
    <s v="SustainabilityDrive"/>
    <s v="Hashtags Used"/>
    <x v="3"/>
  </r>
  <r>
    <s v="P022"/>
    <s v="Facebook"/>
    <d v="2025-02-27T00:00:00"/>
    <s v="Text"/>
    <s v="Check out our latest text on facebook!"/>
    <n v="1570"/>
    <n v="187"/>
    <n v="260"/>
    <n v="25120"/>
    <n v="24613"/>
    <n v="133"/>
    <s v="SustainabilityDrive"/>
    <s v="Hashtags-1"/>
    <x v="2"/>
  </r>
  <r>
    <s v="P022"/>
    <s v="Facebook"/>
    <d v="2025-02-27T00:00:00"/>
    <s v="Text"/>
    <s v="Check out our latest text on facebook!"/>
    <n v="1570"/>
    <n v="187"/>
    <n v="260"/>
    <n v="25120"/>
    <n v="24613"/>
    <n v="133"/>
    <s v="SustainabilityDrive"/>
    <s v="Hashtags_2"/>
    <x v="2"/>
  </r>
  <r>
    <s v="P023"/>
    <s v="Facebook"/>
    <d v="2024-11-06T00:00:00"/>
    <s v="Video"/>
    <s v="Check out our latest video on facebook!"/>
    <n v="1606"/>
    <n v="547"/>
    <n v="316"/>
    <n v="32120"/>
    <n v="31736"/>
    <n v="225"/>
    <s v="ModelYCampaign"/>
    <s v="Hashtags Used"/>
    <x v="3"/>
  </r>
  <r>
    <s v="P023"/>
    <s v="Facebook"/>
    <d v="2024-11-06T00:00:00"/>
    <s v="Video"/>
    <s v="Check out our latest video on facebook!"/>
    <n v="1606"/>
    <n v="547"/>
    <n v="316"/>
    <n v="32120"/>
    <n v="31736"/>
    <n v="225"/>
    <s v="ModelYCampaign"/>
    <s v="Hashtags-1"/>
    <x v="1"/>
  </r>
  <r>
    <s v="P023"/>
    <s v="Facebook"/>
    <d v="2024-11-06T00:00:00"/>
    <s v="Video"/>
    <s v="Check out our latest video on facebook!"/>
    <n v="1606"/>
    <n v="547"/>
    <n v="316"/>
    <n v="32120"/>
    <n v="31736"/>
    <n v="225"/>
    <s v="ModelYCampaign"/>
    <s v="Hashtags_2"/>
    <x v="2"/>
  </r>
  <r>
    <s v="P024"/>
    <s v="Facebook"/>
    <d v="2025-01-23T00:00:00"/>
    <s v="Video"/>
    <s v="Check out our latest video on facebook!"/>
    <n v="3961"/>
    <n v="761"/>
    <n v="131"/>
    <n v="67337"/>
    <n v="66615"/>
    <n v="161"/>
    <s v="FSDUpdate"/>
    <s v="Hashtags Used"/>
    <x v="0"/>
  </r>
  <r>
    <s v="P024"/>
    <s v="Facebook"/>
    <d v="2025-01-23T00:00:00"/>
    <s v="Video"/>
    <s v="Check out our latest video on facebook!"/>
    <n v="3961"/>
    <n v="761"/>
    <n v="131"/>
    <n v="67337"/>
    <n v="66615"/>
    <n v="161"/>
    <s v="FSDUpdate"/>
    <s v="Hashtags-1"/>
    <x v="2"/>
  </r>
  <r>
    <s v="P024"/>
    <s v="Facebook"/>
    <d v="2025-01-23T00:00:00"/>
    <s v="Video"/>
    <s v="Check out our latest video on facebook!"/>
    <n v="3961"/>
    <n v="761"/>
    <n v="131"/>
    <n v="67337"/>
    <n v="66615"/>
    <n v="161"/>
    <s v="FSDUpdate"/>
    <s v="Hashtags_2"/>
    <x v="2"/>
  </r>
  <r>
    <s v="P025"/>
    <s v="Twitter"/>
    <d v="2025-04-10T00:00:00"/>
    <s v="Carousel"/>
    <s v="Check out our latest carousel on twitter!"/>
    <n v="3128"/>
    <n v="211"/>
    <n v="197"/>
    <n v="59432"/>
    <n v="59182"/>
    <n v="238"/>
    <s v="unknown"/>
    <s v="Hashtags Used"/>
    <x v="5"/>
  </r>
  <r>
    <s v="P025"/>
    <s v="Twitter"/>
    <d v="2025-04-10T00:00:00"/>
    <s v="Carousel"/>
    <s v="Check out our latest carousel on twitter!"/>
    <n v="3128"/>
    <n v="211"/>
    <n v="197"/>
    <n v="59432"/>
    <n v="59182"/>
    <n v="238"/>
    <s v="unknown"/>
    <s v="Hashtags-1"/>
    <x v="2"/>
  </r>
  <r>
    <s v="P025"/>
    <s v="Twitter"/>
    <d v="2025-04-10T00:00:00"/>
    <s v="Carousel"/>
    <s v="Check out our latest carousel on twitter!"/>
    <n v="3128"/>
    <n v="211"/>
    <n v="197"/>
    <n v="59432"/>
    <n v="59182"/>
    <n v="238"/>
    <s v="unknown"/>
    <s v="Hashtags_2"/>
    <x v="2"/>
  </r>
  <r>
    <s v="P026"/>
    <s v="YouTube"/>
    <d v="2025-04-05T00:00:00"/>
    <s v="Reel"/>
    <s v="Check out our latest reel on youtube!"/>
    <n v="3009"/>
    <n v="413"/>
    <n v="358"/>
    <n v="42126"/>
    <n v="41309"/>
    <n v="211"/>
    <s v="ModelYCampaign"/>
    <s v="Hashtags Used"/>
    <x v="0"/>
  </r>
  <r>
    <s v="P026"/>
    <s v="YouTube"/>
    <d v="2025-04-05T00:00:00"/>
    <s v="Reel"/>
    <s v="Check out our latest reel on youtube!"/>
    <n v="3009"/>
    <n v="413"/>
    <n v="358"/>
    <n v="42126"/>
    <n v="41309"/>
    <n v="211"/>
    <s v="ModelYCampaign"/>
    <s v="Hashtags-1"/>
    <x v="2"/>
  </r>
  <r>
    <s v="P026"/>
    <s v="YouTube"/>
    <d v="2025-04-05T00:00:00"/>
    <s v="Reel"/>
    <s v="Check out our latest reel on youtube!"/>
    <n v="3009"/>
    <n v="413"/>
    <n v="358"/>
    <n v="42126"/>
    <n v="41309"/>
    <n v="211"/>
    <s v="ModelYCampaign"/>
    <s v="Hashtags_2"/>
    <x v="2"/>
  </r>
  <r>
    <s v="P027"/>
    <s v="YouTube"/>
    <d v="2024-09-17T00:00:00"/>
    <s v="Text"/>
    <s v="Check out our latest text on youtube!"/>
    <n v="2076"/>
    <n v="195"/>
    <n v="104"/>
    <n v="33216"/>
    <n v="32244"/>
    <n v="51"/>
    <s v="SustainabilityDrive"/>
    <s v="Hashtags Used"/>
    <x v="0"/>
  </r>
  <r>
    <s v="P027"/>
    <s v="YouTube"/>
    <d v="2024-09-17T00:00:00"/>
    <s v="Text"/>
    <s v="Check out our latest text on youtube!"/>
    <n v="2076"/>
    <n v="195"/>
    <n v="104"/>
    <n v="33216"/>
    <n v="32244"/>
    <n v="51"/>
    <s v="SustainabilityDrive"/>
    <s v="Hashtags-1"/>
    <x v="2"/>
  </r>
  <r>
    <s v="P027"/>
    <s v="YouTube"/>
    <d v="2024-09-17T00:00:00"/>
    <s v="Text"/>
    <s v="Check out our latest text on youtube!"/>
    <n v="2076"/>
    <n v="195"/>
    <n v="104"/>
    <n v="33216"/>
    <n v="32244"/>
    <n v="51"/>
    <s v="SustainabilityDrive"/>
    <s v="Hashtags_2"/>
    <x v="2"/>
  </r>
  <r>
    <s v="P028"/>
    <s v="Instagram"/>
    <d v="2025-03-04T00:00:00"/>
    <s v="Video"/>
    <s v="Check out our latest video on instagram!"/>
    <n v="432"/>
    <n v="624"/>
    <n v="123"/>
    <n v="6912"/>
    <n v="6259"/>
    <n v="79"/>
    <s v="SustainabilityDrive"/>
    <s v="Hashtags Used"/>
    <x v="0"/>
  </r>
  <r>
    <s v="P028"/>
    <s v="Instagram"/>
    <d v="2025-03-04T00:00:00"/>
    <s v="Video"/>
    <s v="Check out our latest video on instagram!"/>
    <n v="432"/>
    <n v="624"/>
    <n v="123"/>
    <n v="6912"/>
    <n v="6259"/>
    <n v="79"/>
    <s v="SustainabilityDrive"/>
    <s v="Hashtags-1"/>
    <x v="2"/>
  </r>
  <r>
    <s v="P028"/>
    <s v="Instagram"/>
    <d v="2025-03-04T00:00:00"/>
    <s v="Video"/>
    <s v="Check out our latest video on instagram!"/>
    <n v="432"/>
    <n v="624"/>
    <n v="123"/>
    <n v="6912"/>
    <n v="6259"/>
    <n v="79"/>
    <s v="SustainabilityDrive"/>
    <s v="Hashtags_2"/>
    <x v="2"/>
  </r>
  <r>
    <s v="P029"/>
    <s v="Instagram"/>
    <d v="2025-01-31T00:00:00"/>
    <s v="Carousel"/>
    <s v="Check out our latest carousel on instagram!"/>
    <n v="2566"/>
    <n v="118"/>
    <n v="37"/>
    <n v="12830"/>
    <n v="12264"/>
    <n v="221"/>
    <s v="FSDUpdate"/>
    <s v="Hashtags Used"/>
    <x v="0"/>
  </r>
  <r>
    <s v="P029"/>
    <s v="Instagram"/>
    <d v="2025-01-31T00:00:00"/>
    <s v="Carousel"/>
    <s v="Check out our latest carousel on instagram!"/>
    <n v="2566"/>
    <n v="118"/>
    <n v="37"/>
    <n v="12830"/>
    <n v="12264"/>
    <n v="221"/>
    <s v="FSDUpdate"/>
    <s v="Hashtags-1"/>
    <x v="2"/>
  </r>
  <r>
    <s v="P029"/>
    <s v="Instagram"/>
    <d v="2025-01-31T00:00:00"/>
    <s v="Carousel"/>
    <s v="Check out our latest carousel on instagram!"/>
    <n v="2566"/>
    <n v="118"/>
    <n v="37"/>
    <n v="12830"/>
    <n v="12264"/>
    <n v="221"/>
    <s v="FSDUpdate"/>
    <s v="Hashtags_2"/>
    <x v="2"/>
  </r>
  <r>
    <s v="P030"/>
    <s v="Instagram"/>
    <d v="2025-02-25T00:00:00"/>
    <s v="Video"/>
    <s v="Check out our latest video on instagram!"/>
    <n v="3095"/>
    <n v="39"/>
    <n v="78"/>
    <n v="55710"/>
    <n v="54808"/>
    <n v="93"/>
    <s v="unknown"/>
    <s v="Hashtags Used"/>
    <x v="5"/>
  </r>
  <r>
    <s v="P030"/>
    <s v="Instagram"/>
    <d v="2025-02-25T00:00:00"/>
    <s v="Video"/>
    <s v="Check out our latest video on instagram!"/>
    <n v="3095"/>
    <n v="39"/>
    <n v="78"/>
    <n v="55710"/>
    <n v="54808"/>
    <n v="93"/>
    <s v="unknown"/>
    <s v="Hashtags-1"/>
    <x v="2"/>
  </r>
  <r>
    <s v="P030"/>
    <s v="Instagram"/>
    <d v="2025-02-25T00:00:00"/>
    <s v="Video"/>
    <s v="Check out our latest video on instagram!"/>
    <n v="3095"/>
    <n v="39"/>
    <n v="78"/>
    <n v="55710"/>
    <n v="54808"/>
    <n v="93"/>
    <s v="unknown"/>
    <s v="Hashtags_2"/>
    <x v="2"/>
  </r>
  <r>
    <s v="P031"/>
    <s v="Instagram"/>
    <d v="2024-12-16T00:00:00"/>
    <s v="Text"/>
    <s v="Check out our latest text on instagram!"/>
    <n v="438"/>
    <n v="153"/>
    <n v="275"/>
    <n v="3066"/>
    <n v="2701"/>
    <n v="282"/>
    <s v="ModelYCampaign"/>
    <s v="Hashtags Used"/>
    <x v="3"/>
  </r>
  <r>
    <s v="P031"/>
    <s v="Instagram"/>
    <d v="2024-12-16T00:00:00"/>
    <s v="Text"/>
    <s v="Check out our latest text on instagram!"/>
    <n v="438"/>
    <n v="153"/>
    <n v="275"/>
    <n v="3066"/>
    <n v="2701"/>
    <n v="282"/>
    <s v="ModelYCampaign"/>
    <s v="Hashtags-1"/>
    <x v="2"/>
  </r>
  <r>
    <s v="P031"/>
    <s v="Instagram"/>
    <d v="2024-12-16T00:00:00"/>
    <s v="Text"/>
    <s v="Check out our latest text on instagram!"/>
    <n v="438"/>
    <n v="153"/>
    <n v="275"/>
    <n v="3066"/>
    <n v="2701"/>
    <n v="282"/>
    <s v="ModelYCampaign"/>
    <s v="Hashtags_2"/>
    <x v="2"/>
  </r>
  <r>
    <s v="P032"/>
    <s v="Twitter"/>
    <d v="2024-07-31T00:00:00"/>
    <s v="Carousel"/>
    <s v="Check out our latest carousel on twitter!"/>
    <n v="2278"/>
    <n v="10"/>
    <n v="321"/>
    <n v="13668"/>
    <n v="12676"/>
    <n v="275"/>
    <s v="CybertruckLaunch"/>
    <s v="Hashtags Used"/>
    <x v="5"/>
  </r>
  <r>
    <s v="P032"/>
    <s v="Twitter"/>
    <d v="2024-07-31T00:00:00"/>
    <s v="Carousel"/>
    <s v="Check out our latest carousel on twitter!"/>
    <n v="2278"/>
    <n v="10"/>
    <n v="321"/>
    <n v="13668"/>
    <n v="12676"/>
    <n v="275"/>
    <s v="CybertruckLaunch"/>
    <s v="Hashtags-1"/>
    <x v="2"/>
  </r>
  <r>
    <s v="P032"/>
    <s v="Twitter"/>
    <d v="2024-07-31T00:00:00"/>
    <s v="Carousel"/>
    <s v="Check out our latest carousel on twitter!"/>
    <n v="2278"/>
    <n v="10"/>
    <n v="321"/>
    <n v="13668"/>
    <n v="12676"/>
    <n v="275"/>
    <s v="CybertruckLaunch"/>
    <s v="Hashtags_2"/>
    <x v="2"/>
  </r>
  <r>
    <s v="P033"/>
    <s v="Facebook"/>
    <d v="2024-08-21T00:00:00"/>
    <s v="Image"/>
    <s v="Check out our latest image on facebook!"/>
    <n v="1407"/>
    <n v="400"/>
    <n v="351"/>
    <n v="16884"/>
    <n v="15954"/>
    <n v="113"/>
    <s v="CybertruckLaunch"/>
    <s v="Hashtags Used"/>
    <x v="3"/>
  </r>
  <r>
    <s v="P033"/>
    <s v="Facebook"/>
    <d v="2024-08-21T00:00:00"/>
    <s v="Image"/>
    <s v="Check out our latest image on facebook!"/>
    <n v="1407"/>
    <n v="400"/>
    <n v="351"/>
    <n v="16884"/>
    <n v="15954"/>
    <n v="113"/>
    <s v="CybertruckLaunch"/>
    <s v="Hashtags-1"/>
    <x v="2"/>
  </r>
  <r>
    <s v="P033"/>
    <s v="Facebook"/>
    <d v="2024-08-21T00:00:00"/>
    <s v="Image"/>
    <s v="Check out our latest image on facebook!"/>
    <n v="1407"/>
    <n v="400"/>
    <n v="351"/>
    <n v="16884"/>
    <n v="15954"/>
    <n v="113"/>
    <s v="CybertruckLaunch"/>
    <s v="Hashtags_2"/>
    <x v="2"/>
  </r>
  <r>
    <s v="P034"/>
    <s v="Facebook"/>
    <d v="2025-03-26T00:00:00"/>
    <s v="Text"/>
    <s v="Check out our latest text on facebook!"/>
    <n v="1652"/>
    <n v="89"/>
    <n v="357"/>
    <n v="29736"/>
    <n v="28771"/>
    <n v="215"/>
    <s v="FSDUpdate"/>
    <s v="Hashtags Used"/>
    <x v="3"/>
  </r>
  <r>
    <s v="P034"/>
    <s v="Facebook"/>
    <d v="2025-03-26T00:00:00"/>
    <s v="Text"/>
    <s v="Check out our latest text on facebook!"/>
    <n v="1652"/>
    <n v="89"/>
    <n v="357"/>
    <n v="29736"/>
    <n v="28771"/>
    <n v="215"/>
    <s v="FSDUpdate"/>
    <s v="Hashtags-1"/>
    <x v="2"/>
  </r>
  <r>
    <s v="P034"/>
    <s v="Facebook"/>
    <d v="2025-03-26T00:00:00"/>
    <s v="Text"/>
    <s v="Check out our latest text on facebook!"/>
    <n v="1652"/>
    <n v="89"/>
    <n v="357"/>
    <n v="29736"/>
    <n v="28771"/>
    <n v="215"/>
    <s v="FSDUpdate"/>
    <s v="Hashtags_2"/>
    <x v="2"/>
  </r>
  <r>
    <s v="P035"/>
    <s v="Instagram"/>
    <d v="2024-11-30T00:00:00"/>
    <s v="Video"/>
    <s v="Check out our latest video on instagram!"/>
    <n v="3775"/>
    <n v="16"/>
    <n v="239"/>
    <n v="33975"/>
    <n v="33310"/>
    <n v="271"/>
    <s v="ModelYCampaign"/>
    <s v="Hashtags Used"/>
    <x v="0"/>
  </r>
  <r>
    <s v="P035"/>
    <s v="Instagram"/>
    <d v="2024-11-30T00:00:00"/>
    <s v="Video"/>
    <s v="Check out our latest video on instagram!"/>
    <n v="3775"/>
    <n v="16"/>
    <n v="239"/>
    <n v="33975"/>
    <n v="33310"/>
    <n v="271"/>
    <s v="ModelYCampaign"/>
    <s v="Hashtags-1"/>
    <x v="2"/>
  </r>
  <r>
    <s v="P035"/>
    <s v="Instagram"/>
    <d v="2024-11-30T00:00:00"/>
    <s v="Video"/>
    <s v="Check out our latest video on instagram!"/>
    <n v="3775"/>
    <n v="16"/>
    <n v="239"/>
    <n v="33975"/>
    <n v="33310"/>
    <n v="271"/>
    <s v="ModelYCampaign"/>
    <s v="Hashtags_2"/>
    <x v="2"/>
  </r>
  <r>
    <s v="P036"/>
    <s v="Instagram"/>
    <d v="2025-04-19T00:00:00"/>
    <s v="Story"/>
    <s v="Check out our latest story on instagram!"/>
    <n v="4518"/>
    <n v="285"/>
    <n v="383"/>
    <n v="67770"/>
    <n v="67621"/>
    <n v="31"/>
    <s v="ModelYCampaign"/>
    <s v="Hashtags Used"/>
    <x v="5"/>
  </r>
  <r>
    <s v="P036"/>
    <s v="Instagram"/>
    <d v="2025-04-19T00:00:00"/>
    <s v="Story"/>
    <s v="Check out our latest story on instagram!"/>
    <n v="4518"/>
    <n v="285"/>
    <n v="383"/>
    <n v="67770"/>
    <n v="67621"/>
    <n v="31"/>
    <s v="ModelYCampaign"/>
    <s v="Hashtags-1"/>
    <x v="2"/>
  </r>
  <r>
    <s v="P036"/>
    <s v="Instagram"/>
    <d v="2025-04-19T00:00:00"/>
    <s v="Story"/>
    <s v="Check out our latest story on instagram!"/>
    <n v="4518"/>
    <n v="285"/>
    <n v="383"/>
    <n v="67770"/>
    <n v="67621"/>
    <n v="31"/>
    <s v="ModelYCampaign"/>
    <s v="Hashtags_2"/>
    <x v="2"/>
  </r>
  <r>
    <s v="P037"/>
    <s v="Facebook"/>
    <d v="2025-01-06T00:00:00"/>
    <s v="Carousel"/>
    <s v="Check out our latest carousel on facebook!"/>
    <n v="3024"/>
    <n v="925"/>
    <n v="350"/>
    <n v="24192"/>
    <n v="23518"/>
    <n v="36"/>
    <s v="ModelYCampaign"/>
    <s v="Hashtags Used"/>
    <x v="5"/>
  </r>
  <r>
    <s v="P037"/>
    <s v="Facebook"/>
    <d v="2025-01-06T00:00:00"/>
    <s v="Carousel"/>
    <s v="Check out our latest carousel on facebook!"/>
    <n v="3024"/>
    <n v="925"/>
    <n v="350"/>
    <n v="24192"/>
    <n v="23518"/>
    <n v="36"/>
    <s v="ModelYCampaign"/>
    <s v="Hashtags-1"/>
    <x v="2"/>
  </r>
  <r>
    <s v="P037"/>
    <s v="Facebook"/>
    <d v="2025-01-06T00:00:00"/>
    <s v="Carousel"/>
    <s v="Check out our latest carousel on facebook!"/>
    <n v="3024"/>
    <n v="925"/>
    <n v="350"/>
    <n v="24192"/>
    <n v="23518"/>
    <n v="36"/>
    <s v="ModelYCampaign"/>
    <s v="Hashtags_2"/>
    <x v="2"/>
  </r>
  <r>
    <s v="P038"/>
    <s v="YouTube"/>
    <d v="2025-02-17T00:00:00"/>
    <s v="Reel"/>
    <s v="Check out our latest reel on youtube!"/>
    <n v="3138"/>
    <n v="123"/>
    <n v="291"/>
    <n v="28242"/>
    <n v="27550"/>
    <n v="87"/>
    <s v="SustainabilityDrive"/>
    <s v="Hashtags Used"/>
    <x v="3"/>
  </r>
  <r>
    <s v="P038"/>
    <s v="YouTube"/>
    <d v="2025-02-17T00:00:00"/>
    <s v="Reel"/>
    <s v="Check out our latest reel on youtube!"/>
    <n v="3138"/>
    <n v="123"/>
    <n v="291"/>
    <n v="28242"/>
    <n v="27550"/>
    <n v="87"/>
    <s v="SustainabilityDrive"/>
    <s v="Hashtags-1"/>
    <x v="2"/>
  </r>
  <r>
    <s v="P038"/>
    <s v="YouTube"/>
    <d v="2025-02-17T00:00:00"/>
    <s v="Reel"/>
    <s v="Check out our latest reel on youtube!"/>
    <n v="3138"/>
    <n v="123"/>
    <n v="291"/>
    <n v="28242"/>
    <n v="27550"/>
    <n v="87"/>
    <s v="SustainabilityDrive"/>
    <s v="Hashtags_2"/>
    <x v="2"/>
  </r>
  <r>
    <s v="P039"/>
    <s v="Facebook"/>
    <d v="2024-11-25T00:00:00"/>
    <s v="Image"/>
    <s v="Check out our latest image on facebook!"/>
    <n v="3564"/>
    <n v="629"/>
    <n v="177"/>
    <n v="60588"/>
    <n v="59627"/>
    <n v="92"/>
    <s v="unknown"/>
    <s v="Hashtags Used"/>
    <x v="3"/>
  </r>
  <r>
    <s v="P039"/>
    <s v="Facebook"/>
    <d v="2024-11-25T00:00:00"/>
    <s v="Image"/>
    <s v="Check out our latest image on facebook!"/>
    <n v="3564"/>
    <n v="629"/>
    <n v="177"/>
    <n v="60588"/>
    <n v="59627"/>
    <n v="92"/>
    <s v="unknown"/>
    <s v="Hashtags-1"/>
    <x v="2"/>
  </r>
  <r>
    <s v="P039"/>
    <s v="Facebook"/>
    <d v="2024-11-25T00:00:00"/>
    <s v="Image"/>
    <s v="Check out our latest image on facebook!"/>
    <n v="3564"/>
    <n v="629"/>
    <n v="177"/>
    <n v="60588"/>
    <n v="59627"/>
    <n v="92"/>
    <s v="unknown"/>
    <s v="Hashtags_2"/>
    <x v="2"/>
  </r>
  <r>
    <s v="P040"/>
    <s v="Twitter"/>
    <d v="2025-03-07T00:00:00"/>
    <s v="Image"/>
    <s v="Check out our latest image on twitter!"/>
    <n v="4750"/>
    <n v="151"/>
    <n v="415"/>
    <n v="38000"/>
    <n v="37792"/>
    <n v="299"/>
    <s v="SustainabilityDrive"/>
    <s v="Hashtags Used"/>
    <x v="5"/>
  </r>
  <r>
    <s v="P040"/>
    <s v="Twitter"/>
    <d v="2025-03-07T00:00:00"/>
    <s v="Image"/>
    <s v="Check out our latest image on twitter!"/>
    <n v="4750"/>
    <n v="151"/>
    <n v="415"/>
    <n v="38000"/>
    <n v="37792"/>
    <n v="299"/>
    <s v="SustainabilityDrive"/>
    <s v="Hashtags-1"/>
    <x v="2"/>
  </r>
  <r>
    <s v="P040"/>
    <s v="Twitter"/>
    <d v="2025-03-07T00:00:00"/>
    <s v="Image"/>
    <s v="Check out our latest image on twitter!"/>
    <n v="4750"/>
    <n v="151"/>
    <n v="415"/>
    <n v="38000"/>
    <n v="37792"/>
    <n v="299"/>
    <s v="SustainabilityDrive"/>
    <s v="Hashtags_2"/>
    <x v="2"/>
  </r>
  <r>
    <s v="P041"/>
    <s v="Instagram"/>
    <d v="2025-03-08T00:00:00"/>
    <s v="Reel"/>
    <s v="Check out our latest reel on instagram!"/>
    <n v="456"/>
    <n v="629"/>
    <n v="428"/>
    <n v="8208"/>
    <n v="7377"/>
    <n v="205"/>
    <s v="SustainabilityDrive"/>
    <s v="Hashtags Used"/>
    <x v="0"/>
  </r>
  <r>
    <s v="P041"/>
    <s v="Instagram"/>
    <d v="2025-03-08T00:00:00"/>
    <s v="Reel"/>
    <s v="Check out our latest reel on instagram!"/>
    <n v="456"/>
    <n v="629"/>
    <n v="428"/>
    <n v="8208"/>
    <n v="7377"/>
    <n v="205"/>
    <s v="SustainabilityDrive"/>
    <s v="Hashtags-1"/>
    <x v="2"/>
  </r>
  <r>
    <s v="P041"/>
    <s v="Instagram"/>
    <d v="2025-03-08T00:00:00"/>
    <s v="Reel"/>
    <s v="Check out our latest reel on instagram!"/>
    <n v="456"/>
    <n v="629"/>
    <n v="428"/>
    <n v="8208"/>
    <n v="7377"/>
    <n v="205"/>
    <s v="SustainabilityDrive"/>
    <s v="Hashtags_2"/>
    <x v="2"/>
  </r>
  <r>
    <s v="P042"/>
    <s v="YouTube"/>
    <d v="2025-03-05T00:00:00"/>
    <s v="Reel"/>
    <s v="Check out our latest reel on youtube!"/>
    <n v="1543"/>
    <n v="820"/>
    <n v="333"/>
    <n v="12344"/>
    <n v="11496"/>
    <n v="241"/>
    <s v="unknown"/>
    <s v="Hashtags Used"/>
    <x v="5"/>
  </r>
  <r>
    <s v="P042"/>
    <s v="YouTube"/>
    <d v="2025-03-05T00:00:00"/>
    <s v="Reel"/>
    <s v="Check out our latest reel on youtube!"/>
    <n v="1543"/>
    <n v="820"/>
    <n v="333"/>
    <n v="12344"/>
    <n v="11496"/>
    <n v="241"/>
    <s v="unknown"/>
    <s v="Hashtags-1"/>
    <x v="2"/>
  </r>
  <r>
    <s v="P042"/>
    <s v="YouTube"/>
    <d v="2025-03-05T00:00:00"/>
    <s v="Reel"/>
    <s v="Check out our latest reel on youtube!"/>
    <n v="1543"/>
    <n v="820"/>
    <n v="333"/>
    <n v="12344"/>
    <n v="11496"/>
    <n v="241"/>
    <s v="unknown"/>
    <s v="Hashtags_2"/>
    <x v="2"/>
  </r>
  <r>
    <s v="P043"/>
    <s v="Instagram"/>
    <d v="2024-12-14T00:00:00"/>
    <s v="Carousel"/>
    <s v="Check out our latest carousel on instagram!"/>
    <n v="2174"/>
    <n v="658"/>
    <n v="15"/>
    <n v="13044"/>
    <n v="12206"/>
    <n v="137"/>
    <s v="FSDUpdate"/>
    <s v="Hashtags Used"/>
    <x v="3"/>
  </r>
  <r>
    <s v="P043"/>
    <s v="Instagram"/>
    <d v="2024-12-14T00:00:00"/>
    <s v="Carousel"/>
    <s v="Check out our latest carousel on instagram!"/>
    <n v="2174"/>
    <n v="658"/>
    <n v="15"/>
    <n v="13044"/>
    <n v="12206"/>
    <n v="137"/>
    <s v="FSDUpdate"/>
    <s v="Hashtags-1"/>
    <x v="2"/>
  </r>
  <r>
    <s v="P043"/>
    <s v="Instagram"/>
    <d v="2024-12-14T00:00:00"/>
    <s v="Carousel"/>
    <s v="Check out our latest carousel on instagram!"/>
    <n v="2174"/>
    <n v="658"/>
    <n v="15"/>
    <n v="13044"/>
    <n v="12206"/>
    <n v="137"/>
    <s v="FSDUpdate"/>
    <s v="Hashtags_2"/>
    <x v="2"/>
  </r>
  <r>
    <s v="P044"/>
    <s v="Twitter"/>
    <d v="2025-03-02T00:00:00"/>
    <s v="Image"/>
    <s v="Check out our latest image on twitter!"/>
    <n v="2358"/>
    <n v="784"/>
    <n v="344"/>
    <n v="35370"/>
    <n v="34475"/>
    <n v="216"/>
    <s v="unknown"/>
    <s v="Hashtags Used"/>
    <x v="3"/>
  </r>
  <r>
    <s v="P044"/>
    <s v="Twitter"/>
    <d v="2025-03-02T00:00:00"/>
    <s v="Image"/>
    <s v="Check out our latest image on twitter!"/>
    <n v="2358"/>
    <n v="784"/>
    <n v="344"/>
    <n v="35370"/>
    <n v="34475"/>
    <n v="216"/>
    <s v="unknown"/>
    <s v="Hashtags-1"/>
    <x v="2"/>
  </r>
  <r>
    <s v="P044"/>
    <s v="Twitter"/>
    <d v="2025-03-02T00:00:00"/>
    <s v="Image"/>
    <s v="Check out our latest image on twitter!"/>
    <n v="2358"/>
    <n v="784"/>
    <n v="344"/>
    <n v="35370"/>
    <n v="34475"/>
    <n v="216"/>
    <s v="unknown"/>
    <s v="Hashtags_2"/>
    <x v="2"/>
  </r>
  <r>
    <s v="P045"/>
    <s v="Facebook"/>
    <d v="2024-11-01T00:00:00"/>
    <s v="Video"/>
    <s v="Check out our latest video on facebook!"/>
    <n v="3371"/>
    <n v="106"/>
    <n v="327"/>
    <n v="50565"/>
    <n v="49816"/>
    <n v="176"/>
    <s v="CybertruckLaunch"/>
    <s v="Hashtags Used"/>
    <x v="0"/>
  </r>
  <r>
    <s v="P045"/>
    <s v="Facebook"/>
    <d v="2024-11-01T00:00:00"/>
    <s v="Video"/>
    <s v="Check out our latest video on facebook!"/>
    <n v="3371"/>
    <n v="106"/>
    <n v="327"/>
    <n v="50565"/>
    <n v="49816"/>
    <n v="176"/>
    <s v="CybertruckLaunch"/>
    <s v="Hashtags-1"/>
    <x v="2"/>
  </r>
  <r>
    <s v="P045"/>
    <s v="Facebook"/>
    <d v="2024-11-01T00:00:00"/>
    <s v="Video"/>
    <s v="Check out our latest video on facebook!"/>
    <n v="3371"/>
    <n v="106"/>
    <n v="327"/>
    <n v="50565"/>
    <n v="49816"/>
    <n v="176"/>
    <s v="CybertruckLaunch"/>
    <s v="Hashtags_2"/>
    <x v="2"/>
  </r>
  <r>
    <s v="P046"/>
    <s v="Twitter"/>
    <d v="2025-05-02T00:00:00"/>
    <s v="Video"/>
    <s v="Check out our latest video on twitter!"/>
    <n v="1108"/>
    <n v="177"/>
    <n v="212"/>
    <n v="8864"/>
    <n v="8710"/>
    <n v="97"/>
    <s v="SustainabilityDrive"/>
    <s v="Hashtags Used"/>
    <x v="3"/>
  </r>
  <r>
    <s v="P046"/>
    <s v="Twitter"/>
    <d v="2025-05-02T00:00:00"/>
    <s v="Video"/>
    <s v="Check out our latest video on twitter!"/>
    <n v="1108"/>
    <n v="177"/>
    <n v="212"/>
    <n v="8864"/>
    <n v="8710"/>
    <n v="97"/>
    <s v="SustainabilityDrive"/>
    <s v="Hashtags-1"/>
    <x v="2"/>
  </r>
  <r>
    <s v="P046"/>
    <s v="Twitter"/>
    <d v="2025-05-02T00:00:00"/>
    <s v="Video"/>
    <s v="Check out our latest video on twitter!"/>
    <n v="1108"/>
    <n v="177"/>
    <n v="212"/>
    <n v="8864"/>
    <n v="8710"/>
    <n v="97"/>
    <s v="SustainabilityDrive"/>
    <s v="Hashtags_2"/>
    <x v="2"/>
  </r>
  <r>
    <s v="P047"/>
    <s v="Twitter"/>
    <d v="2025-02-24T00:00:00"/>
    <s v="Carousel"/>
    <s v="Check out our latest carousel on twitter!"/>
    <n v="2704"/>
    <n v="752"/>
    <n v="153"/>
    <n v="21632"/>
    <n v="20792"/>
    <n v="127"/>
    <s v="unknown"/>
    <s v="Hashtags Used"/>
    <x v="0"/>
  </r>
  <r>
    <s v="P047"/>
    <s v="Twitter"/>
    <d v="2025-02-24T00:00:00"/>
    <s v="Carousel"/>
    <s v="Check out our latest carousel on twitter!"/>
    <n v="2704"/>
    <n v="752"/>
    <n v="153"/>
    <n v="21632"/>
    <n v="20792"/>
    <n v="127"/>
    <s v="unknown"/>
    <s v="Hashtags-1"/>
    <x v="2"/>
  </r>
  <r>
    <s v="P047"/>
    <s v="Twitter"/>
    <d v="2025-02-24T00:00:00"/>
    <s v="Carousel"/>
    <s v="Check out our latest carousel on twitter!"/>
    <n v="2704"/>
    <n v="752"/>
    <n v="153"/>
    <n v="21632"/>
    <n v="20792"/>
    <n v="127"/>
    <s v="unknown"/>
    <s v="Hashtags_2"/>
    <x v="2"/>
  </r>
  <r>
    <s v="P048"/>
    <s v="Twitter"/>
    <d v="2025-03-11T00:00:00"/>
    <s v="Story"/>
    <s v="Check out our latest story on twitter!"/>
    <n v="1950"/>
    <n v="295"/>
    <n v="478"/>
    <n v="37050"/>
    <n v="36272"/>
    <n v="119"/>
    <s v="unknown"/>
    <s v="Hashtags Used"/>
    <x v="3"/>
  </r>
  <r>
    <s v="P048"/>
    <s v="Twitter"/>
    <d v="2025-03-11T00:00:00"/>
    <s v="Story"/>
    <s v="Check out our latest story on twitter!"/>
    <n v="1950"/>
    <n v="295"/>
    <n v="478"/>
    <n v="37050"/>
    <n v="36272"/>
    <n v="119"/>
    <s v="unknown"/>
    <s v="Hashtags-1"/>
    <x v="2"/>
  </r>
  <r>
    <s v="P048"/>
    <s v="Twitter"/>
    <d v="2025-03-11T00:00:00"/>
    <s v="Story"/>
    <s v="Check out our latest story on twitter!"/>
    <n v="1950"/>
    <n v="295"/>
    <n v="478"/>
    <n v="37050"/>
    <n v="36272"/>
    <n v="119"/>
    <s v="unknown"/>
    <s v="Hashtags_2"/>
    <x v="2"/>
  </r>
  <r>
    <s v="P049"/>
    <s v="Twitter"/>
    <d v="2024-06-10T00:00:00"/>
    <s v="Story"/>
    <s v="Check out our latest story on twitter!"/>
    <n v="2164"/>
    <n v="549"/>
    <n v="274"/>
    <n v="28132"/>
    <n v="27361"/>
    <n v="177"/>
    <s v="SustainabilityDrive"/>
    <s v="Hashtags Used"/>
    <x v="3"/>
  </r>
  <r>
    <s v="P049"/>
    <s v="Twitter"/>
    <d v="2024-06-10T00:00:00"/>
    <s v="Story"/>
    <s v="Check out our latest story on twitter!"/>
    <n v="2164"/>
    <n v="549"/>
    <n v="274"/>
    <n v="28132"/>
    <n v="27361"/>
    <n v="177"/>
    <s v="SustainabilityDrive"/>
    <s v="Hashtags-1"/>
    <x v="2"/>
  </r>
  <r>
    <s v="P049"/>
    <s v="Twitter"/>
    <d v="2024-06-10T00:00:00"/>
    <s v="Story"/>
    <s v="Check out our latest story on twitter!"/>
    <n v="2164"/>
    <n v="549"/>
    <n v="274"/>
    <n v="28132"/>
    <n v="27361"/>
    <n v="177"/>
    <s v="SustainabilityDrive"/>
    <s v="Hashtags_2"/>
    <x v="2"/>
  </r>
  <r>
    <s v="P050"/>
    <s v="YouTube"/>
    <d v="2024-07-03T00:00:00"/>
    <s v="Story"/>
    <s v="Check out our latest story on youtube!"/>
    <n v="2754"/>
    <n v="130"/>
    <n v="90"/>
    <n v="22032"/>
    <n v="21288"/>
    <n v="112"/>
    <s v="FSDUpdate"/>
    <s v="Hashtags Used"/>
    <x v="3"/>
  </r>
  <r>
    <s v="P050"/>
    <s v="YouTube"/>
    <d v="2024-07-03T00:00:00"/>
    <s v="Story"/>
    <s v="Check out our latest story on youtube!"/>
    <n v="2754"/>
    <n v="130"/>
    <n v="90"/>
    <n v="22032"/>
    <n v="21288"/>
    <n v="112"/>
    <s v="FSDUpdate"/>
    <s v="Hashtags-1"/>
    <x v="2"/>
  </r>
  <r>
    <s v="P050"/>
    <s v="YouTube"/>
    <d v="2024-07-03T00:00:00"/>
    <s v="Story"/>
    <s v="Check out our latest story on youtube!"/>
    <n v="2754"/>
    <n v="130"/>
    <n v="90"/>
    <n v="22032"/>
    <n v="21288"/>
    <n v="112"/>
    <s v="FSDUpdate"/>
    <s v="Hashtags_2"/>
    <x v="2"/>
  </r>
  <r>
    <s v="P051"/>
    <s v="Facebook"/>
    <d v="2024-06-13T00:00:00"/>
    <s v="Carousel"/>
    <s v="Check out our latest carousel on facebook!"/>
    <n v="2200"/>
    <n v="504"/>
    <n v="239"/>
    <n v="37400"/>
    <n v="36938"/>
    <n v="225"/>
    <s v="ModelYCampaign"/>
    <s v="Hashtags Used"/>
    <x v="0"/>
  </r>
  <r>
    <s v="P051"/>
    <s v="Facebook"/>
    <d v="2024-06-13T00:00:00"/>
    <s v="Carousel"/>
    <s v="Check out our latest carousel on facebook!"/>
    <n v="2200"/>
    <n v="504"/>
    <n v="239"/>
    <n v="37400"/>
    <n v="36938"/>
    <n v="225"/>
    <s v="ModelYCampaign"/>
    <s v="Hashtags-1"/>
    <x v="2"/>
  </r>
  <r>
    <s v="P051"/>
    <s v="Facebook"/>
    <d v="2024-06-13T00:00:00"/>
    <s v="Carousel"/>
    <s v="Check out our latest carousel on facebook!"/>
    <n v="2200"/>
    <n v="504"/>
    <n v="239"/>
    <n v="37400"/>
    <n v="36938"/>
    <n v="225"/>
    <s v="ModelYCampaign"/>
    <s v="Hashtags_2"/>
    <x v="2"/>
  </r>
  <r>
    <s v="P052"/>
    <s v="Facebook"/>
    <d v="2025-01-03T00:00:00"/>
    <s v="Image"/>
    <s v="Check out our latest image on facebook!"/>
    <n v="947"/>
    <n v="338"/>
    <n v="350"/>
    <n v="10417"/>
    <n v="9730"/>
    <n v="34"/>
    <s v="SustainabilityDrive"/>
    <s v="Hashtags Used"/>
    <x v="3"/>
  </r>
  <r>
    <s v="P052"/>
    <s v="Facebook"/>
    <d v="2025-01-03T00:00:00"/>
    <s v="Image"/>
    <s v="Check out our latest image on facebook!"/>
    <n v="947"/>
    <n v="338"/>
    <n v="350"/>
    <n v="10417"/>
    <n v="9730"/>
    <n v="34"/>
    <s v="SustainabilityDrive"/>
    <s v="Hashtags-1"/>
    <x v="2"/>
  </r>
  <r>
    <s v="P052"/>
    <s v="Facebook"/>
    <d v="2025-01-03T00:00:00"/>
    <s v="Image"/>
    <s v="Check out our latest image on facebook!"/>
    <n v="947"/>
    <n v="338"/>
    <n v="350"/>
    <n v="10417"/>
    <n v="9730"/>
    <n v="34"/>
    <s v="SustainabilityDrive"/>
    <s v="Hashtags_2"/>
    <x v="2"/>
  </r>
  <r>
    <s v="P053"/>
    <s v="YouTube"/>
    <d v="2025-02-24T00:00:00"/>
    <s v="Carousel"/>
    <s v="Check out our latest carousel on youtube!"/>
    <n v="804"/>
    <n v="639"/>
    <n v="43"/>
    <n v="4020"/>
    <n v="3144"/>
    <n v="11"/>
    <s v="unknown"/>
    <s v="Hashtags Used"/>
    <x v="5"/>
  </r>
  <r>
    <s v="P053"/>
    <s v="YouTube"/>
    <d v="2025-02-24T00:00:00"/>
    <s v="Carousel"/>
    <s v="Check out our latest carousel on youtube!"/>
    <n v="804"/>
    <n v="639"/>
    <n v="43"/>
    <n v="4020"/>
    <n v="3144"/>
    <n v="11"/>
    <s v="unknown"/>
    <s v="Hashtags-1"/>
    <x v="4"/>
  </r>
  <r>
    <s v="P053"/>
    <s v="YouTube"/>
    <d v="2025-02-24T00:00:00"/>
    <s v="Carousel"/>
    <s v="Check out our latest carousel on youtube!"/>
    <n v="804"/>
    <n v="639"/>
    <n v="43"/>
    <n v="4020"/>
    <n v="3144"/>
    <n v="11"/>
    <s v="unknown"/>
    <s v="Hashtags_2"/>
    <x v="2"/>
  </r>
  <r>
    <s v="P054"/>
    <s v="YouTube"/>
    <d v="2025-03-13T00:00:00"/>
    <s v="Carousel"/>
    <s v="Check out our latest carousel on youtube!"/>
    <n v="1686"/>
    <n v="904"/>
    <n v="472"/>
    <n v="18546"/>
    <n v="18171"/>
    <n v="52"/>
    <s v="ModelYCampaign"/>
    <s v="Hashtags Used"/>
    <x v="0"/>
  </r>
  <r>
    <s v="P054"/>
    <s v="YouTube"/>
    <d v="2025-03-13T00:00:00"/>
    <s v="Carousel"/>
    <s v="Check out our latest carousel on youtube!"/>
    <n v="1686"/>
    <n v="904"/>
    <n v="472"/>
    <n v="18546"/>
    <n v="18171"/>
    <n v="52"/>
    <s v="ModelYCampaign"/>
    <s v="Hashtags-1"/>
    <x v="2"/>
  </r>
  <r>
    <s v="P054"/>
    <s v="YouTube"/>
    <d v="2025-03-13T00:00:00"/>
    <s v="Carousel"/>
    <s v="Check out our latest carousel on youtube!"/>
    <n v="1686"/>
    <n v="904"/>
    <n v="472"/>
    <n v="18546"/>
    <n v="18171"/>
    <n v="52"/>
    <s v="ModelYCampaign"/>
    <s v="Hashtags_2"/>
    <x v="2"/>
  </r>
  <r>
    <s v="P055"/>
    <s v="Facebook"/>
    <d v="2024-06-17T00:00:00"/>
    <s v="Image"/>
    <s v="Check out our latest image on facebook!"/>
    <n v="1226"/>
    <n v="119"/>
    <n v="7"/>
    <n v="14712"/>
    <n v="14049"/>
    <n v="123"/>
    <s v="SustainabilityDrive"/>
    <s v="Hashtags Used"/>
    <x v="5"/>
  </r>
  <r>
    <s v="P055"/>
    <s v="Facebook"/>
    <d v="2024-06-17T00:00:00"/>
    <s v="Image"/>
    <s v="Check out our latest image on facebook!"/>
    <n v="1226"/>
    <n v="119"/>
    <n v="7"/>
    <n v="14712"/>
    <n v="14049"/>
    <n v="123"/>
    <s v="SustainabilityDrive"/>
    <s v="Hashtags-1"/>
    <x v="2"/>
  </r>
  <r>
    <s v="P055"/>
    <s v="Facebook"/>
    <d v="2024-06-17T00:00:00"/>
    <s v="Image"/>
    <s v="Check out our latest image on facebook!"/>
    <n v="1226"/>
    <n v="119"/>
    <n v="7"/>
    <n v="14712"/>
    <n v="14049"/>
    <n v="123"/>
    <s v="SustainabilityDrive"/>
    <s v="Hashtags_2"/>
    <x v="2"/>
  </r>
  <r>
    <s v="P056"/>
    <s v="Facebook"/>
    <d v="2024-12-18T00:00:00"/>
    <s v="Carousel"/>
    <s v="Check out our latest carousel on facebook!"/>
    <n v="2946"/>
    <n v="498"/>
    <n v="367"/>
    <n v="29460"/>
    <n v="28527"/>
    <n v="60"/>
    <s v="FSDUpdate"/>
    <s v="Hashtags Used"/>
    <x v="0"/>
  </r>
  <r>
    <s v="P056"/>
    <s v="Facebook"/>
    <d v="2024-12-18T00:00:00"/>
    <s v="Carousel"/>
    <s v="Check out our latest carousel on facebook!"/>
    <n v="2946"/>
    <n v="498"/>
    <n v="367"/>
    <n v="29460"/>
    <n v="28527"/>
    <n v="60"/>
    <s v="FSDUpdate"/>
    <s v="Hashtags-1"/>
    <x v="2"/>
  </r>
  <r>
    <s v="P056"/>
    <s v="Facebook"/>
    <d v="2024-12-18T00:00:00"/>
    <s v="Carousel"/>
    <s v="Check out our latest carousel on facebook!"/>
    <n v="2946"/>
    <n v="498"/>
    <n v="367"/>
    <n v="29460"/>
    <n v="28527"/>
    <n v="60"/>
    <s v="FSDUpdate"/>
    <s v="Hashtags_2"/>
    <x v="2"/>
  </r>
  <r>
    <s v="P057"/>
    <s v="Twitter"/>
    <d v="2024-10-21T00:00:00"/>
    <s v="Video"/>
    <s v="Check out our latest video on twitter!"/>
    <n v="2825"/>
    <n v="535"/>
    <n v="295"/>
    <n v="45200"/>
    <n v="44739"/>
    <n v="169"/>
    <s v="CybertruckLaunch"/>
    <s v="Hashtags Used"/>
    <x v="3"/>
  </r>
  <r>
    <s v="P057"/>
    <s v="Twitter"/>
    <d v="2024-10-21T00:00:00"/>
    <s v="Video"/>
    <s v="Check out our latest video on twitter!"/>
    <n v="2825"/>
    <n v="535"/>
    <n v="295"/>
    <n v="45200"/>
    <n v="44739"/>
    <n v="169"/>
    <s v="CybertruckLaunch"/>
    <s v="Hashtags-1"/>
    <x v="2"/>
  </r>
  <r>
    <s v="P057"/>
    <s v="Twitter"/>
    <d v="2024-10-21T00:00:00"/>
    <s v="Video"/>
    <s v="Check out our latest video on twitter!"/>
    <n v="2825"/>
    <n v="535"/>
    <n v="295"/>
    <n v="45200"/>
    <n v="44739"/>
    <n v="169"/>
    <s v="CybertruckLaunch"/>
    <s v="Hashtags_2"/>
    <x v="2"/>
  </r>
  <r>
    <s v="P058"/>
    <s v="Instagram"/>
    <d v="2025-04-15T00:00:00"/>
    <s v="Reel"/>
    <s v="Check out our latest reel on instagram!"/>
    <n v="103"/>
    <n v="770"/>
    <n v="19"/>
    <n v="1030"/>
    <n v="410"/>
    <n v="262"/>
    <s v="SustainabilityDrive"/>
    <s v="Hashtags Used"/>
    <x v="3"/>
  </r>
  <r>
    <s v="P058"/>
    <s v="Instagram"/>
    <d v="2025-04-15T00:00:00"/>
    <s v="Reel"/>
    <s v="Check out our latest reel on instagram!"/>
    <n v="103"/>
    <n v="770"/>
    <n v="19"/>
    <n v="1030"/>
    <n v="410"/>
    <n v="262"/>
    <s v="SustainabilityDrive"/>
    <s v="Hashtags-1"/>
    <x v="2"/>
  </r>
  <r>
    <s v="P058"/>
    <s v="Instagram"/>
    <d v="2025-04-15T00:00:00"/>
    <s v="Reel"/>
    <s v="Check out our latest reel on instagram!"/>
    <n v="103"/>
    <n v="770"/>
    <n v="19"/>
    <n v="1030"/>
    <n v="410"/>
    <n v="262"/>
    <s v="SustainabilityDrive"/>
    <s v="Hashtags_2"/>
    <x v="2"/>
  </r>
  <r>
    <s v="P059"/>
    <s v="Instagram"/>
    <d v="2024-06-22T00:00:00"/>
    <s v="Text"/>
    <s v="Check out our latest text on instagram!"/>
    <n v="2180"/>
    <n v="263"/>
    <n v="387"/>
    <n v="30520"/>
    <n v="30059"/>
    <n v="174"/>
    <s v="unknown"/>
    <s v="Hashtags Used"/>
    <x v="5"/>
  </r>
  <r>
    <s v="P059"/>
    <s v="Instagram"/>
    <d v="2024-06-22T00:00:00"/>
    <s v="Text"/>
    <s v="Check out our latest text on instagram!"/>
    <n v="2180"/>
    <n v="263"/>
    <n v="387"/>
    <n v="30520"/>
    <n v="30059"/>
    <n v="174"/>
    <s v="unknown"/>
    <s v="Hashtags-1"/>
    <x v="2"/>
  </r>
  <r>
    <s v="P059"/>
    <s v="Instagram"/>
    <d v="2024-06-22T00:00:00"/>
    <s v="Text"/>
    <s v="Check out our latest text on instagram!"/>
    <n v="2180"/>
    <n v="263"/>
    <n v="387"/>
    <n v="30520"/>
    <n v="30059"/>
    <n v="174"/>
    <s v="unknown"/>
    <s v="Hashtags_2"/>
    <x v="2"/>
  </r>
  <r>
    <s v="P060"/>
    <s v="Instagram"/>
    <d v="2025-01-28T00:00:00"/>
    <s v="Video"/>
    <s v="Check out our latest video on instagram!"/>
    <n v="904"/>
    <n v="973"/>
    <n v="63"/>
    <n v="11752"/>
    <n v="11580"/>
    <n v="84"/>
    <s v="FSDUpdate"/>
    <s v="Hashtags Used"/>
    <x v="5"/>
  </r>
  <r>
    <s v="P060"/>
    <s v="Instagram"/>
    <d v="2025-01-28T00:00:00"/>
    <s v="Video"/>
    <s v="Check out our latest video on instagram!"/>
    <n v="904"/>
    <n v="973"/>
    <n v="63"/>
    <n v="11752"/>
    <n v="11580"/>
    <n v="84"/>
    <s v="FSDUpdate"/>
    <s v="Hashtags-1"/>
    <x v="3"/>
  </r>
  <r>
    <s v="P060"/>
    <s v="Instagram"/>
    <d v="2025-01-28T00:00:00"/>
    <s v="Video"/>
    <s v="Check out our latest video on instagram!"/>
    <n v="904"/>
    <n v="973"/>
    <n v="63"/>
    <n v="11752"/>
    <n v="11580"/>
    <n v="84"/>
    <s v="FSDUpdate"/>
    <s v="Hashtags_2"/>
    <x v="1"/>
  </r>
  <r>
    <s v="P061"/>
    <s v="Twitter"/>
    <d v="2024-09-05T00:00:00"/>
    <s v="Video"/>
    <s v="Check out our latest video on twitter!"/>
    <n v="4886"/>
    <n v="983"/>
    <n v="409"/>
    <n v="43974"/>
    <n v="43239"/>
    <n v="65"/>
    <s v="CybertruckLaunch"/>
    <s v="Hashtags Used"/>
    <x v="3"/>
  </r>
  <r>
    <s v="P061"/>
    <s v="Twitter"/>
    <d v="2024-09-05T00:00:00"/>
    <s v="Video"/>
    <s v="Check out our latest video on twitter!"/>
    <n v="4886"/>
    <n v="983"/>
    <n v="409"/>
    <n v="43974"/>
    <n v="43239"/>
    <n v="65"/>
    <s v="CybertruckLaunch"/>
    <s v="Hashtags-1"/>
    <x v="2"/>
  </r>
  <r>
    <s v="P061"/>
    <s v="Twitter"/>
    <d v="2024-09-05T00:00:00"/>
    <s v="Video"/>
    <s v="Check out our latest video on twitter!"/>
    <n v="4886"/>
    <n v="983"/>
    <n v="409"/>
    <n v="43974"/>
    <n v="43239"/>
    <n v="65"/>
    <s v="CybertruckLaunch"/>
    <s v="Hashtags_2"/>
    <x v="2"/>
  </r>
  <r>
    <s v="P062"/>
    <s v="Twitter"/>
    <d v="2024-11-22T00:00:00"/>
    <s v="Carousel"/>
    <s v="Check out our latest carousel on twitter!"/>
    <n v="53"/>
    <n v="81"/>
    <n v="379"/>
    <n v="954"/>
    <n v="7"/>
    <n v="148"/>
    <s v="FSDUpdate"/>
    <s v="Hashtags Used"/>
    <x v="3"/>
  </r>
  <r>
    <s v="P062"/>
    <s v="Twitter"/>
    <d v="2024-11-22T00:00:00"/>
    <s v="Carousel"/>
    <s v="Check out our latest carousel on twitter!"/>
    <n v="53"/>
    <n v="81"/>
    <n v="379"/>
    <n v="954"/>
    <n v="7"/>
    <n v="148"/>
    <s v="FSDUpdate"/>
    <s v="Hashtags-1"/>
    <x v="2"/>
  </r>
  <r>
    <s v="P062"/>
    <s v="Twitter"/>
    <d v="2024-11-22T00:00:00"/>
    <s v="Carousel"/>
    <s v="Check out our latest carousel on twitter!"/>
    <n v="53"/>
    <n v="81"/>
    <n v="379"/>
    <n v="954"/>
    <n v="7"/>
    <n v="148"/>
    <s v="FSDUpdate"/>
    <s v="Hashtags_2"/>
    <x v="2"/>
  </r>
  <r>
    <s v="P063"/>
    <s v="Twitter"/>
    <d v="2024-07-31T00:00:00"/>
    <s v="Carousel"/>
    <s v="Check out our latest carousel on twitter!"/>
    <n v="4507"/>
    <n v="217"/>
    <n v="13"/>
    <n v="90140"/>
    <n v="89591"/>
    <n v="125"/>
    <s v="FSDUpdate"/>
    <s v="Hashtags Used"/>
    <x v="0"/>
  </r>
  <r>
    <s v="P063"/>
    <s v="Twitter"/>
    <d v="2024-07-31T00:00:00"/>
    <s v="Carousel"/>
    <s v="Check out our latest carousel on twitter!"/>
    <n v="4507"/>
    <n v="217"/>
    <n v="13"/>
    <n v="90140"/>
    <n v="89591"/>
    <n v="125"/>
    <s v="FSDUpdate"/>
    <s v="Hashtags-1"/>
    <x v="2"/>
  </r>
  <r>
    <s v="P063"/>
    <s v="Twitter"/>
    <d v="2024-07-31T00:00:00"/>
    <s v="Carousel"/>
    <s v="Check out our latest carousel on twitter!"/>
    <n v="4507"/>
    <n v="217"/>
    <n v="13"/>
    <n v="90140"/>
    <n v="89591"/>
    <n v="125"/>
    <s v="FSDUpdate"/>
    <s v="Hashtags_2"/>
    <x v="2"/>
  </r>
  <r>
    <s v="P064"/>
    <s v="Facebook"/>
    <d v="2024-08-17T00:00:00"/>
    <s v="Image"/>
    <s v="Check out our latest image on facebook!"/>
    <n v="2878"/>
    <n v="248"/>
    <n v="416"/>
    <n v="43170"/>
    <n v="42667"/>
    <n v="75"/>
    <s v="FSDUpdate"/>
    <s v="Hashtags Used"/>
    <x v="0"/>
  </r>
  <r>
    <s v="P064"/>
    <s v="Facebook"/>
    <d v="2024-08-17T00:00:00"/>
    <s v="Image"/>
    <s v="Check out our latest image on facebook!"/>
    <n v="2878"/>
    <n v="248"/>
    <n v="416"/>
    <n v="43170"/>
    <n v="42667"/>
    <n v="75"/>
    <s v="FSDUpdate"/>
    <s v="Hashtags-1"/>
    <x v="2"/>
  </r>
  <r>
    <s v="P064"/>
    <s v="Facebook"/>
    <d v="2024-08-17T00:00:00"/>
    <s v="Image"/>
    <s v="Check out our latest image on facebook!"/>
    <n v="2878"/>
    <n v="248"/>
    <n v="416"/>
    <n v="43170"/>
    <n v="42667"/>
    <n v="75"/>
    <s v="FSDUpdate"/>
    <s v="Hashtags_2"/>
    <x v="2"/>
  </r>
  <r>
    <s v="P065"/>
    <s v="Instagram"/>
    <d v="2025-03-28T00:00:00"/>
    <s v="Story"/>
    <s v="Check out our latest story on instagram!"/>
    <n v="1881"/>
    <n v="501"/>
    <n v="99"/>
    <n v="20691"/>
    <n v="19987"/>
    <n v="289"/>
    <s v="unknown"/>
    <s v="Hashtags Used"/>
    <x v="5"/>
  </r>
  <r>
    <s v="P065"/>
    <s v="Instagram"/>
    <d v="2025-03-28T00:00:00"/>
    <s v="Story"/>
    <s v="Check out our latest story on instagram!"/>
    <n v="1881"/>
    <n v="501"/>
    <n v="99"/>
    <n v="20691"/>
    <n v="19987"/>
    <n v="289"/>
    <s v="unknown"/>
    <s v="Hashtags-1"/>
    <x v="2"/>
  </r>
  <r>
    <s v="P065"/>
    <s v="Instagram"/>
    <d v="2025-03-28T00:00:00"/>
    <s v="Story"/>
    <s v="Check out our latest story on instagram!"/>
    <n v="1881"/>
    <n v="501"/>
    <n v="99"/>
    <n v="20691"/>
    <n v="19987"/>
    <n v="289"/>
    <s v="unknown"/>
    <s v="Hashtags_2"/>
    <x v="2"/>
  </r>
  <r>
    <s v="P066"/>
    <s v="Twitter"/>
    <d v="2024-07-26T00:00:00"/>
    <s v="Carousel"/>
    <s v="Check out our latest carousel on twitter!"/>
    <n v="432"/>
    <n v="171"/>
    <n v="280"/>
    <n v="3024"/>
    <n v="2285"/>
    <n v="184"/>
    <s v="CybertruckLaunch"/>
    <s v="Hashtags Used"/>
    <x v="5"/>
  </r>
  <r>
    <s v="P066"/>
    <s v="Twitter"/>
    <d v="2024-07-26T00:00:00"/>
    <s v="Carousel"/>
    <s v="Check out our latest carousel on twitter!"/>
    <n v="432"/>
    <n v="171"/>
    <n v="280"/>
    <n v="3024"/>
    <n v="2285"/>
    <n v="184"/>
    <s v="CybertruckLaunch"/>
    <s v="Hashtags-1"/>
    <x v="2"/>
  </r>
  <r>
    <s v="P066"/>
    <s v="Twitter"/>
    <d v="2024-07-26T00:00:00"/>
    <s v="Carousel"/>
    <s v="Check out our latest carousel on twitter!"/>
    <n v="432"/>
    <n v="171"/>
    <n v="280"/>
    <n v="3024"/>
    <n v="2285"/>
    <n v="184"/>
    <s v="CybertruckLaunch"/>
    <s v="Hashtags_2"/>
    <x v="2"/>
  </r>
  <r>
    <s v="P067"/>
    <s v="Facebook"/>
    <d v="2025-03-29T00:00:00"/>
    <s v="Carousel"/>
    <s v="Check out our latest carousel on facebook!"/>
    <n v="4712"/>
    <n v="568"/>
    <n v="127"/>
    <n v="84816"/>
    <n v="84691"/>
    <n v="100"/>
    <s v="FSDUpdate"/>
    <s v="Hashtags Used"/>
    <x v="5"/>
  </r>
  <r>
    <s v="P067"/>
    <s v="Facebook"/>
    <d v="2025-03-29T00:00:00"/>
    <s v="Carousel"/>
    <s v="Check out our latest carousel on facebook!"/>
    <n v="4712"/>
    <n v="568"/>
    <n v="127"/>
    <n v="84816"/>
    <n v="84691"/>
    <n v="100"/>
    <s v="FSDUpdate"/>
    <s v="Hashtags-1"/>
    <x v="2"/>
  </r>
  <r>
    <s v="P067"/>
    <s v="Facebook"/>
    <d v="2025-03-29T00:00:00"/>
    <s v="Carousel"/>
    <s v="Check out our latest carousel on facebook!"/>
    <n v="4712"/>
    <n v="568"/>
    <n v="127"/>
    <n v="84816"/>
    <n v="84691"/>
    <n v="100"/>
    <s v="FSDUpdate"/>
    <s v="Hashtags_2"/>
    <x v="2"/>
  </r>
  <r>
    <s v="P068"/>
    <s v="Instagram"/>
    <d v="2024-12-08T00:00:00"/>
    <s v="Story"/>
    <s v="Check out our latest story on instagram!"/>
    <n v="2610"/>
    <n v="126"/>
    <n v="288"/>
    <n v="15660"/>
    <n v="15145"/>
    <n v="73"/>
    <s v="unknown"/>
    <s v="Hashtags Used"/>
    <x v="5"/>
  </r>
  <r>
    <s v="P068"/>
    <s v="Instagram"/>
    <d v="2024-12-08T00:00:00"/>
    <s v="Story"/>
    <s v="Check out our latest story on instagram!"/>
    <n v="2610"/>
    <n v="126"/>
    <n v="288"/>
    <n v="15660"/>
    <n v="15145"/>
    <n v="73"/>
    <s v="unknown"/>
    <s v="Hashtags-1"/>
    <x v="2"/>
  </r>
  <r>
    <s v="P068"/>
    <s v="Instagram"/>
    <d v="2024-12-08T00:00:00"/>
    <s v="Story"/>
    <s v="Check out our latest story on instagram!"/>
    <n v="2610"/>
    <n v="126"/>
    <n v="288"/>
    <n v="15660"/>
    <n v="15145"/>
    <n v="73"/>
    <s v="unknown"/>
    <s v="Hashtags_2"/>
    <x v="2"/>
  </r>
  <r>
    <s v="P069"/>
    <s v="Twitter"/>
    <d v="2025-03-08T00:00:00"/>
    <s v="Text"/>
    <s v="Check out our latest text on twitter!"/>
    <n v="1292"/>
    <n v="626"/>
    <n v="496"/>
    <n v="25840"/>
    <n v="24916"/>
    <n v="149"/>
    <s v="FSDUpdate"/>
    <s v="Hashtags Used"/>
    <x v="0"/>
  </r>
  <r>
    <s v="P069"/>
    <s v="Twitter"/>
    <d v="2025-03-08T00:00:00"/>
    <s v="Text"/>
    <s v="Check out our latest text on twitter!"/>
    <n v="1292"/>
    <n v="626"/>
    <n v="496"/>
    <n v="25840"/>
    <n v="24916"/>
    <n v="149"/>
    <s v="FSDUpdate"/>
    <s v="Hashtags-1"/>
    <x v="2"/>
  </r>
  <r>
    <s v="P069"/>
    <s v="Twitter"/>
    <d v="2025-03-08T00:00:00"/>
    <s v="Text"/>
    <s v="Check out our latest text on twitter!"/>
    <n v="1292"/>
    <n v="626"/>
    <n v="496"/>
    <n v="25840"/>
    <n v="24916"/>
    <n v="149"/>
    <s v="FSDUpdate"/>
    <s v="Hashtags_2"/>
    <x v="2"/>
  </r>
  <r>
    <s v="P070"/>
    <s v="Facebook"/>
    <d v="2025-04-02T00:00:00"/>
    <s v="Video"/>
    <s v="Check out our latest video on facebook!"/>
    <n v="199"/>
    <n v="772"/>
    <n v="400"/>
    <n v="3582"/>
    <n v="2988"/>
    <n v="43"/>
    <s v="unknown"/>
    <s v="Hashtags Used"/>
    <x v="3"/>
  </r>
  <r>
    <s v="P070"/>
    <s v="Facebook"/>
    <d v="2025-04-02T00:00:00"/>
    <s v="Video"/>
    <s v="Check out our latest video on facebook!"/>
    <n v="199"/>
    <n v="772"/>
    <n v="400"/>
    <n v="3582"/>
    <n v="2988"/>
    <n v="43"/>
    <s v="unknown"/>
    <s v="Hashtags-1"/>
    <x v="2"/>
  </r>
  <r>
    <s v="P070"/>
    <s v="Facebook"/>
    <d v="2025-04-02T00:00:00"/>
    <s v="Video"/>
    <s v="Check out our latest video on facebook!"/>
    <n v="199"/>
    <n v="772"/>
    <n v="400"/>
    <n v="3582"/>
    <n v="2988"/>
    <n v="43"/>
    <s v="unknown"/>
    <s v="Hashtags_2"/>
    <x v="2"/>
  </r>
  <r>
    <s v="P071"/>
    <s v="YouTube"/>
    <d v="2024-09-02T00:00:00"/>
    <s v="Carousel"/>
    <s v="Check out our latest carousel on youtube!"/>
    <n v="2551"/>
    <n v="915"/>
    <n v="205"/>
    <n v="30612"/>
    <n v="30360"/>
    <n v="227"/>
    <s v="ModelYCampaign"/>
    <s v="Hashtags Used"/>
    <x v="3"/>
  </r>
  <r>
    <s v="P071"/>
    <s v="YouTube"/>
    <d v="2024-09-02T00:00:00"/>
    <s v="Carousel"/>
    <s v="Check out our latest carousel on youtube!"/>
    <n v="2551"/>
    <n v="915"/>
    <n v="205"/>
    <n v="30612"/>
    <n v="30360"/>
    <n v="227"/>
    <s v="ModelYCampaign"/>
    <s v="Hashtags-1"/>
    <x v="2"/>
  </r>
  <r>
    <s v="P071"/>
    <s v="YouTube"/>
    <d v="2024-09-02T00:00:00"/>
    <s v="Carousel"/>
    <s v="Check out our latest carousel on youtube!"/>
    <n v="2551"/>
    <n v="915"/>
    <n v="205"/>
    <n v="30612"/>
    <n v="30360"/>
    <n v="227"/>
    <s v="ModelYCampaign"/>
    <s v="Hashtags_2"/>
    <x v="2"/>
  </r>
  <r>
    <s v="P072"/>
    <s v="YouTube"/>
    <d v="2025-03-03T00:00:00"/>
    <s v="Reel"/>
    <s v="Check out our latest reel on youtube!"/>
    <n v="296"/>
    <n v="60"/>
    <n v="141"/>
    <n v="5624"/>
    <n v="5239"/>
    <n v="88"/>
    <s v="ModelYCampaign"/>
    <s v="Hashtags Used"/>
    <x v="5"/>
  </r>
  <r>
    <s v="P072"/>
    <s v="YouTube"/>
    <d v="2025-03-03T00:00:00"/>
    <s v="Reel"/>
    <s v="Check out our latest reel on youtube!"/>
    <n v="296"/>
    <n v="60"/>
    <n v="141"/>
    <n v="5624"/>
    <n v="5239"/>
    <n v="88"/>
    <s v="ModelYCampaign"/>
    <s v="Hashtags-1"/>
    <x v="2"/>
  </r>
  <r>
    <s v="P072"/>
    <s v="YouTube"/>
    <d v="2025-03-03T00:00:00"/>
    <s v="Reel"/>
    <s v="Check out our latest reel on youtube!"/>
    <n v="296"/>
    <n v="60"/>
    <n v="141"/>
    <n v="5624"/>
    <n v="5239"/>
    <n v="88"/>
    <s v="ModelYCampaign"/>
    <s v="Hashtags_2"/>
    <x v="2"/>
  </r>
  <r>
    <s v="P073"/>
    <s v="Facebook"/>
    <d v="2024-10-18T00:00:00"/>
    <s v="Story"/>
    <s v="Check out our latest story on facebook!"/>
    <n v="4126"/>
    <n v="426"/>
    <n v="486"/>
    <n v="78394"/>
    <n v="77798"/>
    <n v="88"/>
    <s v="SustainabilityDrive"/>
    <s v="Hashtags Used"/>
    <x v="0"/>
  </r>
  <r>
    <s v="P073"/>
    <s v="Facebook"/>
    <d v="2024-10-18T00:00:00"/>
    <s v="Story"/>
    <s v="Check out our latest story on facebook!"/>
    <n v="4126"/>
    <n v="426"/>
    <n v="486"/>
    <n v="78394"/>
    <n v="77798"/>
    <n v="88"/>
    <s v="SustainabilityDrive"/>
    <s v="Hashtags-1"/>
    <x v="2"/>
  </r>
  <r>
    <s v="P073"/>
    <s v="Facebook"/>
    <d v="2024-10-18T00:00:00"/>
    <s v="Story"/>
    <s v="Check out our latest story on facebook!"/>
    <n v="4126"/>
    <n v="426"/>
    <n v="486"/>
    <n v="78394"/>
    <n v="77798"/>
    <n v="88"/>
    <s v="SustainabilityDrive"/>
    <s v="Hashtags_2"/>
    <x v="2"/>
  </r>
  <r>
    <s v="P074"/>
    <s v="YouTube"/>
    <d v="2024-10-28T00:00:00"/>
    <s v="Reel"/>
    <s v="Check out our latest reel on youtube!"/>
    <n v="1855"/>
    <n v="200"/>
    <n v="174"/>
    <n v="16695"/>
    <n v="16330"/>
    <n v="123"/>
    <s v="FSDUpdate"/>
    <s v="Hashtags Used"/>
    <x v="3"/>
  </r>
  <r>
    <s v="P074"/>
    <s v="YouTube"/>
    <d v="2024-10-28T00:00:00"/>
    <s v="Reel"/>
    <s v="Check out our latest reel on youtube!"/>
    <n v="1855"/>
    <n v="200"/>
    <n v="174"/>
    <n v="16695"/>
    <n v="16330"/>
    <n v="123"/>
    <s v="FSDUpdate"/>
    <s v="Hashtags-1"/>
    <x v="2"/>
  </r>
  <r>
    <s v="P074"/>
    <s v="YouTube"/>
    <d v="2024-10-28T00:00:00"/>
    <s v="Reel"/>
    <s v="Check out our latest reel on youtube!"/>
    <n v="1855"/>
    <n v="200"/>
    <n v="174"/>
    <n v="16695"/>
    <n v="16330"/>
    <n v="123"/>
    <s v="FSDUpdate"/>
    <s v="Hashtags_2"/>
    <x v="2"/>
  </r>
  <r>
    <s v="P075"/>
    <s v="Instagram"/>
    <d v="2024-08-01T00:00:00"/>
    <s v="Reel"/>
    <s v="Check out our latest reel on instagram!"/>
    <n v="1674"/>
    <n v="929"/>
    <n v="37"/>
    <n v="21762"/>
    <n v="20998"/>
    <n v="255"/>
    <s v="SustainabilityDrive"/>
    <s v="Hashtags Used"/>
    <x v="3"/>
  </r>
  <r>
    <s v="P075"/>
    <s v="Instagram"/>
    <d v="2024-08-01T00:00:00"/>
    <s v="Reel"/>
    <s v="Check out our latest reel on instagram!"/>
    <n v="1674"/>
    <n v="929"/>
    <n v="37"/>
    <n v="21762"/>
    <n v="20998"/>
    <n v="255"/>
    <s v="SustainabilityDrive"/>
    <s v="Hashtags-1"/>
    <x v="2"/>
  </r>
  <r>
    <s v="P075"/>
    <s v="Instagram"/>
    <d v="2024-08-01T00:00:00"/>
    <s v="Reel"/>
    <s v="Check out our latest reel on instagram!"/>
    <n v="1674"/>
    <n v="929"/>
    <n v="37"/>
    <n v="21762"/>
    <n v="20998"/>
    <n v="255"/>
    <s v="SustainabilityDrive"/>
    <s v="Hashtags_2"/>
    <x v="2"/>
  </r>
  <r>
    <s v="P076"/>
    <s v="Twitter"/>
    <d v="2024-11-07T00:00:00"/>
    <s v="Story"/>
    <s v="Check out our latest story on twitter!"/>
    <n v="1121"/>
    <n v="135"/>
    <n v="18"/>
    <n v="15694"/>
    <n v="14957"/>
    <n v="99"/>
    <s v="SustainabilityDrive"/>
    <s v="Hashtags Used"/>
    <x v="3"/>
  </r>
  <r>
    <s v="P076"/>
    <s v="Twitter"/>
    <d v="2024-11-07T00:00:00"/>
    <s v="Story"/>
    <s v="Check out our latest story on twitter!"/>
    <n v="1121"/>
    <n v="135"/>
    <n v="18"/>
    <n v="15694"/>
    <n v="14957"/>
    <n v="99"/>
    <s v="SustainabilityDrive"/>
    <s v="Hashtags-1"/>
    <x v="2"/>
  </r>
  <r>
    <s v="P076"/>
    <s v="Twitter"/>
    <d v="2024-11-07T00:00:00"/>
    <s v="Story"/>
    <s v="Check out our latest story on twitter!"/>
    <n v="1121"/>
    <n v="135"/>
    <n v="18"/>
    <n v="15694"/>
    <n v="14957"/>
    <n v="99"/>
    <s v="SustainabilityDrive"/>
    <s v="Hashtags_2"/>
    <x v="2"/>
  </r>
  <r>
    <s v="P077"/>
    <s v="Facebook"/>
    <d v="2025-03-04T00:00:00"/>
    <s v="Story"/>
    <s v="Check out our latest story on facebook!"/>
    <n v="1249"/>
    <n v="116"/>
    <n v="420"/>
    <n v="8743"/>
    <n v="8538"/>
    <n v="63"/>
    <s v="unknown"/>
    <s v="Hashtags Used"/>
    <x v="3"/>
  </r>
  <r>
    <s v="P077"/>
    <s v="Facebook"/>
    <d v="2025-03-04T00:00:00"/>
    <s v="Story"/>
    <s v="Check out our latest story on facebook!"/>
    <n v="1249"/>
    <n v="116"/>
    <n v="420"/>
    <n v="8743"/>
    <n v="8538"/>
    <n v="63"/>
    <s v="unknown"/>
    <s v="Hashtags-1"/>
    <x v="2"/>
  </r>
  <r>
    <s v="P077"/>
    <s v="Facebook"/>
    <d v="2025-03-04T00:00:00"/>
    <s v="Story"/>
    <s v="Check out our latest story on facebook!"/>
    <n v="1249"/>
    <n v="116"/>
    <n v="420"/>
    <n v="8743"/>
    <n v="8538"/>
    <n v="63"/>
    <s v="unknown"/>
    <s v="Hashtags_2"/>
    <x v="2"/>
  </r>
  <r>
    <s v="P078"/>
    <s v="Twitter"/>
    <d v="2024-06-17T00:00:00"/>
    <s v="Image"/>
    <s v="Check out our latest image on twitter!"/>
    <n v="954"/>
    <n v="324"/>
    <n v="288"/>
    <n v="19080"/>
    <n v="18859"/>
    <n v="21"/>
    <s v="SustainabilityDrive"/>
    <s v="Hashtags Used"/>
    <x v="0"/>
  </r>
  <r>
    <s v="P078"/>
    <s v="Twitter"/>
    <d v="2024-06-17T00:00:00"/>
    <s v="Image"/>
    <s v="Check out our latest image on twitter!"/>
    <n v="954"/>
    <n v="324"/>
    <n v="288"/>
    <n v="19080"/>
    <n v="18859"/>
    <n v="21"/>
    <s v="SustainabilityDrive"/>
    <s v="Hashtags-1"/>
    <x v="2"/>
  </r>
  <r>
    <s v="P078"/>
    <s v="Twitter"/>
    <d v="2024-06-17T00:00:00"/>
    <s v="Image"/>
    <s v="Check out our latest image on twitter!"/>
    <n v="954"/>
    <n v="324"/>
    <n v="288"/>
    <n v="19080"/>
    <n v="18859"/>
    <n v="21"/>
    <s v="SustainabilityDrive"/>
    <s v="Hashtags_2"/>
    <x v="2"/>
  </r>
  <r>
    <s v="P079"/>
    <s v="Instagram"/>
    <d v="2024-10-09T00:00:00"/>
    <s v="Carousel"/>
    <s v="Check out our latest carousel on instagram!"/>
    <n v="3068"/>
    <n v="137"/>
    <n v="329"/>
    <n v="39884"/>
    <n v="39404"/>
    <n v="266"/>
    <s v="ModelYCampaign"/>
    <s v="Hashtags Used"/>
    <x v="5"/>
  </r>
  <r>
    <s v="P079"/>
    <s v="Instagram"/>
    <d v="2024-10-09T00:00:00"/>
    <s v="Carousel"/>
    <s v="Check out our latest carousel on instagram!"/>
    <n v="3068"/>
    <n v="137"/>
    <n v="329"/>
    <n v="39884"/>
    <n v="39404"/>
    <n v="266"/>
    <s v="ModelYCampaign"/>
    <s v="Hashtags-1"/>
    <x v="2"/>
  </r>
  <r>
    <s v="P079"/>
    <s v="Instagram"/>
    <d v="2024-10-09T00:00:00"/>
    <s v="Carousel"/>
    <s v="Check out our latest carousel on instagram!"/>
    <n v="3068"/>
    <n v="137"/>
    <n v="329"/>
    <n v="39884"/>
    <n v="39404"/>
    <n v="266"/>
    <s v="ModelYCampaign"/>
    <s v="Hashtags_2"/>
    <x v="2"/>
  </r>
  <r>
    <s v="P080"/>
    <s v="Instagram"/>
    <d v="2024-06-13T00:00:00"/>
    <s v="Story"/>
    <s v="Check out our latest story on instagram!"/>
    <n v="2103"/>
    <n v="892"/>
    <n v="103"/>
    <n v="39957"/>
    <n v="39466"/>
    <n v="28"/>
    <s v="unknown"/>
    <s v="Hashtags Used"/>
    <x v="0"/>
  </r>
  <r>
    <s v="P080"/>
    <s v="Instagram"/>
    <d v="2024-06-13T00:00:00"/>
    <s v="Story"/>
    <s v="Check out our latest story on instagram!"/>
    <n v="2103"/>
    <n v="892"/>
    <n v="103"/>
    <n v="39957"/>
    <n v="39466"/>
    <n v="28"/>
    <s v="unknown"/>
    <s v="Hashtags-1"/>
    <x v="2"/>
  </r>
  <r>
    <s v="P080"/>
    <s v="Instagram"/>
    <d v="2024-06-13T00:00:00"/>
    <s v="Story"/>
    <s v="Check out our latest story on instagram!"/>
    <n v="2103"/>
    <n v="892"/>
    <n v="103"/>
    <n v="39957"/>
    <n v="39466"/>
    <n v="28"/>
    <s v="unknown"/>
    <s v="Hashtags_2"/>
    <x v="2"/>
  </r>
  <r>
    <s v="P081"/>
    <s v="Instagram"/>
    <d v="2024-10-19T00:00:00"/>
    <s v="Story"/>
    <s v="Check out our latest story on instagram!"/>
    <n v="1816"/>
    <n v="29"/>
    <n v="41"/>
    <n v="19976"/>
    <n v="19262"/>
    <n v="283"/>
    <s v="FSDUpdate"/>
    <s v="Hashtags Used"/>
    <x v="3"/>
  </r>
  <r>
    <s v="P081"/>
    <s v="Instagram"/>
    <d v="2024-10-19T00:00:00"/>
    <s v="Story"/>
    <s v="Check out our latest story on instagram!"/>
    <n v="1816"/>
    <n v="29"/>
    <n v="41"/>
    <n v="19976"/>
    <n v="19262"/>
    <n v="283"/>
    <s v="FSDUpdate"/>
    <s v="Hashtags-1"/>
    <x v="2"/>
  </r>
  <r>
    <s v="P081"/>
    <s v="Instagram"/>
    <d v="2024-10-19T00:00:00"/>
    <s v="Story"/>
    <s v="Check out our latest story on instagram!"/>
    <n v="1816"/>
    <n v="29"/>
    <n v="41"/>
    <n v="19976"/>
    <n v="19262"/>
    <n v="283"/>
    <s v="FSDUpdate"/>
    <s v="Hashtags_2"/>
    <x v="2"/>
  </r>
  <r>
    <s v="P082"/>
    <s v="Instagram"/>
    <d v="2024-07-24T00:00:00"/>
    <s v="Image"/>
    <s v="Check out our latest image on instagram!"/>
    <n v="725"/>
    <n v="88"/>
    <n v="428"/>
    <n v="14500"/>
    <n v="13637"/>
    <n v="200"/>
    <s v="FSDUpdate"/>
    <s v="Hashtags Used"/>
    <x v="0"/>
  </r>
  <r>
    <s v="P082"/>
    <s v="Instagram"/>
    <d v="2024-07-24T00:00:00"/>
    <s v="Image"/>
    <s v="Check out our latest image on instagram!"/>
    <n v="725"/>
    <n v="88"/>
    <n v="428"/>
    <n v="14500"/>
    <n v="13637"/>
    <n v="200"/>
    <s v="FSDUpdate"/>
    <s v="Hashtags-1"/>
    <x v="3"/>
  </r>
  <r>
    <s v="P082"/>
    <s v="Instagram"/>
    <d v="2024-07-24T00:00:00"/>
    <s v="Image"/>
    <s v="Check out our latest image on instagram!"/>
    <n v="725"/>
    <n v="88"/>
    <n v="428"/>
    <n v="14500"/>
    <n v="13637"/>
    <n v="200"/>
    <s v="FSDUpdate"/>
    <s v="Hashtags_2"/>
    <x v="1"/>
  </r>
  <r>
    <s v="P083"/>
    <s v="YouTube"/>
    <d v="2024-10-15T00:00:00"/>
    <s v="Video"/>
    <s v="Check out our latest video on youtube!"/>
    <n v="1094"/>
    <n v="472"/>
    <n v="21"/>
    <n v="9846"/>
    <n v="9609"/>
    <n v="112"/>
    <s v="unknown"/>
    <s v="Hashtags Used"/>
    <x v="5"/>
  </r>
  <r>
    <s v="P083"/>
    <s v="YouTube"/>
    <d v="2024-10-15T00:00:00"/>
    <s v="Video"/>
    <s v="Check out our latest video on youtube!"/>
    <n v="1094"/>
    <n v="472"/>
    <n v="21"/>
    <n v="9846"/>
    <n v="9609"/>
    <n v="112"/>
    <s v="unknown"/>
    <s v="Hashtags-1"/>
    <x v="2"/>
  </r>
  <r>
    <s v="P083"/>
    <s v="YouTube"/>
    <d v="2024-10-15T00:00:00"/>
    <s v="Video"/>
    <s v="Check out our latest video on youtube!"/>
    <n v="1094"/>
    <n v="472"/>
    <n v="21"/>
    <n v="9846"/>
    <n v="9609"/>
    <n v="112"/>
    <s v="unknown"/>
    <s v="Hashtags_2"/>
    <x v="2"/>
  </r>
  <r>
    <s v="P084"/>
    <s v="Facebook"/>
    <d v="2024-12-09T00:00:00"/>
    <s v="Image"/>
    <s v="Check out our latest image on facebook!"/>
    <n v="1841"/>
    <n v="851"/>
    <n v="342"/>
    <n v="34979"/>
    <n v="34154"/>
    <n v="255"/>
    <s v="SustainabilityDrive"/>
    <s v="Hashtags Used"/>
    <x v="0"/>
  </r>
  <r>
    <s v="P084"/>
    <s v="Facebook"/>
    <d v="2024-12-09T00:00:00"/>
    <s v="Image"/>
    <s v="Check out our latest image on facebook!"/>
    <n v="1841"/>
    <n v="851"/>
    <n v="342"/>
    <n v="34979"/>
    <n v="34154"/>
    <n v="255"/>
    <s v="SustainabilityDrive"/>
    <s v="Hashtags-1"/>
    <x v="2"/>
  </r>
  <r>
    <s v="P084"/>
    <s v="Facebook"/>
    <d v="2024-12-09T00:00:00"/>
    <s v="Image"/>
    <s v="Check out our latest image on facebook!"/>
    <n v="1841"/>
    <n v="851"/>
    <n v="342"/>
    <n v="34979"/>
    <n v="34154"/>
    <n v="255"/>
    <s v="SustainabilityDrive"/>
    <s v="Hashtags_2"/>
    <x v="2"/>
  </r>
  <r>
    <s v="P085"/>
    <s v="Instagram"/>
    <d v="2025-04-19T00:00:00"/>
    <s v="Image"/>
    <s v="Check out our latest image on instagram!"/>
    <n v="4177"/>
    <n v="569"/>
    <n v="55"/>
    <n v="25062"/>
    <n v="24847"/>
    <n v="230"/>
    <s v="CybertruckLaunch"/>
    <s v="Hashtags Used"/>
    <x v="0"/>
  </r>
  <r>
    <s v="P085"/>
    <s v="Instagram"/>
    <d v="2025-04-19T00:00:00"/>
    <s v="Image"/>
    <s v="Check out our latest image on instagram!"/>
    <n v="4177"/>
    <n v="569"/>
    <n v="55"/>
    <n v="25062"/>
    <n v="24847"/>
    <n v="230"/>
    <s v="CybertruckLaunch"/>
    <s v="Hashtags-1"/>
    <x v="2"/>
  </r>
  <r>
    <s v="P085"/>
    <s v="Instagram"/>
    <d v="2025-04-19T00:00:00"/>
    <s v="Image"/>
    <s v="Check out our latest image on instagram!"/>
    <n v="4177"/>
    <n v="569"/>
    <n v="55"/>
    <n v="25062"/>
    <n v="24847"/>
    <n v="230"/>
    <s v="CybertruckLaunch"/>
    <s v="Hashtags_2"/>
    <x v="2"/>
  </r>
  <r>
    <s v="P086"/>
    <s v="YouTube"/>
    <d v="2025-01-27T00:00:00"/>
    <s v="Text"/>
    <s v="Check out our latest text on youtube!"/>
    <n v="3428"/>
    <n v="305"/>
    <n v="85"/>
    <n v="58276"/>
    <n v="58052"/>
    <n v="242"/>
    <s v="SustainabilityDrive"/>
    <s v="Hashtags Used"/>
    <x v="5"/>
  </r>
  <r>
    <s v="P086"/>
    <s v="YouTube"/>
    <d v="2025-01-27T00:00:00"/>
    <s v="Text"/>
    <s v="Check out our latest text on youtube!"/>
    <n v="3428"/>
    <n v="305"/>
    <n v="85"/>
    <n v="58276"/>
    <n v="58052"/>
    <n v="242"/>
    <s v="SustainabilityDrive"/>
    <s v="Hashtags-1"/>
    <x v="4"/>
  </r>
  <r>
    <s v="P086"/>
    <s v="YouTube"/>
    <d v="2025-01-27T00:00:00"/>
    <s v="Text"/>
    <s v="Check out our latest text on youtube!"/>
    <n v="3428"/>
    <n v="305"/>
    <n v="85"/>
    <n v="58276"/>
    <n v="58052"/>
    <n v="242"/>
    <s v="SustainabilityDrive"/>
    <s v="Hashtags_2"/>
    <x v="2"/>
  </r>
  <r>
    <s v="P087"/>
    <s v="Twitter"/>
    <d v="2024-06-06T00:00:00"/>
    <s v="Video"/>
    <s v="Check out our latest video on twitter!"/>
    <n v="1436"/>
    <n v="765"/>
    <n v="496"/>
    <n v="12924"/>
    <n v="12701"/>
    <n v="197"/>
    <s v="FSDUpdate"/>
    <s v="Hashtags Used"/>
    <x v="0"/>
  </r>
  <r>
    <s v="P087"/>
    <s v="Twitter"/>
    <d v="2024-06-06T00:00:00"/>
    <s v="Video"/>
    <s v="Check out our latest video on twitter!"/>
    <n v="1436"/>
    <n v="765"/>
    <n v="496"/>
    <n v="12924"/>
    <n v="12701"/>
    <n v="197"/>
    <s v="FSDUpdate"/>
    <s v="Hashtags-1"/>
    <x v="2"/>
  </r>
  <r>
    <s v="P087"/>
    <s v="Twitter"/>
    <d v="2024-06-06T00:00:00"/>
    <s v="Video"/>
    <s v="Check out our latest video on twitter!"/>
    <n v="1436"/>
    <n v="765"/>
    <n v="496"/>
    <n v="12924"/>
    <n v="12701"/>
    <n v="197"/>
    <s v="FSDUpdate"/>
    <s v="Hashtags_2"/>
    <x v="2"/>
  </r>
  <r>
    <s v="P088"/>
    <s v="Facebook"/>
    <d v="2024-07-07T00:00:00"/>
    <s v="Story"/>
    <s v="Check out our latest story on facebook!"/>
    <n v="302"/>
    <n v="47"/>
    <n v="430"/>
    <n v="5738"/>
    <n v="4890"/>
    <n v="25"/>
    <s v="SustainabilityDrive"/>
    <s v="Hashtags Used"/>
    <x v="3"/>
  </r>
  <r>
    <s v="P088"/>
    <s v="Facebook"/>
    <d v="2024-07-07T00:00:00"/>
    <s v="Story"/>
    <s v="Check out our latest story on facebook!"/>
    <n v="302"/>
    <n v="47"/>
    <n v="430"/>
    <n v="5738"/>
    <n v="4890"/>
    <n v="25"/>
    <s v="SustainabilityDrive"/>
    <s v="Hashtags-1"/>
    <x v="2"/>
  </r>
  <r>
    <s v="P088"/>
    <s v="Facebook"/>
    <d v="2024-07-07T00:00:00"/>
    <s v="Story"/>
    <s v="Check out our latest story on facebook!"/>
    <n v="302"/>
    <n v="47"/>
    <n v="430"/>
    <n v="5738"/>
    <n v="4890"/>
    <n v="25"/>
    <s v="SustainabilityDrive"/>
    <s v="Hashtags_2"/>
    <x v="2"/>
  </r>
  <r>
    <s v="P089"/>
    <s v="Twitter"/>
    <d v="2025-01-10T00:00:00"/>
    <s v="Image"/>
    <s v="Check out our latest image on twitter!"/>
    <n v="2214"/>
    <n v="249"/>
    <n v="152"/>
    <n v="15498"/>
    <n v="14800"/>
    <n v="180"/>
    <s v="unknown"/>
    <s v="Hashtags Used"/>
    <x v="5"/>
  </r>
  <r>
    <s v="P089"/>
    <s v="Twitter"/>
    <d v="2025-01-10T00:00:00"/>
    <s v="Image"/>
    <s v="Check out our latest image on twitter!"/>
    <n v="2214"/>
    <n v="249"/>
    <n v="152"/>
    <n v="15498"/>
    <n v="14800"/>
    <n v="180"/>
    <s v="unknown"/>
    <s v="Hashtags-1"/>
    <x v="2"/>
  </r>
  <r>
    <s v="P089"/>
    <s v="Twitter"/>
    <d v="2025-01-10T00:00:00"/>
    <s v="Image"/>
    <s v="Check out our latest image on twitter!"/>
    <n v="2214"/>
    <n v="249"/>
    <n v="152"/>
    <n v="15498"/>
    <n v="14800"/>
    <n v="180"/>
    <s v="unknown"/>
    <s v="Hashtags_2"/>
    <x v="2"/>
  </r>
  <r>
    <s v="P090"/>
    <s v="Instagram"/>
    <d v="2024-06-03T00:00:00"/>
    <s v="Image"/>
    <s v="Check out our latest image on instagram!"/>
    <n v="3861"/>
    <n v="960"/>
    <n v="101"/>
    <n v="69498"/>
    <n v="68817"/>
    <n v="297"/>
    <s v="SustainabilityDrive"/>
    <s v="Hashtags Used"/>
    <x v="3"/>
  </r>
  <r>
    <s v="P090"/>
    <s v="Instagram"/>
    <d v="2024-06-03T00:00:00"/>
    <s v="Image"/>
    <s v="Check out our latest image on instagram!"/>
    <n v="3861"/>
    <n v="960"/>
    <n v="101"/>
    <n v="69498"/>
    <n v="68817"/>
    <n v="297"/>
    <s v="SustainabilityDrive"/>
    <s v="Hashtags-1"/>
    <x v="2"/>
  </r>
  <r>
    <s v="P090"/>
    <s v="Instagram"/>
    <d v="2024-06-03T00:00:00"/>
    <s v="Image"/>
    <s v="Check out our latest image on instagram!"/>
    <n v="3861"/>
    <n v="960"/>
    <n v="101"/>
    <n v="69498"/>
    <n v="68817"/>
    <n v="297"/>
    <s v="SustainabilityDrive"/>
    <s v="Hashtags_2"/>
    <x v="2"/>
  </r>
  <r>
    <s v="P091"/>
    <s v="Facebook"/>
    <d v="2025-03-24T00:00:00"/>
    <s v="Image"/>
    <s v="Check out our latest image on facebook!"/>
    <n v="1263"/>
    <n v="397"/>
    <n v="357"/>
    <n v="25260"/>
    <n v="24615"/>
    <n v="137"/>
    <s v="SustainabilityDrive"/>
    <s v="Hashtags Used"/>
    <x v="5"/>
  </r>
  <r>
    <s v="P091"/>
    <s v="Facebook"/>
    <d v="2025-03-24T00:00:00"/>
    <s v="Image"/>
    <s v="Check out our latest image on facebook!"/>
    <n v="1263"/>
    <n v="397"/>
    <n v="357"/>
    <n v="25260"/>
    <n v="24615"/>
    <n v="137"/>
    <s v="SustainabilityDrive"/>
    <s v="Hashtags-1"/>
    <x v="2"/>
  </r>
  <r>
    <s v="P091"/>
    <s v="Facebook"/>
    <d v="2025-03-24T00:00:00"/>
    <s v="Image"/>
    <s v="Check out our latest image on facebook!"/>
    <n v="1263"/>
    <n v="397"/>
    <n v="357"/>
    <n v="25260"/>
    <n v="24615"/>
    <n v="137"/>
    <s v="SustainabilityDrive"/>
    <s v="Hashtags_2"/>
    <x v="2"/>
  </r>
  <r>
    <s v="P092"/>
    <s v="Twitter"/>
    <d v="2024-10-21T00:00:00"/>
    <s v="Story"/>
    <s v="Check out our latest story on twitter!"/>
    <n v="3801"/>
    <n v="967"/>
    <n v="401"/>
    <n v="38010"/>
    <n v="37625"/>
    <n v="236"/>
    <s v="FSDUpdate"/>
    <s v="Hashtags Used"/>
    <x v="0"/>
  </r>
  <r>
    <s v="P092"/>
    <s v="Twitter"/>
    <d v="2024-10-21T00:00:00"/>
    <s v="Story"/>
    <s v="Check out our latest story on twitter!"/>
    <n v="3801"/>
    <n v="967"/>
    <n v="401"/>
    <n v="38010"/>
    <n v="37625"/>
    <n v="236"/>
    <s v="FSDUpdate"/>
    <s v="Hashtags-1"/>
    <x v="2"/>
  </r>
  <r>
    <s v="P092"/>
    <s v="Twitter"/>
    <d v="2024-10-21T00:00:00"/>
    <s v="Story"/>
    <s v="Check out our latest story on twitter!"/>
    <n v="3801"/>
    <n v="967"/>
    <n v="401"/>
    <n v="38010"/>
    <n v="37625"/>
    <n v="236"/>
    <s v="FSDUpdate"/>
    <s v="Hashtags_2"/>
    <x v="2"/>
  </r>
  <r>
    <s v="P093"/>
    <s v="Instagram"/>
    <d v="2024-12-11T00:00:00"/>
    <s v="Video"/>
    <s v="Check out our latest video on instagram!"/>
    <n v="1431"/>
    <n v="951"/>
    <n v="26"/>
    <n v="8586"/>
    <n v="8396"/>
    <n v="150"/>
    <s v="FSDUpdate"/>
    <s v="Hashtags Used"/>
    <x v="5"/>
  </r>
  <r>
    <s v="P093"/>
    <s v="Instagram"/>
    <d v="2024-12-11T00:00:00"/>
    <s v="Video"/>
    <s v="Check out our latest video on instagram!"/>
    <n v="1431"/>
    <n v="951"/>
    <n v="26"/>
    <n v="8586"/>
    <n v="8396"/>
    <n v="150"/>
    <s v="FSDUpdate"/>
    <s v="Hashtags-1"/>
    <x v="2"/>
  </r>
  <r>
    <s v="P093"/>
    <s v="Instagram"/>
    <d v="2024-12-11T00:00:00"/>
    <s v="Video"/>
    <s v="Check out our latest video on instagram!"/>
    <n v="1431"/>
    <n v="951"/>
    <n v="26"/>
    <n v="8586"/>
    <n v="8396"/>
    <n v="150"/>
    <s v="FSDUpdate"/>
    <s v="Hashtags_2"/>
    <x v="2"/>
  </r>
  <r>
    <s v="P094"/>
    <s v="Instagram"/>
    <d v="2024-11-07T00:00:00"/>
    <s v="Image"/>
    <s v="Check out our latest image on instagram!"/>
    <n v="2647"/>
    <n v="304"/>
    <n v="170"/>
    <n v="18529"/>
    <n v="17841"/>
    <n v="46"/>
    <s v="FSDUpdate"/>
    <s v="Hashtags Used"/>
    <x v="0"/>
  </r>
  <r>
    <s v="P094"/>
    <s v="Instagram"/>
    <d v="2024-11-07T00:00:00"/>
    <s v="Image"/>
    <s v="Check out our latest image on instagram!"/>
    <n v="2647"/>
    <n v="304"/>
    <n v="170"/>
    <n v="18529"/>
    <n v="17841"/>
    <n v="46"/>
    <s v="FSDUpdate"/>
    <s v="Hashtags-1"/>
    <x v="2"/>
  </r>
  <r>
    <s v="P094"/>
    <s v="Instagram"/>
    <d v="2024-11-07T00:00:00"/>
    <s v="Image"/>
    <s v="Check out our latest image on instagram!"/>
    <n v="2647"/>
    <n v="304"/>
    <n v="170"/>
    <n v="18529"/>
    <n v="17841"/>
    <n v="46"/>
    <s v="FSDUpdate"/>
    <s v="Hashtags_2"/>
    <x v="2"/>
  </r>
  <r>
    <s v="P095"/>
    <s v="Instagram"/>
    <d v="2024-11-08T00:00:00"/>
    <s v="Text"/>
    <s v="Check out our latest text on instagram!"/>
    <n v="3182"/>
    <n v="559"/>
    <n v="160"/>
    <n v="57276"/>
    <n v="56890"/>
    <n v="163"/>
    <s v="SustainabilityDrive"/>
    <s v="Hashtags Used"/>
    <x v="0"/>
  </r>
  <r>
    <s v="P095"/>
    <s v="Instagram"/>
    <d v="2024-11-08T00:00:00"/>
    <s v="Text"/>
    <s v="Check out our latest text on instagram!"/>
    <n v="3182"/>
    <n v="559"/>
    <n v="160"/>
    <n v="57276"/>
    <n v="56890"/>
    <n v="163"/>
    <s v="SustainabilityDrive"/>
    <s v="Hashtags-1"/>
    <x v="2"/>
  </r>
  <r>
    <s v="P095"/>
    <s v="Instagram"/>
    <d v="2024-11-08T00:00:00"/>
    <s v="Text"/>
    <s v="Check out our latest text on instagram!"/>
    <n v="3182"/>
    <n v="559"/>
    <n v="160"/>
    <n v="57276"/>
    <n v="56890"/>
    <n v="163"/>
    <s v="SustainabilityDrive"/>
    <s v="Hashtags_2"/>
    <x v="2"/>
  </r>
  <r>
    <s v="P096"/>
    <s v="Twitter"/>
    <d v="2024-09-10T00:00:00"/>
    <s v="Image"/>
    <s v="Check out our latest image on twitter!"/>
    <n v="1238"/>
    <n v="366"/>
    <n v="444"/>
    <n v="19808"/>
    <n v="19334"/>
    <n v="123"/>
    <s v="unknown"/>
    <s v="Hashtags Used"/>
    <x v="0"/>
  </r>
  <r>
    <s v="P096"/>
    <s v="Twitter"/>
    <d v="2024-09-10T00:00:00"/>
    <s v="Image"/>
    <s v="Check out our latest image on twitter!"/>
    <n v="1238"/>
    <n v="366"/>
    <n v="444"/>
    <n v="19808"/>
    <n v="19334"/>
    <n v="123"/>
    <s v="unknown"/>
    <s v="Hashtags-1"/>
    <x v="2"/>
  </r>
  <r>
    <s v="P096"/>
    <s v="Twitter"/>
    <d v="2024-09-10T00:00:00"/>
    <s v="Image"/>
    <s v="Check out our latest image on twitter!"/>
    <n v="1238"/>
    <n v="366"/>
    <n v="444"/>
    <n v="19808"/>
    <n v="19334"/>
    <n v="123"/>
    <s v="unknown"/>
    <s v="Hashtags_2"/>
    <x v="2"/>
  </r>
  <r>
    <s v="P097"/>
    <s v="Instagram"/>
    <d v="2024-08-13T00:00:00"/>
    <s v="Image"/>
    <s v="Check out our latest image on instagram!"/>
    <n v="4739"/>
    <n v="527"/>
    <n v="135"/>
    <n v="61607"/>
    <n v="61333"/>
    <n v="36"/>
    <s v="ModelYCampaign"/>
    <s v="Hashtags Used"/>
    <x v="3"/>
  </r>
  <r>
    <s v="P097"/>
    <s v="Instagram"/>
    <d v="2024-08-13T00:00:00"/>
    <s v="Image"/>
    <s v="Check out our latest image on instagram!"/>
    <n v="4739"/>
    <n v="527"/>
    <n v="135"/>
    <n v="61607"/>
    <n v="61333"/>
    <n v="36"/>
    <s v="ModelYCampaign"/>
    <s v="Hashtags-1"/>
    <x v="1"/>
  </r>
  <r>
    <s v="P097"/>
    <s v="Instagram"/>
    <d v="2024-08-13T00:00:00"/>
    <s v="Image"/>
    <s v="Check out our latest image on instagram!"/>
    <n v="4739"/>
    <n v="527"/>
    <n v="135"/>
    <n v="61607"/>
    <n v="61333"/>
    <n v="36"/>
    <s v="ModelYCampaign"/>
    <s v="Hashtags_2"/>
    <x v="2"/>
  </r>
  <r>
    <s v="P098"/>
    <s v="Twitter"/>
    <d v="2024-06-10T00:00:00"/>
    <s v="Story"/>
    <s v="Check out our latest story on twitter!"/>
    <n v="1575"/>
    <n v="771"/>
    <n v="486"/>
    <n v="25200"/>
    <n v="24826"/>
    <n v="17"/>
    <s v="SustainabilityDrive"/>
    <s v="Hashtags Used"/>
    <x v="0"/>
  </r>
  <r>
    <s v="P098"/>
    <s v="Twitter"/>
    <d v="2024-06-10T00:00:00"/>
    <s v="Story"/>
    <s v="Check out our latest story on twitter!"/>
    <n v="1575"/>
    <n v="771"/>
    <n v="486"/>
    <n v="25200"/>
    <n v="24826"/>
    <n v="17"/>
    <s v="SustainabilityDrive"/>
    <s v="Hashtags-1"/>
    <x v="2"/>
  </r>
  <r>
    <s v="P098"/>
    <s v="Twitter"/>
    <d v="2024-06-10T00:00:00"/>
    <s v="Story"/>
    <s v="Check out our latest story on twitter!"/>
    <n v="1575"/>
    <n v="771"/>
    <n v="486"/>
    <n v="25200"/>
    <n v="24826"/>
    <n v="17"/>
    <s v="SustainabilityDrive"/>
    <s v="Hashtags_2"/>
    <x v="2"/>
  </r>
  <r>
    <s v="P099"/>
    <s v="YouTube"/>
    <d v="2024-07-02T00:00:00"/>
    <s v="Carousel"/>
    <s v="Check out our latest carousel on youtube!"/>
    <n v="4171"/>
    <n v="548"/>
    <n v="86"/>
    <n v="66736"/>
    <n v="66634"/>
    <n v="173"/>
    <s v="FSDUpdate"/>
    <s v="Hashtags Used"/>
    <x v="0"/>
  </r>
  <r>
    <s v="P099"/>
    <s v="YouTube"/>
    <d v="2024-07-02T00:00:00"/>
    <s v="Carousel"/>
    <s v="Check out our latest carousel on youtube!"/>
    <n v="4171"/>
    <n v="548"/>
    <n v="86"/>
    <n v="66736"/>
    <n v="66634"/>
    <n v="173"/>
    <s v="FSDUpdate"/>
    <s v="Hashtags-1"/>
    <x v="2"/>
  </r>
  <r>
    <s v="P099"/>
    <s v="YouTube"/>
    <d v="2024-07-02T00:00:00"/>
    <s v="Carousel"/>
    <s v="Check out our latest carousel on youtube!"/>
    <n v="4171"/>
    <n v="548"/>
    <n v="86"/>
    <n v="66736"/>
    <n v="66634"/>
    <n v="173"/>
    <s v="FSDUpdate"/>
    <s v="Hashtags_2"/>
    <x v="2"/>
  </r>
  <r>
    <s v="P100"/>
    <s v="YouTube"/>
    <d v="2025-02-10T00:00:00"/>
    <s v="Video"/>
    <s v="Check out our latest video on youtube!"/>
    <n v="1766"/>
    <n v="92"/>
    <n v="424"/>
    <n v="24724"/>
    <n v="24333"/>
    <n v="52"/>
    <s v="unknown"/>
    <s v="Hashtags Used"/>
    <x v="5"/>
  </r>
  <r>
    <s v="P100"/>
    <s v="YouTube"/>
    <d v="2025-02-10T00:00:00"/>
    <s v="Video"/>
    <s v="Check out our latest video on youtube!"/>
    <n v="1766"/>
    <n v="92"/>
    <n v="424"/>
    <n v="24724"/>
    <n v="24333"/>
    <n v="52"/>
    <s v="unknown"/>
    <s v="Hashtags-1"/>
    <x v="2"/>
  </r>
  <r>
    <s v="P100"/>
    <s v="YouTube"/>
    <d v="2025-02-10T00:00:00"/>
    <s v="Video"/>
    <s v="Check out our latest video on youtube!"/>
    <n v="1766"/>
    <n v="92"/>
    <n v="424"/>
    <n v="24724"/>
    <n v="24333"/>
    <n v="52"/>
    <s v="unknown"/>
    <s v="Hashtags_2"/>
    <x v="2"/>
  </r>
  <r>
    <s v="P101"/>
    <s v="YouTube"/>
    <d v="2024-10-18T00:00:00"/>
    <s v="Video"/>
    <s v="Check out our latest video on youtube!"/>
    <n v="4450"/>
    <n v="983"/>
    <n v="143"/>
    <n v="75650"/>
    <n v="75008"/>
    <n v="12"/>
    <s v="FSDUpdate"/>
    <s v="Hashtags Used"/>
    <x v="0"/>
  </r>
  <r>
    <s v="P101"/>
    <s v="YouTube"/>
    <d v="2024-10-18T00:00:00"/>
    <s v="Video"/>
    <s v="Check out our latest video on youtube!"/>
    <n v="4450"/>
    <n v="983"/>
    <n v="143"/>
    <n v="75650"/>
    <n v="75008"/>
    <n v="12"/>
    <s v="FSDUpdate"/>
    <s v="Hashtags-1"/>
    <x v="2"/>
  </r>
  <r>
    <s v="P101"/>
    <s v="YouTube"/>
    <d v="2024-10-18T00:00:00"/>
    <s v="Video"/>
    <s v="Check out our latest video on youtube!"/>
    <n v="4450"/>
    <n v="983"/>
    <n v="143"/>
    <n v="75650"/>
    <n v="75008"/>
    <n v="12"/>
    <s v="FSDUpdate"/>
    <s v="Hashtags_2"/>
    <x v="2"/>
  </r>
  <r>
    <s v="P102"/>
    <s v="Twitter"/>
    <d v="2024-09-18T00:00:00"/>
    <s v="Reel"/>
    <s v="Check out our latest reel on twitter!"/>
    <n v="1000"/>
    <n v="978"/>
    <n v="162"/>
    <n v="6000"/>
    <n v="5221"/>
    <n v="223"/>
    <s v="ModelYCampaign"/>
    <s v="Hashtags Used"/>
    <x v="5"/>
  </r>
  <r>
    <s v="P102"/>
    <s v="Twitter"/>
    <d v="2024-09-18T00:00:00"/>
    <s v="Reel"/>
    <s v="Check out our latest reel on twitter!"/>
    <n v="1000"/>
    <n v="978"/>
    <n v="162"/>
    <n v="6000"/>
    <n v="5221"/>
    <n v="223"/>
    <s v="ModelYCampaign"/>
    <s v="Hashtags-1"/>
    <x v="2"/>
  </r>
  <r>
    <s v="P102"/>
    <s v="Twitter"/>
    <d v="2024-09-18T00:00:00"/>
    <s v="Reel"/>
    <s v="Check out our latest reel on twitter!"/>
    <n v="1000"/>
    <n v="978"/>
    <n v="162"/>
    <n v="6000"/>
    <n v="5221"/>
    <n v="223"/>
    <s v="ModelYCampaign"/>
    <s v="Hashtags_2"/>
    <x v="2"/>
  </r>
  <r>
    <s v="P103"/>
    <s v="Facebook"/>
    <d v="2024-06-11T00:00:00"/>
    <s v="Image"/>
    <s v="Check out our latest image on facebook!"/>
    <n v="3689"/>
    <n v="48"/>
    <n v="306"/>
    <n v="40579"/>
    <n v="39588"/>
    <n v="212"/>
    <s v="ModelYCampaign"/>
    <s v="Hashtags Used"/>
    <x v="5"/>
  </r>
  <r>
    <s v="P103"/>
    <s v="Facebook"/>
    <d v="2024-06-11T00:00:00"/>
    <s v="Image"/>
    <s v="Check out our latest image on facebook!"/>
    <n v="3689"/>
    <n v="48"/>
    <n v="306"/>
    <n v="40579"/>
    <n v="39588"/>
    <n v="212"/>
    <s v="ModelYCampaign"/>
    <s v="Hashtags-1"/>
    <x v="2"/>
  </r>
  <r>
    <s v="P103"/>
    <s v="Facebook"/>
    <d v="2024-06-11T00:00:00"/>
    <s v="Image"/>
    <s v="Check out our latest image on facebook!"/>
    <n v="3689"/>
    <n v="48"/>
    <n v="306"/>
    <n v="40579"/>
    <n v="39588"/>
    <n v="212"/>
    <s v="ModelYCampaign"/>
    <s v="Hashtags_2"/>
    <x v="2"/>
  </r>
  <r>
    <s v="P104"/>
    <s v="YouTube"/>
    <d v="2025-03-23T00:00:00"/>
    <s v="Story"/>
    <s v="Check out our latest story on youtube!"/>
    <n v="3655"/>
    <n v="568"/>
    <n v="286"/>
    <n v="32895"/>
    <n v="32015"/>
    <n v="199"/>
    <s v="FSDUpdate"/>
    <s v="Hashtags Used"/>
    <x v="3"/>
  </r>
  <r>
    <s v="P104"/>
    <s v="YouTube"/>
    <d v="2025-03-23T00:00:00"/>
    <s v="Story"/>
    <s v="Check out our latest story on youtube!"/>
    <n v="3655"/>
    <n v="568"/>
    <n v="286"/>
    <n v="32895"/>
    <n v="32015"/>
    <n v="199"/>
    <s v="FSDUpdate"/>
    <s v="Hashtags-1"/>
    <x v="2"/>
  </r>
  <r>
    <s v="P104"/>
    <s v="YouTube"/>
    <d v="2025-03-23T00:00:00"/>
    <s v="Story"/>
    <s v="Check out our latest story on youtube!"/>
    <n v="3655"/>
    <n v="568"/>
    <n v="286"/>
    <n v="32895"/>
    <n v="32015"/>
    <n v="199"/>
    <s v="FSDUpdate"/>
    <s v="Hashtags_2"/>
    <x v="2"/>
  </r>
  <r>
    <s v="P105"/>
    <s v="Instagram"/>
    <d v="2024-06-14T00:00:00"/>
    <s v="Carousel"/>
    <s v="Check out our latest carousel on instagram!"/>
    <n v="498"/>
    <n v="38"/>
    <n v="42"/>
    <n v="4482"/>
    <n v="3647"/>
    <n v="32"/>
    <s v="CybertruckLaunch"/>
    <s v="Hashtags Used"/>
    <x v="0"/>
  </r>
  <r>
    <s v="P105"/>
    <s v="Instagram"/>
    <d v="2024-06-14T00:00:00"/>
    <s v="Carousel"/>
    <s v="Check out our latest carousel on instagram!"/>
    <n v="498"/>
    <n v="38"/>
    <n v="42"/>
    <n v="4482"/>
    <n v="3647"/>
    <n v="32"/>
    <s v="CybertruckLaunch"/>
    <s v="Hashtags-1"/>
    <x v="2"/>
  </r>
  <r>
    <s v="P105"/>
    <s v="Instagram"/>
    <d v="2024-06-14T00:00:00"/>
    <s v="Carousel"/>
    <s v="Check out our latest carousel on instagram!"/>
    <n v="498"/>
    <n v="38"/>
    <n v="42"/>
    <n v="4482"/>
    <n v="3647"/>
    <n v="32"/>
    <s v="CybertruckLaunch"/>
    <s v="Hashtags_2"/>
    <x v="2"/>
  </r>
  <r>
    <s v="P106"/>
    <s v="Instagram"/>
    <d v="2025-02-04T00:00:00"/>
    <s v="Image"/>
    <s v="Check out our latest image on instagram!"/>
    <n v="4619"/>
    <n v="821"/>
    <n v="499"/>
    <n v="69285"/>
    <n v="69141"/>
    <n v="298"/>
    <s v="SustainabilityDrive"/>
    <s v="Hashtags Used"/>
    <x v="3"/>
  </r>
  <r>
    <s v="P106"/>
    <s v="Instagram"/>
    <d v="2025-02-04T00:00:00"/>
    <s v="Image"/>
    <s v="Check out our latest image on instagram!"/>
    <n v="4619"/>
    <n v="821"/>
    <n v="499"/>
    <n v="69285"/>
    <n v="69141"/>
    <n v="298"/>
    <s v="SustainabilityDrive"/>
    <s v="Hashtags-1"/>
    <x v="2"/>
  </r>
  <r>
    <s v="P106"/>
    <s v="Instagram"/>
    <d v="2025-02-04T00:00:00"/>
    <s v="Image"/>
    <s v="Check out our latest image on instagram!"/>
    <n v="4619"/>
    <n v="821"/>
    <n v="499"/>
    <n v="69285"/>
    <n v="69141"/>
    <n v="298"/>
    <s v="SustainabilityDrive"/>
    <s v="Hashtags_2"/>
    <x v="2"/>
  </r>
  <r>
    <s v="P107"/>
    <s v="YouTube"/>
    <d v="2024-06-21T00:00:00"/>
    <s v="Image"/>
    <s v="Check out our latest image on youtube!"/>
    <n v="4832"/>
    <n v="893"/>
    <n v="10"/>
    <n v="91808"/>
    <n v="91296"/>
    <n v="182"/>
    <s v="unknown"/>
    <s v="Hashtags Used"/>
    <x v="3"/>
  </r>
  <r>
    <s v="P107"/>
    <s v="YouTube"/>
    <d v="2024-06-21T00:00:00"/>
    <s v="Image"/>
    <s v="Check out our latest image on youtube!"/>
    <n v="4832"/>
    <n v="893"/>
    <n v="10"/>
    <n v="91808"/>
    <n v="91296"/>
    <n v="182"/>
    <s v="unknown"/>
    <s v="Hashtags-1"/>
    <x v="2"/>
  </r>
  <r>
    <s v="P107"/>
    <s v="YouTube"/>
    <d v="2024-06-21T00:00:00"/>
    <s v="Image"/>
    <s v="Check out our latest image on youtube!"/>
    <n v="4832"/>
    <n v="893"/>
    <n v="10"/>
    <n v="91808"/>
    <n v="91296"/>
    <n v="182"/>
    <s v="unknown"/>
    <s v="Hashtags_2"/>
    <x v="2"/>
  </r>
  <r>
    <s v="P108"/>
    <s v="Twitter"/>
    <d v="2025-03-25T00:00:00"/>
    <s v="Video"/>
    <s v="Check out our latest video on twitter!"/>
    <n v="4050"/>
    <n v="871"/>
    <n v="347"/>
    <n v="52650"/>
    <n v="51755"/>
    <n v="209"/>
    <s v="ModelYCampaign"/>
    <s v="Hashtags Used"/>
    <x v="3"/>
  </r>
  <r>
    <s v="P108"/>
    <s v="Twitter"/>
    <d v="2025-03-25T00:00:00"/>
    <s v="Video"/>
    <s v="Check out our latest video on twitter!"/>
    <n v="4050"/>
    <n v="871"/>
    <n v="347"/>
    <n v="52650"/>
    <n v="51755"/>
    <n v="209"/>
    <s v="ModelYCampaign"/>
    <s v="Hashtags-1"/>
    <x v="2"/>
  </r>
  <r>
    <s v="P108"/>
    <s v="Twitter"/>
    <d v="2025-03-25T00:00:00"/>
    <s v="Video"/>
    <s v="Check out our latest video on twitter!"/>
    <n v="4050"/>
    <n v="871"/>
    <n v="347"/>
    <n v="52650"/>
    <n v="51755"/>
    <n v="209"/>
    <s v="ModelYCampaign"/>
    <s v="Hashtags_2"/>
    <x v="2"/>
  </r>
  <r>
    <s v="P109"/>
    <s v="Twitter"/>
    <d v="2024-08-08T00:00:00"/>
    <s v="Story"/>
    <s v="Check out our latest story on twitter!"/>
    <n v="3649"/>
    <n v="215"/>
    <n v="413"/>
    <n v="25543"/>
    <n v="24963"/>
    <n v="167"/>
    <s v="FSDUpdate"/>
    <s v="Hashtags Used"/>
    <x v="0"/>
  </r>
  <r>
    <s v="P109"/>
    <s v="Twitter"/>
    <d v="2024-08-08T00:00:00"/>
    <s v="Story"/>
    <s v="Check out our latest story on twitter!"/>
    <n v="3649"/>
    <n v="215"/>
    <n v="413"/>
    <n v="25543"/>
    <n v="24963"/>
    <n v="167"/>
    <s v="FSDUpdate"/>
    <s v="Hashtags-1"/>
    <x v="2"/>
  </r>
  <r>
    <s v="P109"/>
    <s v="Twitter"/>
    <d v="2024-08-08T00:00:00"/>
    <s v="Story"/>
    <s v="Check out our latest story on twitter!"/>
    <n v="3649"/>
    <n v="215"/>
    <n v="413"/>
    <n v="25543"/>
    <n v="24963"/>
    <n v="167"/>
    <s v="FSDUpdate"/>
    <s v="Hashtags_2"/>
    <x v="2"/>
  </r>
  <r>
    <s v="P110"/>
    <s v="Instagram"/>
    <d v="2024-07-29T00:00:00"/>
    <s v="Reel"/>
    <s v="Check out our latest reel on instagram!"/>
    <n v="3523"/>
    <n v="753"/>
    <n v="482"/>
    <n v="38753"/>
    <n v="38579"/>
    <n v="270"/>
    <s v="ModelYCampaign"/>
    <s v="Hashtags Used"/>
    <x v="5"/>
  </r>
  <r>
    <s v="P110"/>
    <s v="Instagram"/>
    <d v="2024-07-29T00:00:00"/>
    <s v="Reel"/>
    <s v="Check out our latest reel on instagram!"/>
    <n v="3523"/>
    <n v="753"/>
    <n v="482"/>
    <n v="38753"/>
    <n v="38579"/>
    <n v="270"/>
    <s v="ModelYCampaign"/>
    <s v="Hashtags-1"/>
    <x v="2"/>
  </r>
  <r>
    <s v="P110"/>
    <s v="Instagram"/>
    <d v="2024-07-29T00:00:00"/>
    <s v="Reel"/>
    <s v="Check out our latest reel on instagram!"/>
    <n v="3523"/>
    <n v="753"/>
    <n v="482"/>
    <n v="38753"/>
    <n v="38579"/>
    <n v="270"/>
    <s v="ModelYCampaign"/>
    <s v="Hashtags_2"/>
    <x v="2"/>
  </r>
  <r>
    <s v="P111"/>
    <s v="YouTube"/>
    <d v="2024-11-23T00:00:00"/>
    <s v="Image"/>
    <s v="Check out our latest image on youtube!"/>
    <n v="2719"/>
    <n v="17"/>
    <n v="285"/>
    <n v="40785"/>
    <n v="40281"/>
    <n v="40"/>
    <s v="ModelYCampaign"/>
    <s v="Hashtags Used"/>
    <x v="3"/>
  </r>
  <r>
    <s v="P111"/>
    <s v="YouTube"/>
    <d v="2024-11-23T00:00:00"/>
    <s v="Image"/>
    <s v="Check out our latest image on youtube!"/>
    <n v="2719"/>
    <n v="17"/>
    <n v="285"/>
    <n v="40785"/>
    <n v="40281"/>
    <n v="40"/>
    <s v="ModelYCampaign"/>
    <s v="Hashtags-1"/>
    <x v="2"/>
  </r>
  <r>
    <s v="P111"/>
    <s v="YouTube"/>
    <d v="2024-11-23T00:00:00"/>
    <s v="Image"/>
    <s v="Check out our latest image on youtube!"/>
    <n v="2719"/>
    <n v="17"/>
    <n v="285"/>
    <n v="40785"/>
    <n v="40281"/>
    <n v="40"/>
    <s v="ModelYCampaign"/>
    <s v="Hashtags_2"/>
    <x v="2"/>
  </r>
  <r>
    <s v="P112"/>
    <s v="Twitter"/>
    <d v="2024-10-05T00:00:00"/>
    <s v="Story"/>
    <s v="Check out our latest story on twitter!"/>
    <n v="1957"/>
    <n v="877"/>
    <n v="238"/>
    <n v="17613"/>
    <n v="16865"/>
    <n v="297"/>
    <s v="FSDUpdate"/>
    <s v="Hashtags Used"/>
    <x v="0"/>
  </r>
  <r>
    <s v="P112"/>
    <s v="Twitter"/>
    <d v="2024-10-05T00:00:00"/>
    <s v="Story"/>
    <s v="Check out our latest story on twitter!"/>
    <n v="1957"/>
    <n v="877"/>
    <n v="238"/>
    <n v="17613"/>
    <n v="16865"/>
    <n v="297"/>
    <s v="FSDUpdate"/>
    <s v="Hashtags-1"/>
    <x v="2"/>
  </r>
  <r>
    <s v="P112"/>
    <s v="Twitter"/>
    <d v="2024-10-05T00:00:00"/>
    <s v="Story"/>
    <s v="Check out our latest story on twitter!"/>
    <n v="1957"/>
    <n v="877"/>
    <n v="238"/>
    <n v="17613"/>
    <n v="16865"/>
    <n v="297"/>
    <s v="FSDUpdate"/>
    <s v="Hashtags_2"/>
    <x v="2"/>
  </r>
  <r>
    <s v="P113"/>
    <s v="Twitter"/>
    <d v="2024-10-02T00:00:00"/>
    <s v="Carousel"/>
    <s v="Check out our latest carousel on twitter!"/>
    <n v="4419"/>
    <n v="236"/>
    <n v="369"/>
    <n v="44190"/>
    <n v="43582"/>
    <n v="10"/>
    <s v="CybertruckLaunch"/>
    <s v="Hashtags Used"/>
    <x v="5"/>
  </r>
  <r>
    <s v="P113"/>
    <s v="Twitter"/>
    <d v="2024-10-02T00:00:00"/>
    <s v="Carousel"/>
    <s v="Check out our latest carousel on twitter!"/>
    <n v="4419"/>
    <n v="236"/>
    <n v="369"/>
    <n v="44190"/>
    <n v="43582"/>
    <n v="10"/>
    <s v="CybertruckLaunch"/>
    <s v="Hashtags-1"/>
    <x v="2"/>
  </r>
  <r>
    <s v="P113"/>
    <s v="Twitter"/>
    <d v="2024-10-02T00:00:00"/>
    <s v="Carousel"/>
    <s v="Check out our latest carousel on twitter!"/>
    <n v="4419"/>
    <n v="236"/>
    <n v="369"/>
    <n v="44190"/>
    <n v="43582"/>
    <n v="10"/>
    <s v="CybertruckLaunch"/>
    <s v="Hashtags_2"/>
    <x v="2"/>
  </r>
  <r>
    <s v="P114"/>
    <s v="Twitter"/>
    <d v="2024-11-14T00:00:00"/>
    <s v="Story"/>
    <s v="Check out our latest story on twitter!"/>
    <n v="4000"/>
    <n v="689"/>
    <n v="488"/>
    <n v="40000"/>
    <n v="39569"/>
    <n v="44"/>
    <s v="CybertruckLaunch"/>
    <s v="Hashtags Used"/>
    <x v="0"/>
  </r>
  <r>
    <s v="P114"/>
    <s v="Twitter"/>
    <d v="2024-11-14T00:00:00"/>
    <s v="Story"/>
    <s v="Check out our latest story on twitter!"/>
    <n v="4000"/>
    <n v="689"/>
    <n v="488"/>
    <n v="40000"/>
    <n v="39569"/>
    <n v="44"/>
    <s v="CybertruckLaunch"/>
    <s v="Hashtags-1"/>
    <x v="2"/>
  </r>
  <r>
    <s v="P114"/>
    <s v="Twitter"/>
    <d v="2024-11-14T00:00:00"/>
    <s v="Story"/>
    <s v="Check out our latest story on twitter!"/>
    <n v="4000"/>
    <n v="689"/>
    <n v="488"/>
    <n v="40000"/>
    <n v="39569"/>
    <n v="44"/>
    <s v="CybertruckLaunch"/>
    <s v="Hashtags_2"/>
    <x v="2"/>
  </r>
  <r>
    <s v="P115"/>
    <s v="Twitter"/>
    <d v="2025-05-11T00:00:00"/>
    <s v="Image"/>
    <s v="Check out our latest image on twitter!"/>
    <n v="2493"/>
    <n v="97"/>
    <n v="44"/>
    <n v="42381"/>
    <n v="41991"/>
    <n v="242"/>
    <s v="SustainabilityDrive"/>
    <s v="Hashtags Used"/>
    <x v="3"/>
  </r>
  <r>
    <s v="P115"/>
    <s v="Twitter"/>
    <d v="2025-05-11T00:00:00"/>
    <s v="Image"/>
    <s v="Check out our latest image on twitter!"/>
    <n v="2493"/>
    <n v="97"/>
    <n v="44"/>
    <n v="42381"/>
    <n v="41991"/>
    <n v="242"/>
    <s v="SustainabilityDrive"/>
    <s v="Hashtags-1"/>
    <x v="1"/>
  </r>
  <r>
    <s v="P115"/>
    <s v="Twitter"/>
    <d v="2025-05-11T00:00:00"/>
    <s v="Image"/>
    <s v="Check out our latest image on twitter!"/>
    <n v="2493"/>
    <n v="97"/>
    <n v="44"/>
    <n v="42381"/>
    <n v="41991"/>
    <n v="242"/>
    <s v="SustainabilityDrive"/>
    <s v="Hashtags_2"/>
    <x v="2"/>
  </r>
  <r>
    <s v="P116"/>
    <s v="YouTube"/>
    <d v="2025-03-18T00:00:00"/>
    <s v="Reel"/>
    <s v="Check out our latest reel on youtube!"/>
    <n v="3704"/>
    <n v="186"/>
    <n v="458"/>
    <n v="25928"/>
    <n v="25081"/>
    <n v="131"/>
    <s v="unknown"/>
    <s v="Hashtags Used"/>
    <x v="3"/>
  </r>
  <r>
    <s v="P116"/>
    <s v="YouTube"/>
    <d v="2025-03-18T00:00:00"/>
    <s v="Reel"/>
    <s v="Check out our latest reel on youtube!"/>
    <n v="3704"/>
    <n v="186"/>
    <n v="458"/>
    <n v="25928"/>
    <n v="25081"/>
    <n v="131"/>
    <s v="unknown"/>
    <s v="Hashtags-1"/>
    <x v="2"/>
  </r>
  <r>
    <s v="P116"/>
    <s v="YouTube"/>
    <d v="2025-03-18T00:00:00"/>
    <s v="Reel"/>
    <s v="Check out our latest reel on youtube!"/>
    <n v="3704"/>
    <n v="186"/>
    <n v="458"/>
    <n v="25928"/>
    <n v="25081"/>
    <n v="131"/>
    <s v="unknown"/>
    <s v="Hashtags_2"/>
    <x v="2"/>
  </r>
  <r>
    <s v="P117"/>
    <s v="Twitter"/>
    <d v="2024-11-04T00:00:00"/>
    <s v="Image"/>
    <s v="Check out our latest image on twitter!"/>
    <n v="1606"/>
    <n v="451"/>
    <n v="405"/>
    <n v="20878"/>
    <n v="20190"/>
    <n v="219"/>
    <s v="SustainabilityDrive"/>
    <s v="Hashtags Used"/>
    <x v="5"/>
  </r>
  <r>
    <s v="P117"/>
    <s v="Twitter"/>
    <d v="2024-11-04T00:00:00"/>
    <s v="Image"/>
    <s v="Check out our latest image on twitter!"/>
    <n v="1606"/>
    <n v="451"/>
    <n v="405"/>
    <n v="20878"/>
    <n v="20190"/>
    <n v="219"/>
    <s v="SustainabilityDrive"/>
    <s v="Hashtags-1"/>
    <x v="2"/>
  </r>
  <r>
    <s v="P117"/>
    <s v="Twitter"/>
    <d v="2024-11-04T00:00:00"/>
    <s v="Image"/>
    <s v="Check out our latest image on twitter!"/>
    <n v="1606"/>
    <n v="451"/>
    <n v="405"/>
    <n v="20878"/>
    <n v="20190"/>
    <n v="219"/>
    <s v="SustainabilityDrive"/>
    <s v="Hashtags_2"/>
    <x v="2"/>
  </r>
  <r>
    <s v="P118"/>
    <s v="Facebook"/>
    <d v="2024-11-04T00:00:00"/>
    <s v="Image"/>
    <s v="Check out our latest image on facebook!"/>
    <n v="4551"/>
    <n v="714"/>
    <n v="207"/>
    <n v="68265"/>
    <n v="67754"/>
    <n v="57"/>
    <s v="FSDUpdate"/>
    <s v="Hashtags Used"/>
    <x v="0"/>
  </r>
  <r>
    <s v="P118"/>
    <s v="Facebook"/>
    <d v="2024-11-04T00:00:00"/>
    <s v="Image"/>
    <s v="Check out our latest image on facebook!"/>
    <n v="4551"/>
    <n v="714"/>
    <n v="207"/>
    <n v="68265"/>
    <n v="67754"/>
    <n v="57"/>
    <s v="FSDUpdate"/>
    <s v="Hashtags-1"/>
    <x v="2"/>
  </r>
  <r>
    <s v="P118"/>
    <s v="Facebook"/>
    <d v="2024-11-04T00:00:00"/>
    <s v="Image"/>
    <s v="Check out our latest image on facebook!"/>
    <n v="4551"/>
    <n v="714"/>
    <n v="207"/>
    <n v="68265"/>
    <n v="67754"/>
    <n v="57"/>
    <s v="FSDUpdate"/>
    <s v="Hashtags_2"/>
    <x v="2"/>
  </r>
  <r>
    <s v="P119"/>
    <s v="Instagram"/>
    <d v="2025-02-07T00:00:00"/>
    <s v="Reel"/>
    <s v="Check out our latest reel on instagram!"/>
    <n v="1970"/>
    <n v="675"/>
    <n v="478"/>
    <n v="9850"/>
    <n v="8924"/>
    <n v="117"/>
    <s v="unknown"/>
    <s v="Hashtags Used"/>
    <x v="0"/>
  </r>
  <r>
    <s v="P119"/>
    <s v="Instagram"/>
    <d v="2025-02-07T00:00:00"/>
    <s v="Reel"/>
    <s v="Check out our latest reel on instagram!"/>
    <n v="1970"/>
    <n v="675"/>
    <n v="478"/>
    <n v="9850"/>
    <n v="8924"/>
    <n v="117"/>
    <s v="unknown"/>
    <s v="Hashtags-1"/>
    <x v="2"/>
  </r>
  <r>
    <s v="P119"/>
    <s v="Instagram"/>
    <d v="2025-02-07T00:00:00"/>
    <s v="Reel"/>
    <s v="Check out our latest reel on instagram!"/>
    <n v="1970"/>
    <n v="675"/>
    <n v="478"/>
    <n v="9850"/>
    <n v="8924"/>
    <n v="117"/>
    <s v="unknown"/>
    <s v="Hashtags_2"/>
    <x v="2"/>
  </r>
  <r>
    <s v="P120"/>
    <s v="Facebook"/>
    <d v="2024-10-21T00:00:00"/>
    <s v="Story"/>
    <s v="Check out our latest story on facebook!"/>
    <n v="780"/>
    <n v="928"/>
    <n v="301"/>
    <n v="8580"/>
    <n v="8081"/>
    <n v="91"/>
    <s v="FSDUpdate"/>
    <s v="Hashtags Used"/>
    <x v="5"/>
  </r>
  <r>
    <s v="P120"/>
    <s v="Facebook"/>
    <d v="2024-10-21T00:00:00"/>
    <s v="Story"/>
    <s v="Check out our latest story on facebook!"/>
    <n v="780"/>
    <n v="928"/>
    <n v="301"/>
    <n v="8580"/>
    <n v="8081"/>
    <n v="91"/>
    <s v="FSDUpdate"/>
    <s v="Hashtags-1"/>
    <x v="2"/>
  </r>
  <r>
    <s v="P120"/>
    <s v="Facebook"/>
    <d v="2024-10-21T00:00:00"/>
    <s v="Story"/>
    <s v="Check out our latest story on facebook!"/>
    <n v="780"/>
    <n v="928"/>
    <n v="301"/>
    <n v="8580"/>
    <n v="8081"/>
    <n v="91"/>
    <s v="FSDUpdate"/>
    <s v="Hashtags_2"/>
    <x v="2"/>
  </r>
  <r>
    <s v="P121"/>
    <s v="Instagram"/>
    <d v="2024-07-29T00:00:00"/>
    <s v="Story"/>
    <s v="Check out our latest story on instagram!"/>
    <n v="498"/>
    <n v="701"/>
    <n v="412"/>
    <n v="4980"/>
    <n v="4185"/>
    <n v="185"/>
    <s v="unknown"/>
    <s v="Hashtags Used"/>
    <x v="0"/>
  </r>
  <r>
    <s v="P121"/>
    <s v="Instagram"/>
    <d v="2024-07-29T00:00:00"/>
    <s v="Story"/>
    <s v="Check out our latest story on instagram!"/>
    <n v="498"/>
    <n v="701"/>
    <n v="412"/>
    <n v="4980"/>
    <n v="4185"/>
    <n v="185"/>
    <s v="unknown"/>
    <s v="Hashtags-1"/>
    <x v="2"/>
  </r>
  <r>
    <s v="P121"/>
    <s v="Instagram"/>
    <d v="2024-07-29T00:00:00"/>
    <s v="Story"/>
    <s v="Check out our latest story on instagram!"/>
    <n v="498"/>
    <n v="701"/>
    <n v="412"/>
    <n v="4980"/>
    <n v="4185"/>
    <n v="185"/>
    <s v="unknown"/>
    <s v="Hashtags_2"/>
    <x v="2"/>
  </r>
  <r>
    <s v="P122"/>
    <s v="Instagram"/>
    <d v="2024-10-02T00:00:00"/>
    <s v="Text"/>
    <s v="Check out our latest text on instagram!"/>
    <n v="3432"/>
    <n v="869"/>
    <n v="123"/>
    <n v="54912"/>
    <n v="53916"/>
    <n v="264"/>
    <s v="ModelYCampaign"/>
    <s v="Hashtags Used"/>
    <x v="5"/>
  </r>
  <r>
    <s v="P122"/>
    <s v="Instagram"/>
    <d v="2024-10-02T00:00:00"/>
    <s v="Text"/>
    <s v="Check out our latest text on instagram!"/>
    <n v="3432"/>
    <n v="869"/>
    <n v="123"/>
    <n v="54912"/>
    <n v="53916"/>
    <n v="264"/>
    <s v="ModelYCampaign"/>
    <s v="Hashtags-1"/>
    <x v="2"/>
  </r>
  <r>
    <s v="P122"/>
    <s v="Instagram"/>
    <d v="2024-10-02T00:00:00"/>
    <s v="Text"/>
    <s v="Check out our latest text on instagram!"/>
    <n v="3432"/>
    <n v="869"/>
    <n v="123"/>
    <n v="54912"/>
    <n v="53916"/>
    <n v="264"/>
    <s v="ModelYCampaign"/>
    <s v="Hashtags_2"/>
    <x v="2"/>
  </r>
  <r>
    <s v="P123"/>
    <s v="Instagram"/>
    <d v="2024-06-14T00:00:00"/>
    <s v="Story"/>
    <s v="Check out our latest story on instagram!"/>
    <n v="4363"/>
    <n v="649"/>
    <n v="140"/>
    <n v="21815"/>
    <n v="21481"/>
    <n v="157"/>
    <s v="CybertruckLaunch"/>
    <s v="Hashtags Used"/>
    <x v="5"/>
  </r>
  <r>
    <s v="P123"/>
    <s v="Instagram"/>
    <d v="2024-06-14T00:00:00"/>
    <s v="Story"/>
    <s v="Check out our latest story on instagram!"/>
    <n v="4363"/>
    <n v="649"/>
    <n v="140"/>
    <n v="21815"/>
    <n v="21481"/>
    <n v="157"/>
    <s v="CybertruckLaunch"/>
    <s v="Hashtags-1"/>
    <x v="2"/>
  </r>
  <r>
    <s v="P123"/>
    <s v="Instagram"/>
    <d v="2024-06-14T00:00:00"/>
    <s v="Story"/>
    <s v="Check out our latest story on instagram!"/>
    <n v="4363"/>
    <n v="649"/>
    <n v="140"/>
    <n v="21815"/>
    <n v="21481"/>
    <n v="157"/>
    <s v="CybertruckLaunch"/>
    <s v="Hashtags_2"/>
    <x v="2"/>
  </r>
  <r>
    <s v="P124"/>
    <s v="YouTube"/>
    <d v="2025-04-06T00:00:00"/>
    <s v="Carousel"/>
    <s v="Check out our latest carousel on youtube!"/>
    <n v="736"/>
    <n v="771"/>
    <n v="225"/>
    <n v="5152"/>
    <n v="4706"/>
    <n v="19"/>
    <s v="CybertruckLaunch"/>
    <s v="Hashtags Used"/>
    <x v="5"/>
  </r>
  <r>
    <s v="P124"/>
    <s v="YouTube"/>
    <d v="2025-04-06T00:00:00"/>
    <s v="Carousel"/>
    <s v="Check out our latest carousel on youtube!"/>
    <n v="736"/>
    <n v="771"/>
    <n v="225"/>
    <n v="5152"/>
    <n v="4706"/>
    <n v="19"/>
    <s v="CybertruckLaunch"/>
    <s v="Hashtags-1"/>
    <x v="2"/>
  </r>
  <r>
    <s v="P124"/>
    <s v="YouTube"/>
    <d v="2025-04-06T00:00:00"/>
    <s v="Carousel"/>
    <s v="Check out our latest carousel on youtube!"/>
    <n v="736"/>
    <n v="771"/>
    <n v="225"/>
    <n v="5152"/>
    <n v="4706"/>
    <n v="19"/>
    <s v="CybertruckLaunch"/>
    <s v="Hashtags_2"/>
    <x v="2"/>
  </r>
  <r>
    <s v="P125"/>
    <s v="Twitter"/>
    <d v="2024-09-08T00:00:00"/>
    <s v="Carousel"/>
    <s v="Check out our latest carousel on twitter!"/>
    <n v="3811"/>
    <n v="866"/>
    <n v="216"/>
    <n v="34299"/>
    <n v="34088"/>
    <n v="233"/>
    <s v="SustainabilityDrive"/>
    <s v="Hashtags Used"/>
    <x v="3"/>
  </r>
  <r>
    <s v="P125"/>
    <s v="Twitter"/>
    <d v="2024-09-08T00:00:00"/>
    <s v="Carousel"/>
    <s v="Check out our latest carousel on twitter!"/>
    <n v="3811"/>
    <n v="866"/>
    <n v="216"/>
    <n v="34299"/>
    <n v="34088"/>
    <n v="233"/>
    <s v="SustainabilityDrive"/>
    <s v="Hashtags-1"/>
    <x v="2"/>
  </r>
  <r>
    <s v="P125"/>
    <s v="Twitter"/>
    <d v="2024-09-08T00:00:00"/>
    <s v="Carousel"/>
    <s v="Check out our latest carousel on twitter!"/>
    <n v="3811"/>
    <n v="866"/>
    <n v="216"/>
    <n v="34299"/>
    <n v="34088"/>
    <n v="233"/>
    <s v="SustainabilityDrive"/>
    <s v="Hashtags_2"/>
    <x v="2"/>
  </r>
  <r>
    <s v="P126"/>
    <s v="Instagram"/>
    <d v="2025-03-28T00:00:00"/>
    <s v="Carousel"/>
    <s v="Check out our latest carousel on instagram!"/>
    <n v="4158"/>
    <n v="167"/>
    <n v="241"/>
    <n v="45738"/>
    <n v="45183"/>
    <n v="142"/>
    <s v="unknown"/>
    <s v="Hashtags Used"/>
    <x v="0"/>
  </r>
  <r>
    <s v="P126"/>
    <s v="Instagram"/>
    <d v="2025-03-28T00:00:00"/>
    <s v="Carousel"/>
    <s v="Check out our latest carousel on instagram!"/>
    <n v="4158"/>
    <n v="167"/>
    <n v="241"/>
    <n v="45738"/>
    <n v="45183"/>
    <n v="142"/>
    <s v="unknown"/>
    <s v="Hashtags-1"/>
    <x v="2"/>
  </r>
  <r>
    <s v="P126"/>
    <s v="Instagram"/>
    <d v="2025-03-28T00:00:00"/>
    <s v="Carousel"/>
    <s v="Check out our latest carousel on instagram!"/>
    <n v="4158"/>
    <n v="167"/>
    <n v="241"/>
    <n v="45738"/>
    <n v="45183"/>
    <n v="142"/>
    <s v="unknown"/>
    <s v="Hashtags_2"/>
    <x v="2"/>
  </r>
  <r>
    <s v="P127"/>
    <s v="Facebook"/>
    <d v="2025-01-27T00:00:00"/>
    <s v="Reel"/>
    <s v="Check out our latest reel on facebook!"/>
    <n v="3452"/>
    <n v="652"/>
    <n v="442"/>
    <n v="65588"/>
    <n v="65049"/>
    <n v="158"/>
    <s v="FSDUpdate"/>
    <s v="Hashtags Used"/>
    <x v="0"/>
  </r>
  <r>
    <s v="P127"/>
    <s v="Facebook"/>
    <d v="2025-01-27T00:00:00"/>
    <s v="Reel"/>
    <s v="Check out our latest reel on facebook!"/>
    <n v="3452"/>
    <n v="652"/>
    <n v="442"/>
    <n v="65588"/>
    <n v="65049"/>
    <n v="158"/>
    <s v="FSDUpdate"/>
    <s v="Hashtags-1"/>
    <x v="2"/>
  </r>
  <r>
    <s v="P127"/>
    <s v="Facebook"/>
    <d v="2025-01-27T00:00:00"/>
    <s v="Reel"/>
    <s v="Check out our latest reel on facebook!"/>
    <n v="3452"/>
    <n v="652"/>
    <n v="442"/>
    <n v="65588"/>
    <n v="65049"/>
    <n v="158"/>
    <s v="FSDUpdate"/>
    <s v="Hashtags_2"/>
    <x v="2"/>
  </r>
  <r>
    <s v="P128"/>
    <s v="Twitter"/>
    <d v="2025-01-10T00:00:00"/>
    <s v="Image"/>
    <s v="Check out our latest image on twitter!"/>
    <n v="3092"/>
    <n v="106"/>
    <n v="291"/>
    <n v="27828"/>
    <n v="27217"/>
    <n v="102"/>
    <s v="unknown"/>
    <s v="Hashtags Used"/>
    <x v="0"/>
  </r>
  <r>
    <s v="P128"/>
    <s v="Twitter"/>
    <d v="2025-01-10T00:00:00"/>
    <s v="Image"/>
    <s v="Check out our latest image on twitter!"/>
    <n v="3092"/>
    <n v="106"/>
    <n v="291"/>
    <n v="27828"/>
    <n v="27217"/>
    <n v="102"/>
    <s v="unknown"/>
    <s v="Hashtags-1"/>
    <x v="2"/>
  </r>
  <r>
    <s v="P128"/>
    <s v="Twitter"/>
    <d v="2025-01-10T00:00:00"/>
    <s v="Image"/>
    <s v="Check out our latest image on twitter!"/>
    <n v="3092"/>
    <n v="106"/>
    <n v="291"/>
    <n v="27828"/>
    <n v="27217"/>
    <n v="102"/>
    <s v="unknown"/>
    <s v="Hashtags_2"/>
    <x v="2"/>
  </r>
  <r>
    <s v="P129"/>
    <s v="Twitter"/>
    <d v="2024-07-21T00:00:00"/>
    <s v="Text"/>
    <s v="Check out our latest text on twitter!"/>
    <n v="2147"/>
    <n v="430"/>
    <n v="393"/>
    <n v="17176"/>
    <n v="16483"/>
    <n v="170"/>
    <s v="unknown"/>
    <s v="Hashtags Used"/>
    <x v="3"/>
  </r>
  <r>
    <s v="P129"/>
    <s v="Twitter"/>
    <d v="2024-07-21T00:00:00"/>
    <s v="Text"/>
    <s v="Check out our latest text on twitter!"/>
    <n v="2147"/>
    <n v="430"/>
    <n v="393"/>
    <n v="17176"/>
    <n v="16483"/>
    <n v="170"/>
    <s v="unknown"/>
    <s v="Hashtags-1"/>
    <x v="2"/>
  </r>
  <r>
    <s v="P129"/>
    <s v="Twitter"/>
    <d v="2024-07-21T00:00:00"/>
    <s v="Text"/>
    <s v="Check out our latest text on twitter!"/>
    <n v="2147"/>
    <n v="430"/>
    <n v="393"/>
    <n v="17176"/>
    <n v="16483"/>
    <n v="170"/>
    <s v="unknown"/>
    <s v="Hashtags_2"/>
    <x v="2"/>
  </r>
  <r>
    <s v="P130"/>
    <s v="YouTube"/>
    <d v="2024-09-29T00:00:00"/>
    <s v="Reel"/>
    <s v="Check out our latest reel on youtube!"/>
    <n v="2936"/>
    <n v="439"/>
    <n v="44"/>
    <n v="38168"/>
    <n v="37571"/>
    <n v="22"/>
    <s v="SustainabilityDrive"/>
    <s v="Hashtags Used"/>
    <x v="5"/>
  </r>
  <r>
    <s v="P130"/>
    <s v="YouTube"/>
    <d v="2024-09-29T00:00:00"/>
    <s v="Reel"/>
    <s v="Check out our latest reel on youtube!"/>
    <n v="2936"/>
    <n v="439"/>
    <n v="44"/>
    <n v="38168"/>
    <n v="37571"/>
    <n v="22"/>
    <s v="SustainabilityDrive"/>
    <s v="Hashtags-1"/>
    <x v="2"/>
  </r>
  <r>
    <s v="P130"/>
    <s v="YouTube"/>
    <d v="2024-09-29T00:00:00"/>
    <s v="Reel"/>
    <s v="Check out our latest reel on youtube!"/>
    <n v="2936"/>
    <n v="439"/>
    <n v="44"/>
    <n v="38168"/>
    <n v="37571"/>
    <n v="22"/>
    <s v="SustainabilityDrive"/>
    <s v="Hashtags_2"/>
    <x v="2"/>
  </r>
  <r>
    <s v="P131"/>
    <s v="Instagram"/>
    <d v="2024-10-21T00:00:00"/>
    <s v="Reel"/>
    <s v="Check out our latest reel on instagram!"/>
    <n v="4840"/>
    <n v="658"/>
    <n v="211"/>
    <n v="43560"/>
    <n v="43225"/>
    <n v="57"/>
    <s v="FSDUpdate"/>
    <s v="Hashtags Used"/>
    <x v="0"/>
  </r>
  <r>
    <s v="P131"/>
    <s v="Instagram"/>
    <d v="2024-10-21T00:00:00"/>
    <s v="Reel"/>
    <s v="Check out our latest reel on instagram!"/>
    <n v="4840"/>
    <n v="658"/>
    <n v="211"/>
    <n v="43560"/>
    <n v="43225"/>
    <n v="57"/>
    <s v="FSDUpdate"/>
    <s v="Hashtags-1"/>
    <x v="2"/>
  </r>
  <r>
    <s v="P131"/>
    <s v="Instagram"/>
    <d v="2024-10-21T00:00:00"/>
    <s v="Reel"/>
    <s v="Check out our latest reel on instagram!"/>
    <n v="4840"/>
    <n v="658"/>
    <n v="211"/>
    <n v="43560"/>
    <n v="43225"/>
    <n v="57"/>
    <s v="FSDUpdate"/>
    <s v="Hashtags_2"/>
    <x v="2"/>
  </r>
  <r>
    <s v="P132"/>
    <s v="Instagram"/>
    <d v="2025-03-04T00:00:00"/>
    <s v="Story"/>
    <s v="Check out our latest story on instagram!"/>
    <n v="1947"/>
    <n v="842"/>
    <n v="101"/>
    <n v="21417"/>
    <n v="20967"/>
    <n v="186"/>
    <s v="ModelYCampaign"/>
    <s v="Hashtags Used"/>
    <x v="0"/>
  </r>
  <r>
    <s v="P132"/>
    <s v="Instagram"/>
    <d v="2025-03-04T00:00:00"/>
    <s v="Story"/>
    <s v="Check out our latest story on instagram!"/>
    <n v="1947"/>
    <n v="842"/>
    <n v="101"/>
    <n v="21417"/>
    <n v="20967"/>
    <n v="186"/>
    <s v="ModelYCampaign"/>
    <s v="Hashtags-1"/>
    <x v="2"/>
  </r>
  <r>
    <s v="P132"/>
    <s v="Instagram"/>
    <d v="2025-03-04T00:00:00"/>
    <s v="Story"/>
    <s v="Check out our latest story on instagram!"/>
    <n v="1947"/>
    <n v="842"/>
    <n v="101"/>
    <n v="21417"/>
    <n v="20967"/>
    <n v="186"/>
    <s v="ModelYCampaign"/>
    <s v="Hashtags_2"/>
    <x v="2"/>
  </r>
  <r>
    <s v="P133"/>
    <s v="Facebook"/>
    <d v="2025-02-06T00:00:00"/>
    <s v="Image"/>
    <s v="Check out our latest image on facebook!"/>
    <n v="2072"/>
    <n v="532"/>
    <n v="71"/>
    <n v="37296"/>
    <n v="36467"/>
    <n v="25"/>
    <s v="SustainabilityDrive"/>
    <s v="Hashtags Used"/>
    <x v="3"/>
  </r>
  <r>
    <s v="P133"/>
    <s v="Facebook"/>
    <d v="2025-02-06T00:00:00"/>
    <s v="Image"/>
    <s v="Check out our latest image on facebook!"/>
    <n v="2072"/>
    <n v="532"/>
    <n v="71"/>
    <n v="37296"/>
    <n v="36467"/>
    <n v="25"/>
    <s v="SustainabilityDrive"/>
    <s v="Hashtags-1"/>
    <x v="2"/>
  </r>
  <r>
    <s v="P133"/>
    <s v="Facebook"/>
    <d v="2025-02-06T00:00:00"/>
    <s v="Image"/>
    <s v="Check out our latest image on facebook!"/>
    <n v="2072"/>
    <n v="532"/>
    <n v="71"/>
    <n v="37296"/>
    <n v="36467"/>
    <n v="25"/>
    <s v="SustainabilityDrive"/>
    <s v="Hashtags_2"/>
    <x v="2"/>
  </r>
  <r>
    <s v="P134"/>
    <s v="Twitter"/>
    <d v="2025-04-24T00:00:00"/>
    <s v="Reel"/>
    <s v="Check out our latest reel on twitter!"/>
    <n v="3731"/>
    <n v="115"/>
    <n v="135"/>
    <n v="55965"/>
    <n v="55436"/>
    <n v="103"/>
    <s v="CybertruckLaunch"/>
    <s v="Hashtags Used"/>
    <x v="3"/>
  </r>
  <r>
    <s v="P134"/>
    <s v="Twitter"/>
    <d v="2025-04-24T00:00:00"/>
    <s v="Reel"/>
    <s v="Check out our latest reel on twitter!"/>
    <n v="3731"/>
    <n v="115"/>
    <n v="135"/>
    <n v="55965"/>
    <n v="55436"/>
    <n v="103"/>
    <s v="CybertruckLaunch"/>
    <s v="Hashtags-1"/>
    <x v="2"/>
  </r>
  <r>
    <s v="P134"/>
    <s v="Twitter"/>
    <d v="2025-04-24T00:00:00"/>
    <s v="Reel"/>
    <s v="Check out our latest reel on twitter!"/>
    <n v="3731"/>
    <n v="115"/>
    <n v="135"/>
    <n v="55965"/>
    <n v="55436"/>
    <n v="103"/>
    <s v="CybertruckLaunch"/>
    <s v="Hashtags_2"/>
    <x v="2"/>
  </r>
  <r>
    <s v="P135"/>
    <s v="Facebook"/>
    <d v="2024-11-28T00:00:00"/>
    <s v="Text"/>
    <s v="Check out our latest text on facebook!"/>
    <n v="4213"/>
    <n v="253"/>
    <n v="434"/>
    <n v="75834"/>
    <n v="75437"/>
    <n v="272"/>
    <s v="SustainabilityDrive"/>
    <s v="Hashtags Used"/>
    <x v="0"/>
  </r>
  <r>
    <s v="P135"/>
    <s v="Facebook"/>
    <d v="2024-11-28T00:00:00"/>
    <s v="Text"/>
    <s v="Check out our latest text on facebook!"/>
    <n v="4213"/>
    <n v="253"/>
    <n v="434"/>
    <n v="75834"/>
    <n v="75437"/>
    <n v="272"/>
    <s v="SustainabilityDrive"/>
    <s v="Hashtags-1"/>
    <x v="2"/>
  </r>
  <r>
    <s v="P135"/>
    <s v="Facebook"/>
    <d v="2024-11-28T00:00:00"/>
    <s v="Text"/>
    <s v="Check out our latest text on facebook!"/>
    <n v="4213"/>
    <n v="253"/>
    <n v="434"/>
    <n v="75834"/>
    <n v="75437"/>
    <n v="272"/>
    <s v="SustainabilityDrive"/>
    <s v="Hashtags_2"/>
    <x v="2"/>
  </r>
  <r>
    <s v="P136"/>
    <s v="Instagram"/>
    <d v="2024-07-11T00:00:00"/>
    <s v="Text"/>
    <s v="Check out our latest text on instagram!"/>
    <n v="3134"/>
    <n v="888"/>
    <n v="444"/>
    <n v="21938"/>
    <n v="21337"/>
    <n v="130"/>
    <s v="SustainabilityDrive"/>
    <s v="Hashtags Used"/>
    <x v="5"/>
  </r>
  <r>
    <s v="P136"/>
    <s v="Instagram"/>
    <d v="2024-07-11T00:00:00"/>
    <s v="Text"/>
    <s v="Check out our latest text on instagram!"/>
    <n v="3134"/>
    <n v="888"/>
    <n v="444"/>
    <n v="21938"/>
    <n v="21337"/>
    <n v="130"/>
    <s v="SustainabilityDrive"/>
    <s v="Hashtags-1"/>
    <x v="2"/>
  </r>
  <r>
    <s v="P136"/>
    <s v="Instagram"/>
    <d v="2024-07-11T00:00:00"/>
    <s v="Text"/>
    <s v="Check out our latest text on instagram!"/>
    <n v="3134"/>
    <n v="888"/>
    <n v="444"/>
    <n v="21938"/>
    <n v="21337"/>
    <n v="130"/>
    <s v="SustainabilityDrive"/>
    <s v="Hashtags_2"/>
    <x v="2"/>
  </r>
  <r>
    <s v="P137"/>
    <s v="Facebook"/>
    <d v="2024-07-31T00:00:00"/>
    <s v="Video"/>
    <s v="Check out our latest video on facebook!"/>
    <n v="3008"/>
    <n v="94"/>
    <n v="37"/>
    <n v="15040"/>
    <n v="14639"/>
    <n v="277"/>
    <s v="unknown"/>
    <s v="Hashtags Used"/>
    <x v="0"/>
  </r>
  <r>
    <s v="P137"/>
    <s v="Facebook"/>
    <d v="2024-07-31T00:00:00"/>
    <s v="Video"/>
    <s v="Check out our latest video on facebook!"/>
    <n v="3008"/>
    <n v="94"/>
    <n v="37"/>
    <n v="15040"/>
    <n v="14639"/>
    <n v="277"/>
    <s v="unknown"/>
    <s v="Hashtags-1"/>
    <x v="2"/>
  </r>
  <r>
    <s v="P137"/>
    <s v="Facebook"/>
    <d v="2024-07-31T00:00:00"/>
    <s v="Video"/>
    <s v="Check out our latest video on facebook!"/>
    <n v="3008"/>
    <n v="94"/>
    <n v="37"/>
    <n v="15040"/>
    <n v="14639"/>
    <n v="277"/>
    <s v="unknown"/>
    <s v="Hashtags_2"/>
    <x v="2"/>
  </r>
  <r>
    <s v="P138"/>
    <s v="Twitter"/>
    <d v="2025-03-29T00:00:00"/>
    <s v="Image"/>
    <s v="Check out our latest image on twitter!"/>
    <n v="305"/>
    <n v="187"/>
    <n v="243"/>
    <n v="4575"/>
    <n v="3704"/>
    <n v="234"/>
    <s v="FSDUpdate"/>
    <s v="Hashtags Used"/>
    <x v="0"/>
  </r>
  <r>
    <s v="P138"/>
    <s v="Twitter"/>
    <d v="2025-03-29T00:00:00"/>
    <s v="Image"/>
    <s v="Check out our latest image on twitter!"/>
    <n v="305"/>
    <n v="187"/>
    <n v="243"/>
    <n v="4575"/>
    <n v="3704"/>
    <n v="234"/>
    <s v="FSDUpdate"/>
    <s v="Hashtags-1"/>
    <x v="2"/>
  </r>
  <r>
    <s v="P138"/>
    <s v="Twitter"/>
    <d v="2025-03-29T00:00:00"/>
    <s v="Image"/>
    <s v="Check out our latest image on twitter!"/>
    <n v="305"/>
    <n v="187"/>
    <n v="243"/>
    <n v="4575"/>
    <n v="3704"/>
    <n v="234"/>
    <s v="FSDUpdate"/>
    <s v="Hashtags_2"/>
    <x v="2"/>
  </r>
  <r>
    <s v="P139"/>
    <s v="YouTube"/>
    <d v="2024-10-29T00:00:00"/>
    <s v="Text"/>
    <s v="Check out our latest text on youtube!"/>
    <n v="2746"/>
    <n v="156"/>
    <n v="203"/>
    <n v="32952"/>
    <n v="32147"/>
    <n v="147"/>
    <s v="CybertruckLaunch"/>
    <s v="Hashtags Used"/>
    <x v="5"/>
  </r>
  <r>
    <s v="P139"/>
    <s v="YouTube"/>
    <d v="2024-10-29T00:00:00"/>
    <s v="Text"/>
    <s v="Check out our latest text on youtube!"/>
    <n v="2746"/>
    <n v="156"/>
    <n v="203"/>
    <n v="32952"/>
    <n v="32147"/>
    <n v="147"/>
    <s v="CybertruckLaunch"/>
    <s v="Hashtags-1"/>
    <x v="2"/>
  </r>
  <r>
    <s v="P139"/>
    <s v="YouTube"/>
    <d v="2024-10-29T00:00:00"/>
    <s v="Text"/>
    <s v="Check out our latest text on youtube!"/>
    <n v="2746"/>
    <n v="156"/>
    <n v="203"/>
    <n v="32952"/>
    <n v="32147"/>
    <n v="147"/>
    <s v="CybertruckLaunch"/>
    <s v="Hashtags_2"/>
    <x v="2"/>
  </r>
  <r>
    <s v="P140"/>
    <s v="Facebook"/>
    <d v="2024-07-15T00:00:00"/>
    <s v="Image"/>
    <s v="Check out our latest image on facebook!"/>
    <n v="2291"/>
    <n v="78"/>
    <n v="485"/>
    <n v="18328"/>
    <n v="18101"/>
    <n v="10"/>
    <s v="ModelYCampaign"/>
    <s v="Hashtags Used"/>
    <x v="5"/>
  </r>
  <r>
    <s v="P140"/>
    <s v="Facebook"/>
    <d v="2024-07-15T00:00:00"/>
    <s v="Image"/>
    <s v="Check out our latest image on facebook!"/>
    <n v="2291"/>
    <n v="78"/>
    <n v="485"/>
    <n v="18328"/>
    <n v="18101"/>
    <n v="10"/>
    <s v="ModelYCampaign"/>
    <s v="Hashtags-1"/>
    <x v="6"/>
  </r>
  <r>
    <s v="P140"/>
    <s v="Facebook"/>
    <d v="2024-07-15T00:00:00"/>
    <s v="Image"/>
    <s v="Check out our latest image on facebook!"/>
    <n v="2291"/>
    <n v="78"/>
    <n v="485"/>
    <n v="18328"/>
    <n v="18101"/>
    <n v="10"/>
    <s v="ModelYCampaign"/>
    <s v="Hashtags_2"/>
    <x v="2"/>
  </r>
  <r>
    <s v="P141"/>
    <s v="Twitter"/>
    <d v="2024-08-31T00:00:00"/>
    <s v="Image"/>
    <s v="Check out our latest image on twitter!"/>
    <n v="3170"/>
    <n v="857"/>
    <n v="379"/>
    <n v="19020"/>
    <n v="18559"/>
    <n v="240"/>
    <s v="unknown"/>
    <s v="Hashtags Used"/>
    <x v="0"/>
  </r>
  <r>
    <s v="P141"/>
    <s v="Twitter"/>
    <d v="2024-08-31T00:00:00"/>
    <s v="Image"/>
    <s v="Check out our latest image on twitter!"/>
    <n v="3170"/>
    <n v="857"/>
    <n v="379"/>
    <n v="19020"/>
    <n v="18559"/>
    <n v="240"/>
    <s v="unknown"/>
    <s v="Hashtags-1"/>
    <x v="2"/>
  </r>
  <r>
    <s v="P141"/>
    <s v="Twitter"/>
    <d v="2024-08-31T00:00:00"/>
    <s v="Image"/>
    <s v="Check out our latest image on twitter!"/>
    <n v="3170"/>
    <n v="857"/>
    <n v="379"/>
    <n v="19020"/>
    <n v="18559"/>
    <n v="240"/>
    <s v="unknown"/>
    <s v="Hashtags_2"/>
    <x v="2"/>
  </r>
  <r>
    <s v="P142"/>
    <s v="YouTube"/>
    <d v="2025-03-25T00:00:00"/>
    <s v="Story"/>
    <s v="Check out our latest story on youtube!"/>
    <n v="2070"/>
    <n v="275"/>
    <n v="386"/>
    <n v="39330"/>
    <n v="38627"/>
    <n v="114"/>
    <s v="SustainabilityDrive"/>
    <s v="Hashtags Used"/>
    <x v="0"/>
  </r>
  <r>
    <s v="P142"/>
    <s v="YouTube"/>
    <d v="2025-03-25T00:00:00"/>
    <s v="Story"/>
    <s v="Check out our latest story on youtube!"/>
    <n v="2070"/>
    <n v="275"/>
    <n v="386"/>
    <n v="39330"/>
    <n v="38627"/>
    <n v="114"/>
    <s v="SustainabilityDrive"/>
    <s v="Hashtags-1"/>
    <x v="2"/>
  </r>
  <r>
    <s v="P142"/>
    <s v="YouTube"/>
    <d v="2025-03-25T00:00:00"/>
    <s v="Story"/>
    <s v="Check out our latest story on youtube!"/>
    <n v="2070"/>
    <n v="275"/>
    <n v="386"/>
    <n v="39330"/>
    <n v="38627"/>
    <n v="114"/>
    <s v="SustainabilityDrive"/>
    <s v="Hashtags_2"/>
    <x v="2"/>
  </r>
  <r>
    <s v="P143"/>
    <s v="YouTube"/>
    <d v="2024-10-02T00:00:00"/>
    <s v="Carousel"/>
    <s v="Check out our latest carousel on youtube!"/>
    <n v="80"/>
    <n v="362"/>
    <n v="80"/>
    <n v="1040"/>
    <n v="349"/>
    <n v="117"/>
    <s v="FSDUpdate"/>
    <s v="Hashtags Used"/>
    <x v="3"/>
  </r>
  <r>
    <s v="P143"/>
    <s v="YouTube"/>
    <d v="2024-10-02T00:00:00"/>
    <s v="Carousel"/>
    <s v="Check out our latest carousel on youtube!"/>
    <n v="80"/>
    <n v="362"/>
    <n v="80"/>
    <n v="1040"/>
    <n v="349"/>
    <n v="117"/>
    <s v="FSDUpdate"/>
    <s v="Hashtags-1"/>
    <x v="2"/>
  </r>
  <r>
    <s v="P143"/>
    <s v="YouTube"/>
    <d v="2024-10-02T00:00:00"/>
    <s v="Carousel"/>
    <s v="Check out our latest carousel on youtube!"/>
    <n v="80"/>
    <n v="362"/>
    <n v="80"/>
    <n v="1040"/>
    <n v="349"/>
    <n v="117"/>
    <s v="FSDUpdate"/>
    <s v="Hashtags_2"/>
    <x v="2"/>
  </r>
  <r>
    <s v="P144"/>
    <s v="YouTube"/>
    <d v="2024-10-28T00:00:00"/>
    <s v="Story"/>
    <s v="Check out our latest story on youtube!"/>
    <n v="4929"/>
    <n v="749"/>
    <n v="452"/>
    <n v="93651"/>
    <n v="92810"/>
    <n v="66"/>
    <s v="SustainabilityDrive"/>
    <s v="Hashtags Used"/>
    <x v="5"/>
  </r>
  <r>
    <s v="P144"/>
    <s v="YouTube"/>
    <d v="2024-10-28T00:00:00"/>
    <s v="Story"/>
    <s v="Check out our latest story on youtube!"/>
    <n v="4929"/>
    <n v="749"/>
    <n v="452"/>
    <n v="93651"/>
    <n v="92810"/>
    <n v="66"/>
    <s v="SustainabilityDrive"/>
    <s v="Hashtags-1"/>
    <x v="2"/>
  </r>
  <r>
    <s v="P144"/>
    <s v="YouTube"/>
    <d v="2024-10-28T00:00:00"/>
    <s v="Story"/>
    <s v="Check out our latest story on youtube!"/>
    <n v="4929"/>
    <n v="749"/>
    <n v="452"/>
    <n v="93651"/>
    <n v="92810"/>
    <n v="66"/>
    <s v="SustainabilityDrive"/>
    <s v="Hashtags_2"/>
    <x v="2"/>
  </r>
  <r>
    <s v="P145"/>
    <s v="Instagram"/>
    <d v="2024-08-12T00:00:00"/>
    <s v="Carousel"/>
    <s v="Check out our latest carousel on instagram!"/>
    <n v="1878"/>
    <n v="62"/>
    <n v="179"/>
    <n v="37560"/>
    <n v="36874"/>
    <n v="142"/>
    <s v="SustainabilityDrive"/>
    <s v="Hashtags Used"/>
    <x v="3"/>
  </r>
  <r>
    <s v="P145"/>
    <s v="Instagram"/>
    <d v="2024-08-12T00:00:00"/>
    <s v="Carousel"/>
    <s v="Check out our latest carousel on instagram!"/>
    <n v="1878"/>
    <n v="62"/>
    <n v="179"/>
    <n v="37560"/>
    <n v="36874"/>
    <n v="142"/>
    <s v="SustainabilityDrive"/>
    <s v="Hashtags-1"/>
    <x v="2"/>
  </r>
  <r>
    <s v="P145"/>
    <s v="Instagram"/>
    <d v="2024-08-12T00:00:00"/>
    <s v="Carousel"/>
    <s v="Check out our latest carousel on instagram!"/>
    <n v="1878"/>
    <n v="62"/>
    <n v="179"/>
    <n v="37560"/>
    <n v="36874"/>
    <n v="142"/>
    <s v="SustainabilityDrive"/>
    <s v="Hashtags_2"/>
    <x v="2"/>
  </r>
  <r>
    <s v="P146"/>
    <s v="YouTube"/>
    <d v="2024-06-05T00:00:00"/>
    <s v="Reel"/>
    <s v="Check out our latest reel on youtube!"/>
    <n v="3065"/>
    <n v="772"/>
    <n v="142"/>
    <n v="18390"/>
    <n v="17875"/>
    <n v="200"/>
    <s v="unknown"/>
    <s v="Hashtags Used"/>
    <x v="5"/>
  </r>
  <r>
    <s v="P146"/>
    <s v="YouTube"/>
    <d v="2024-06-05T00:00:00"/>
    <s v="Reel"/>
    <s v="Check out our latest reel on youtube!"/>
    <n v="3065"/>
    <n v="772"/>
    <n v="142"/>
    <n v="18390"/>
    <n v="17875"/>
    <n v="200"/>
    <s v="unknown"/>
    <s v="Hashtags-1"/>
    <x v="1"/>
  </r>
  <r>
    <s v="P146"/>
    <s v="YouTube"/>
    <d v="2024-06-05T00:00:00"/>
    <s v="Reel"/>
    <s v="Check out our latest reel on youtube!"/>
    <n v="3065"/>
    <n v="772"/>
    <n v="142"/>
    <n v="18390"/>
    <n v="17875"/>
    <n v="200"/>
    <s v="unknown"/>
    <s v="Hashtags_2"/>
    <x v="2"/>
  </r>
  <r>
    <s v="P147"/>
    <s v="Instagram"/>
    <d v="2024-10-21T00:00:00"/>
    <s v="Reel"/>
    <s v="Check out our latest reel on instagram!"/>
    <n v="3256"/>
    <n v="459"/>
    <n v="266"/>
    <n v="26048"/>
    <n v="25529"/>
    <n v="143"/>
    <s v="ModelYCampaign"/>
    <s v="Hashtags Used"/>
    <x v="3"/>
  </r>
  <r>
    <s v="P147"/>
    <s v="Instagram"/>
    <d v="2024-10-21T00:00:00"/>
    <s v="Reel"/>
    <s v="Check out our latest reel on instagram!"/>
    <n v="3256"/>
    <n v="459"/>
    <n v="266"/>
    <n v="26048"/>
    <n v="25529"/>
    <n v="143"/>
    <s v="ModelYCampaign"/>
    <s v="Hashtags-1"/>
    <x v="2"/>
  </r>
  <r>
    <s v="P147"/>
    <s v="Instagram"/>
    <d v="2024-10-21T00:00:00"/>
    <s v="Reel"/>
    <s v="Check out our latest reel on instagram!"/>
    <n v="3256"/>
    <n v="459"/>
    <n v="266"/>
    <n v="26048"/>
    <n v="25529"/>
    <n v="143"/>
    <s v="ModelYCampaign"/>
    <s v="Hashtags_2"/>
    <x v="2"/>
  </r>
  <r>
    <s v="P148"/>
    <s v="Instagram"/>
    <d v="2025-04-15T00:00:00"/>
    <s v="Video"/>
    <s v="Check out our latest video on instagram!"/>
    <n v="4133"/>
    <n v="466"/>
    <n v="327"/>
    <n v="24798"/>
    <n v="24620"/>
    <n v="176"/>
    <s v="SustainabilityDrive"/>
    <s v="Hashtags Used"/>
    <x v="5"/>
  </r>
  <r>
    <s v="P148"/>
    <s v="Instagram"/>
    <d v="2025-04-15T00:00:00"/>
    <s v="Video"/>
    <s v="Check out our latest video on instagram!"/>
    <n v="4133"/>
    <n v="466"/>
    <n v="327"/>
    <n v="24798"/>
    <n v="24620"/>
    <n v="176"/>
    <s v="SustainabilityDrive"/>
    <s v="Hashtags-1"/>
    <x v="2"/>
  </r>
  <r>
    <s v="P148"/>
    <s v="Instagram"/>
    <d v="2025-04-15T00:00:00"/>
    <s v="Video"/>
    <s v="Check out our latest video on instagram!"/>
    <n v="4133"/>
    <n v="466"/>
    <n v="327"/>
    <n v="24798"/>
    <n v="24620"/>
    <n v="176"/>
    <s v="SustainabilityDrive"/>
    <s v="Hashtags_2"/>
    <x v="2"/>
  </r>
  <r>
    <s v="P149"/>
    <s v="Twitter"/>
    <d v="2024-06-16T00:00:00"/>
    <s v="Video"/>
    <s v="Check out our latest video on twitter!"/>
    <n v="1702"/>
    <n v="750"/>
    <n v="179"/>
    <n v="34040"/>
    <n v="33174"/>
    <n v="76"/>
    <s v="CybertruckLaunch"/>
    <s v="Hashtags Used"/>
    <x v="5"/>
  </r>
  <r>
    <s v="P149"/>
    <s v="Twitter"/>
    <d v="2024-06-16T00:00:00"/>
    <s v="Video"/>
    <s v="Check out our latest video on twitter!"/>
    <n v="1702"/>
    <n v="750"/>
    <n v="179"/>
    <n v="34040"/>
    <n v="33174"/>
    <n v="76"/>
    <s v="CybertruckLaunch"/>
    <s v="Hashtags-1"/>
    <x v="2"/>
  </r>
  <r>
    <s v="P149"/>
    <s v="Twitter"/>
    <d v="2024-06-16T00:00:00"/>
    <s v="Video"/>
    <s v="Check out our latest video on twitter!"/>
    <n v="1702"/>
    <n v="750"/>
    <n v="179"/>
    <n v="34040"/>
    <n v="33174"/>
    <n v="76"/>
    <s v="CybertruckLaunch"/>
    <s v="Hashtags_2"/>
    <x v="2"/>
  </r>
  <r>
    <s v="P150"/>
    <s v="YouTube"/>
    <d v="2024-08-22T00:00:00"/>
    <s v="Carousel"/>
    <s v="Check out our latest carousel on youtube!"/>
    <n v="4295"/>
    <n v="853"/>
    <n v="325"/>
    <n v="85900"/>
    <n v="85788"/>
    <n v="290"/>
    <s v="SustainabilityDrive"/>
    <s v="Hashtags Used"/>
    <x v="3"/>
  </r>
  <r>
    <s v="P150"/>
    <s v="YouTube"/>
    <d v="2024-08-22T00:00:00"/>
    <s v="Carousel"/>
    <s v="Check out our latest carousel on youtube!"/>
    <n v="4295"/>
    <n v="853"/>
    <n v="325"/>
    <n v="85900"/>
    <n v="85788"/>
    <n v="290"/>
    <s v="SustainabilityDrive"/>
    <s v="Hashtags-1"/>
    <x v="2"/>
  </r>
  <r>
    <s v="P150"/>
    <s v="YouTube"/>
    <d v="2024-08-22T00:00:00"/>
    <s v="Carousel"/>
    <s v="Check out our latest carousel on youtube!"/>
    <n v="4295"/>
    <n v="853"/>
    <n v="325"/>
    <n v="85900"/>
    <n v="85788"/>
    <n v="290"/>
    <s v="SustainabilityDrive"/>
    <s v="Hashtags_2"/>
    <x v="2"/>
  </r>
  <r>
    <s v="P151"/>
    <s v="Instagram"/>
    <d v="2024-07-26T00:00:00"/>
    <s v="Image"/>
    <s v="Check out our latest image on instagram!"/>
    <n v="3559"/>
    <n v="59"/>
    <n v="289"/>
    <n v="35590"/>
    <n v="35105"/>
    <n v="122"/>
    <s v="CybertruckLaunch"/>
    <s v="Hashtags Used"/>
    <x v="5"/>
  </r>
  <r>
    <s v="P151"/>
    <s v="Instagram"/>
    <d v="2024-07-26T00:00:00"/>
    <s v="Image"/>
    <s v="Check out our latest image on instagram!"/>
    <n v="3559"/>
    <n v="59"/>
    <n v="289"/>
    <n v="35590"/>
    <n v="35105"/>
    <n v="122"/>
    <s v="CybertruckLaunch"/>
    <s v="Hashtags-1"/>
    <x v="2"/>
  </r>
  <r>
    <s v="P151"/>
    <s v="Instagram"/>
    <d v="2024-07-26T00:00:00"/>
    <s v="Image"/>
    <s v="Check out our latest image on instagram!"/>
    <n v="3559"/>
    <n v="59"/>
    <n v="289"/>
    <n v="35590"/>
    <n v="35105"/>
    <n v="122"/>
    <s v="CybertruckLaunch"/>
    <s v="Hashtags_2"/>
    <x v="2"/>
  </r>
  <r>
    <s v="P152"/>
    <s v="Facebook"/>
    <d v="2025-04-22T00:00:00"/>
    <s v="Image"/>
    <s v="Check out our latest image on facebook!"/>
    <n v="4804"/>
    <n v="550"/>
    <n v="270"/>
    <n v="28824"/>
    <n v="28370"/>
    <n v="47"/>
    <s v="SustainabilityDrive"/>
    <s v="Hashtags Used"/>
    <x v="5"/>
  </r>
  <r>
    <s v="P152"/>
    <s v="Facebook"/>
    <d v="2025-04-22T00:00:00"/>
    <s v="Image"/>
    <s v="Check out our latest image on facebook!"/>
    <n v="4804"/>
    <n v="550"/>
    <n v="270"/>
    <n v="28824"/>
    <n v="28370"/>
    <n v="47"/>
    <s v="SustainabilityDrive"/>
    <s v="Hashtags-1"/>
    <x v="2"/>
  </r>
  <r>
    <s v="P152"/>
    <s v="Facebook"/>
    <d v="2025-04-22T00:00:00"/>
    <s v="Image"/>
    <s v="Check out our latest image on facebook!"/>
    <n v="4804"/>
    <n v="550"/>
    <n v="270"/>
    <n v="28824"/>
    <n v="28370"/>
    <n v="47"/>
    <s v="SustainabilityDrive"/>
    <s v="Hashtags_2"/>
    <x v="2"/>
  </r>
  <r>
    <s v="P153"/>
    <s v="Twitter"/>
    <d v="2025-01-01T00:00:00"/>
    <s v="Video"/>
    <s v="Check out our latest video on twitter!"/>
    <n v="754"/>
    <n v="197"/>
    <n v="257"/>
    <n v="6786"/>
    <n v="6221"/>
    <n v="212"/>
    <s v="FSDUpdate"/>
    <s v="Hashtags Used"/>
    <x v="3"/>
  </r>
  <r>
    <s v="P153"/>
    <s v="Twitter"/>
    <d v="2025-01-01T00:00:00"/>
    <s v="Video"/>
    <s v="Check out our latest video on twitter!"/>
    <n v="754"/>
    <n v="197"/>
    <n v="257"/>
    <n v="6786"/>
    <n v="6221"/>
    <n v="212"/>
    <s v="FSDUpdate"/>
    <s v="Hashtags-1"/>
    <x v="2"/>
  </r>
  <r>
    <s v="P153"/>
    <s v="Twitter"/>
    <d v="2025-01-01T00:00:00"/>
    <s v="Video"/>
    <s v="Check out our latest video on twitter!"/>
    <n v="754"/>
    <n v="197"/>
    <n v="257"/>
    <n v="6786"/>
    <n v="6221"/>
    <n v="212"/>
    <s v="FSDUpdate"/>
    <s v="Hashtags_2"/>
    <x v="2"/>
  </r>
  <r>
    <s v="P154"/>
    <s v="Instagram"/>
    <d v="2024-10-09T00:00:00"/>
    <s v="Carousel"/>
    <s v="Check out our latest carousel on instagram!"/>
    <n v="985"/>
    <n v="932"/>
    <n v="287"/>
    <n v="6895"/>
    <n v="6757"/>
    <n v="64"/>
    <s v="SustainabilityDrive"/>
    <s v="Hashtags Used"/>
    <x v="0"/>
  </r>
  <r>
    <s v="P154"/>
    <s v="Instagram"/>
    <d v="2024-10-09T00:00:00"/>
    <s v="Carousel"/>
    <s v="Check out our latest carousel on instagram!"/>
    <n v="985"/>
    <n v="932"/>
    <n v="287"/>
    <n v="6895"/>
    <n v="6757"/>
    <n v="64"/>
    <s v="SustainabilityDrive"/>
    <s v="Hashtags-1"/>
    <x v="2"/>
  </r>
  <r>
    <s v="P154"/>
    <s v="Instagram"/>
    <d v="2024-10-09T00:00:00"/>
    <s v="Carousel"/>
    <s v="Check out our latest carousel on instagram!"/>
    <n v="985"/>
    <n v="932"/>
    <n v="287"/>
    <n v="6895"/>
    <n v="6757"/>
    <n v="64"/>
    <s v="SustainabilityDrive"/>
    <s v="Hashtags_2"/>
    <x v="2"/>
  </r>
  <r>
    <s v="P155"/>
    <s v="YouTube"/>
    <d v="2024-12-21T00:00:00"/>
    <s v="Image"/>
    <s v="Check out our latest image on youtube!"/>
    <n v="2283"/>
    <n v="210"/>
    <n v="130"/>
    <n v="22830"/>
    <n v="22617"/>
    <n v="143"/>
    <s v="ModelYCampaign"/>
    <s v="Hashtags Used"/>
    <x v="0"/>
  </r>
  <r>
    <s v="P155"/>
    <s v="YouTube"/>
    <d v="2024-12-21T00:00:00"/>
    <s v="Image"/>
    <s v="Check out our latest image on youtube!"/>
    <n v="2283"/>
    <n v="210"/>
    <n v="130"/>
    <n v="22830"/>
    <n v="22617"/>
    <n v="143"/>
    <s v="ModelYCampaign"/>
    <s v="Hashtags-1"/>
    <x v="2"/>
  </r>
  <r>
    <s v="P155"/>
    <s v="YouTube"/>
    <d v="2024-12-21T00:00:00"/>
    <s v="Image"/>
    <s v="Check out our latest image on youtube!"/>
    <n v="2283"/>
    <n v="210"/>
    <n v="130"/>
    <n v="22830"/>
    <n v="22617"/>
    <n v="143"/>
    <s v="ModelYCampaign"/>
    <s v="Hashtags_2"/>
    <x v="2"/>
  </r>
  <r>
    <s v="P156"/>
    <s v="Facebook"/>
    <d v="2024-10-22T00:00:00"/>
    <s v="Carousel"/>
    <s v="Check out our latest carousel on facebook!"/>
    <n v="3352"/>
    <n v="941"/>
    <n v="482"/>
    <n v="43576"/>
    <n v="43338"/>
    <n v="240"/>
    <s v="ModelYCampaign"/>
    <s v="Hashtags Used"/>
    <x v="0"/>
  </r>
  <r>
    <s v="P156"/>
    <s v="Facebook"/>
    <d v="2024-10-22T00:00:00"/>
    <s v="Carousel"/>
    <s v="Check out our latest carousel on facebook!"/>
    <n v="3352"/>
    <n v="941"/>
    <n v="482"/>
    <n v="43576"/>
    <n v="43338"/>
    <n v="240"/>
    <s v="ModelYCampaign"/>
    <s v="Hashtags-1"/>
    <x v="2"/>
  </r>
  <r>
    <s v="P156"/>
    <s v="Facebook"/>
    <d v="2024-10-22T00:00:00"/>
    <s v="Carousel"/>
    <s v="Check out our latest carousel on facebook!"/>
    <n v="3352"/>
    <n v="941"/>
    <n v="482"/>
    <n v="43576"/>
    <n v="43338"/>
    <n v="240"/>
    <s v="ModelYCampaign"/>
    <s v="Hashtags_2"/>
    <x v="2"/>
  </r>
  <r>
    <s v="P157"/>
    <s v="YouTube"/>
    <d v="2024-07-23T00:00:00"/>
    <s v="Story"/>
    <s v="Check out our latest story on youtube!"/>
    <n v="4775"/>
    <n v="173"/>
    <n v="206"/>
    <n v="47750"/>
    <n v="47544"/>
    <n v="187"/>
    <s v="ModelYCampaign"/>
    <s v="Hashtags Used"/>
    <x v="0"/>
  </r>
  <r>
    <s v="P157"/>
    <s v="YouTube"/>
    <d v="2024-07-23T00:00:00"/>
    <s v="Story"/>
    <s v="Check out our latest story on youtube!"/>
    <n v="4775"/>
    <n v="173"/>
    <n v="206"/>
    <n v="47750"/>
    <n v="47544"/>
    <n v="187"/>
    <s v="ModelYCampaign"/>
    <s v="Hashtags-1"/>
    <x v="2"/>
  </r>
  <r>
    <s v="P157"/>
    <s v="YouTube"/>
    <d v="2024-07-23T00:00:00"/>
    <s v="Story"/>
    <s v="Check out our latest story on youtube!"/>
    <n v="4775"/>
    <n v="173"/>
    <n v="206"/>
    <n v="47750"/>
    <n v="47544"/>
    <n v="187"/>
    <s v="ModelYCampaign"/>
    <s v="Hashtags_2"/>
    <x v="2"/>
  </r>
  <r>
    <s v="P158"/>
    <s v="Instagram"/>
    <d v="2024-08-11T00:00:00"/>
    <s v="Story"/>
    <s v="Check out our latest story on instagram!"/>
    <n v="1762"/>
    <n v="405"/>
    <n v="423"/>
    <n v="22906"/>
    <n v="21925"/>
    <n v="25"/>
    <s v="CybertruckLaunch"/>
    <s v="Hashtags Used"/>
    <x v="3"/>
  </r>
  <r>
    <s v="P158"/>
    <s v="Instagram"/>
    <d v="2024-08-11T00:00:00"/>
    <s v="Story"/>
    <s v="Check out our latest story on instagram!"/>
    <n v="1762"/>
    <n v="405"/>
    <n v="423"/>
    <n v="22906"/>
    <n v="21925"/>
    <n v="25"/>
    <s v="CybertruckLaunch"/>
    <s v="Hashtags-1"/>
    <x v="2"/>
  </r>
  <r>
    <s v="P158"/>
    <s v="Instagram"/>
    <d v="2024-08-11T00:00:00"/>
    <s v="Story"/>
    <s v="Check out our latest story on instagram!"/>
    <n v="1762"/>
    <n v="405"/>
    <n v="423"/>
    <n v="22906"/>
    <n v="21925"/>
    <n v="25"/>
    <s v="CybertruckLaunch"/>
    <s v="Hashtags_2"/>
    <x v="2"/>
  </r>
  <r>
    <s v="P159"/>
    <s v="Facebook"/>
    <d v="2024-11-25T00:00:00"/>
    <s v="Story"/>
    <s v="Check out our latest story on facebook!"/>
    <n v="2120"/>
    <n v="158"/>
    <n v="488"/>
    <n v="12720"/>
    <n v="12085"/>
    <n v="17"/>
    <s v="ModelYCampaign"/>
    <s v="Hashtags Used"/>
    <x v="0"/>
  </r>
  <r>
    <s v="P159"/>
    <s v="Facebook"/>
    <d v="2024-11-25T00:00:00"/>
    <s v="Story"/>
    <s v="Check out our latest story on facebook!"/>
    <n v="2120"/>
    <n v="158"/>
    <n v="488"/>
    <n v="12720"/>
    <n v="12085"/>
    <n v="17"/>
    <s v="ModelYCampaign"/>
    <s v="Hashtags-1"/>
    <x v="2"/>
  </r>
  <r>
    <s v="P159"/>
    <s v="Facebook"/>
    <d v="2024-11-25T00:00:00"/>
    <s v="Story"/>
    <s v="Check out our latest story on facebook!"/>
    <n v="2120"/>
    <n v="158"/>
    <n v="488"/>
    <n v="12720"/>
    <n v="12085"/>
    <n v="17"/>
    <s v="ModelYCampaign"/>
    <s v="Hashtags_2"/>
    <x v="2"/>
  </r>
  <r>
    <s v="P160"/>
    <s v="Twitter"/>
    <d v="2024-08-24T00:00:00"/>
    <s v="Video"/>
    <s v="Check out our latest video on twitter!"/>
    <n v="1082"/>
    <n v="209"/>
    <n v="484"/>
    <n v="19476"/>
    <n v="18654"/>
    <n v="20"/>
    <s v="unknown"/>
    <s v="Hashtags Used"/>
    <x v="3"/>
  </r>
  <r>
    <s v="P160"/>
    <s v="Twitter"/>
    <d v="2024-08-24T00:00:00"/>
    <s v="Video"/>
    <s v="Check out our latest video on twitter!"/>
    <n v="1082"/>
    <n v="209"/>
    <n v="484"/>
    <n v="19476"/>
    <n v="18654"/>
    <n v="20"/>
    <s v="unknown"/>
    <s v="Hashtags-1"/>
    <x v="2"/>
  </r>
  <r>
    <s v="P160"/>
    <s v="Twitter"/>
    <d v="2024-08-24T00:00:00"/>
    <s v="Video"/>
    <s v="Check out our latest video on twitter!"/>
    <n v="1082"/>
    <n v="209"/>
    <n v="484"/>
    <n v="19476"/>
    <n v="18654"/>
    <n v="20"/>
    <s v="unknown"/>
    <s v="Hashtags_2"/>
    <x v="2"/>
  </r>
  <r>
    <s v="P161"/>
    <s v="Twitter"/>
    <d v="2025-02-19T00:00:00"/>
    <s v="Text"/>
    <s v="Check out our latest text on twitter!"/>
    <n v="4671"/>
    <n v="876"/>
    <n v="366"/>
    <n v="51381"/>
    <n v="50565"/>
    <n v="245"/>
    <s v="SustainabilityDrive"/>
    <s v="Hashtags Used"/>
    <x v="3"/>
  </r>
  <r>
    <s v="P161"/>
    <s v="Twitter"/>
    <d v="2025-02-19T00:00:00"/>
    <s v="Text"/>
    <s v="Check out our latest text on twitter!"/>
    <n v="4671"/>
    <n v="876"/>
    <n v="366"/>
    <n v="51381"/>
    <n v="50565"/>
    <n v="245"/>
    <s v="SustainabilityDrive"/>
    <s v="Hashtags-1"/>
    <x v="2"/>
  </r>
  <r>
    <s v="P161"/>
    <s v="Twitter"/>
    <d v="2025-02-19T00:00:00"/>
    <s v="Text"/>
    <s v="Check out our latest text on twitter!"/>
    <n v="4671"/>
    <n v="876"/>
    <n v="366"/>
    <n v="51381"/>
    <n v="50565"/>
    <n v="245"/>
    <s v="SustainabilityDrive"/>
    <s v="Hashtags_2"/>
    <x v="2"/>
  </r>
  <r>
    <s v="P162"/>
    <s v="Facebook"/>
    <d v="2025-04-01T00:00:00"/>
    <s v="Story"/>
    <s v="Check out our latest story on facebook!"/>
    <n v="3430"/>
    <n v="566"/>
    <n v="164"/>
    <n v="48020"/>
    <n v="47305"/>
    <n v="120"/>
    <s v="unknown"/>
    <s v="Hashtags Used"/>
    <x v="0"/>
  </r>
  <r>
    <s v="P162"/>
    <s v="Facebook"/>
    <d v="2025-04-01T00:00:00"/>
    <s v="Story"/>
    <s v="Check out our latest story on facebook!"/>
    <n v="3430"/>
    <n v="566"/>
    <n v="164"/>
    <n v="48020"/>
    <n v="47305"/>
    <n v="120"/>
    <s v="unknown"/>
    <s v="Hashtags-1"/>
    <x v="2"/>
  </r>
  <r>
    <s v="P162"/>
    <s v="Facebook"/>
    <d v="2025-04-01T00:00:00"/>
    <s v="Story"/>
    <s v="Check out our latest story on facebook!"/>
    <n v="3430"/>
    <n v="566"/>
    <n v="164"/>
    <n v="48020"/>
    <n v="47305"/>
    <n v="120"/>
    <s v="unknown"/>
    <s v="Hashtags_2"/>
    <x v="2"/>
  </r>
  <r>
    <s v="P163"/>
    <s v="Instagram"/>
    <d v="2025-04-08T00:00:00"/>
    <s v="Image"/>
    <s v="Check out our latest image on instagram!"/>
    <n v="4501"/>
    <n v="375"/>
    <n v="323"/>
    <n v="22505"/>
    <n v="21836"/>
    <n v="132"/>
    <s v="ModelYCampaign"/>
    <s v="Hashtags Used"/>
    <x v="3"/>
  </r>
  <r>
    <s v="P163"/>
    <s v="Instagram"/>
    <d v="2025-04-08T00:00:00"/>
    <s v="Image"/>
    <s v="Check out our latest image on instagram!"/>
    <n v="4501"/>
    <n v="375"/>
    <n v="323"/>
    <n v="22505"/>
    <n v="21836"/>
    <n v="132"/>
    <s v="ModelYCampaign"/>
    <s v="Hashtags-1"/>
    <x v="2"/>
  </r>
  <r>
    <s v="P163"/>
    <s v="Instagram"/>
    <d v="2025-04-08T00:00:00"/>
    <s v="Image"/>
    <s v="Check out our latest image on instagram!"/>
    <n v="4501"/>
    <n v="375"/>
    <n v="323"/>
    <n v="22505"/>
    <n v="21836"/>
    <n v="132"/>
    <s v="ModelYCampaign"/>
    <s v="Hashtags_2"/>
    <x v="2"/>
  </r>
  <r>
    <s v="P164"/>
    <s v="YouTube"/>
    <d v="2025-02-27T00:00:00"/>
    <s v="Text"/>
    <s v="Check out our latest text on youtube!"/>
    <n v="4934"/>
    <n v="971"/>
    <n v="156"/>
    <n v="39472"/>
    <n v="39025"/>
    <n v="169"/>
    <s v="SustainabilityDrive"/>
    <s v="Hashtags Used"/>
    <x v="3"/>
  </r>
  <r>
    <s v="P164"/>
    <s v="YouTube"/>
    <d v="2025-02-27T00:00:00"/>
    <s v="Text"/>
    <s v="Check out our latest text on youtube!"/>
    <n v="4934"/>
    <n v="971"/>
    <n v="156"/>
    <n v="39472"/>
    <n v="39025"/>
    <n v="169"/>
    <s v="SustainabilityDrive"/>
    <s v="Hashtags-1"/>
    <x v="1"/>
  </r>
  <r>
    <s v="P164"/>
    <s v="YouTube"/>
    <d v="2025-02-27T00:00:00"/>
    <s v="Text"/>
    <s v="Check out our latest text on youtube!"/>
    <n v="4934"/>
    <n v="971"/>
    <n v="156"/>
    <n v="39472"/>
    <n v="39025"/>
    <n v="169"/>
    <s v="SustainabilityDrive"/>
    <s v="Hashtags_2"/>
    <x v="2"/>
  </r>
  <r>
    <s v="P165"/>
    <s v="Twitter"/>
    <d v="2024-12-11T00:00:00"/>
    <s v="Text"/>
    <s v="Check out our latest text on twitter!"/>
    <n v="3239"/>
    <n v="43"/>
    <n v="211"/>
    <n v="22673"/>
    <n v="22171"/>
    <n v="230"/>
    <s v="ModelYCampaign"/>
    <s v="Hashtags Used"/>
    <x v="3"/>
  </r>
  <r>
    <s v="P165"/>
    <s v="Twitter"/>
    <d v="2024-12-11T00:00:00"/>
    <s v="Text"/>
    <s v="Check out our latest text on twitter!"/>
    <n v="3239"/>
    <n v="43"/>
    <n v="211"/>
    <n v="22673"/>
    <n v="22171"/>
    <n v="230"/>
    <s v="ModelYCampaign"/>
    <s v="Hashtags-1"/>
    <x v="2"/>
  </r>
  <r>
    <s v="P165"/>
    <s v="Twitter"/>
    <d v="2024-12-11T00:00:00"/>
    <s v="Text"/>
    <s v="Check out our latest text on twitter!"/>
    <n v="3239"/>
    <n v="43"/>
    <n v="211"/>
    <n v="22673"/>
    <n v="22171"/>
    <n v="230"/>
    <s v="ModelYCampaign"/>
    <s v="Hashtags_2"/>
    <x v="2"/>
  </r>
  <r>
    <s v="P166"/>
    <s v="Twitter"/>
    <d v="2025-02-16T00:00:00"/>
    <s v="Reel"/>
    <s v="Check out our latest reel on twitter!"/>
    <n v="1076"/>
    <n v="313"/>
    <n v="306"/>
    <n v="11836"/>
    <n v="11596"/>
    <n v="104"/>
    <s v="CybertruckLaunch"/>
    <s v="Hashtags Used"/>
    <x v="0"/>
  </r>
  <r>
    <s v="P166"/>
    <s v="Twitter"/>
    <d v="2025-02-16T00:00:00"/>
    <s v="Reel"/>
    <s v="Check out our latest reel on twitter!"/>
    <n v="1076"/>
    <n v="313"/>
    <n v="306"/>
    <n v="11836"/>
    <n v="11596"/>
    <n v="104"/>
    <s v="CybertruckLaunch"/>
    <s v="Hashtags-1"/>
    <x v="2"/>
  </r>
  <r>
    <s v="P166"/>
    <s v="Twitter"/>
    <d v="2025-02-16T00:00:00"/>
    <s v="Reel"/>
    <s v="Check out our latest reel on twitter!"/>
    <n v="1076"/>
    <n v="313"/>
    <n v="306"/>
    <n v="11836"/>
    <n v="11596"/>
    <n v="104"/>
    <s v="CybertruckLaunch"/>
    <s v="Hashtags_2"/>
    <x v="2"/>
  </r>
  <r>
    <s v="P167"/>
    <s v="Instagram"/>
    <d v="2024-11-28T00:00:00"/>
    <s v="Text"/>
    <s v="Check out our latest text on instagram!"/>
    <n v="4771"/>
    <n v="818"/>
    <n v="56"/>
    <n v="57252"/>
    <n v="56378"/>
    <n v="150"/>
    <s v="unknown"/>
    <s v="Hashtags Used"/>
    <x v="0"/>
  </r>
  <r>
    <s v="P167"/>
    <s v="Instagram"/>
    <d v="2024-11-28T00:00:00"/>
    <s v="Text"/>
    <s v="Check out our latest text on instagram!"/>
    <n v="4771"/>
    <n v="818"/>
    <n v="56"/>
    <n v="57252"/>
    <n v="56378"/>
    <n v="150"/>
    <s v="unknown"/>
    <s v="Hashtags-1"/>
    <x v="2"/>
  </r>
  <r>
    <s v="P167"/>
    <s v="Instagram"/>
    <d v="2024-11-28T00:00:00"/>
    <s v="Text"/>
    <s v="Check out our latest text on instagram!"/>
    <n v="4771"/>
    <n v="818"/>
    <n v="56"/>
    <n v="57252"/>
    <n v="56378"/>
    <n v="150"/>
    <s v="unknown"/>
    <s v="Hashtags_2"/>
    <x v="2"/>
  </r>
  <r>
    <s v="P168"/>
    <s v="Facebook"/>
    <d v="2024-11-12T00:00:00"/>
    <s v="Text"/>
    <s v="Check out our latest text on facebook!"/>
    <n v="2418"/>
    <n v="754"/>
    <n v="54"/>
    <n v="43524"/>
    <n v="42743"/>
    <n v="182"/>
    <s v="CybertruckLaunch"/>
    <s v="Hashtags Used"/>
    <x v="5"/>
  </r>
  <r>
    <s v="P168"/>
    <s v="Facebook"/>
    <d v="2024-11-12T00:00:00"/>
    <s v="Text"/>
    <s v="Check out our latest text on facebook!"/>
    <n v="2418"/>
    <n v="754"/>
    <n v="54"/>
    <n v="43524"/>
    <n v="42743"/>
    <n v="182"/>
    <s v="CybertruckLaunch"/>
    <s v="Hashtags-1"/>
    <x v="2"/>
  </r>
  <r>
    <s v="P168"/>
    <s v="Facebook"/>
    <d v="2024-11-12T00:00:00"/>
    <s v="Text"/>
    <s v="Check out our latest text on facebook!"/>
    <n v="2418"/>
    <n v="754"/>
    <n v="54"/>
    <n v="43524"/>
    <n v="42743"/>
    <n v="182"/>
    <s v="CybertruckLaunch"/>
    <s v="Hashtags_2"/>
    <x v="2"/>
  </r>
  <r>
    <s v="P169"/>
    <s v="YouTube"/>
    <d v="2024-12-03T00:00:00"/>
    <s v="Video"/>
    <s v="Check out our latest video on youtube!"/>
    <n v="3809"/>
    <n v="273"/>
    <n v="200"/>
    <n v="34281"/>
    <n v="33534"/>
    <n v="83"/>
    <s v="CybertruckLaunch"/>
    <s v="Hashtags Used"/>
    <x v="5"/>
  </r>
  <r>
    <s v="P169"/>
    <s v="YouTube"/>
    <d v="2024-12-03T00:00:00"/>
    <s v="Video"/>
    <s v="Check out our latest video on youtube!"/>
    <n v="3809"/>
    <n v="273"/>
    <n v="200"/>
    <n v="34281"/>
    <n v="33534"/>
    <n v="83"/>
    <s v="CybertruckLaunch"/>
    <s v="Hashtags-1"/>
    <x v="2"/>
  </r>
  <r>
    <s v="P169"/>
    <s v="YouTube"/>
    <d v="2024-12-03T00:00:00"/>
    <s v="Video"/>
    <s v="Check out our latest video on youtube!"/>
    <n v="3809"/>
    <n v="273"/>
    <n v="200"/>
    <n v="34281"/>
    <n v="33534"/>
    <n v="83"/>
    <s v="CybertruckLaunch"/>
    <s v="Hashtags_2"/>
    <x v="2"/>
  </r>
  <r>
    <s v="P170"/>
    <s v="Twitter"/>
    <d v="2025-04-28T00:00:00"/>
    <s v="Text"/>
    <s v="Check out our latest text on twitter!"/>
    <n v="3577"/>
    <n v="596"/>
    <n v="493"/>
    <n v="67963"/>
    <n v="67839"/>
    <n v="53"/>
    <s v="FSDUpdate"/>
    <s v="Hashtags Used"/>
    <x v="3"/>
  </r>
  <r>
    <s v="P170"/>
    <s v="Twitter"/>
    <d v="2025-04-28T00:00:00"/>
    <s v="Text"/>
    <s v="Check out our latest text on twitter!"/>
    <n v="3577"/>
    <n v="596"/>
    <n v="493"/>
    <n v="67963"/>
    <n v="67839"/>
    <n v="53"/>
    <s v="FSDUpdate"/>
    <s v="Hashtags-1"/>
    <x v="2"/>
  </r>
  <r>
    <s v="P170"/>
    <s v="Twitter"/>
    <d v="2025-04-28T00:00:00"/>
    <s v="Text"/>
    <s v="Check out our latest text on twitter!"/>
    <n v="3577"/>
    <n v="596"/>
    <n v="493"/>
    <n v="67963"/>
    <n v="67839"/>
    <n v="53"/>
    <s v="FSDUpdate"/>
    <s v="Hashtags_2"/>
    <x v="2"/>
  </r>
  <r>
    <s v="P171"/>
    <s v="YouTube"/>
    <d v="2024-12-31T00:00:00"/>
    <s v="Video"/>
    <s v="Check out our latest video on youtube!"/>
    <n v="1018"/>
    <n v="447"/>
    <n v="332"/>
    <n v="18324"/>
    <n v="18164"/>
    <n v="38"/>
    <s v="ModelYCampaign"/>
    <s v="Hashtags Used"/>
    <x v="0"/>
  </r>
  <r>
    <s v="P171"/>
    <s v="YouTube"/>
    <d v="2024-12-31T00:00:00"/>
    <s v="Video"/>
    <s v="Check out our latest video on youtube!"/>
    <n v="1018"/>
    <n v="447"/>
    <n v="332"/>
    <n v="18324"/>
    <n v="18164"/>
    <n v="38"/>
    <s v="ModelYCampaign"/>
    <s v="Hashtags-1"/>
    <x v="2"/>
  </r>
  <r>
    <s v="P171"/>
    <s v="YouTube"/>
    <d v="2024-12-31T00:00:00"/>
    <s v="Video"/>
    <s v="Check out our latest video on youtube!"/>
    <n v="1018"/>
    <n v="447"/>
    <n v="332"/>
    <n v="18324"/>
    <n v="18164"/>
    <n v="38"/>
    <s v="ModelYCampaign"/>
    <s v="Hashtags_2"/>
    <x v="2"/>
  </r>
  <r>
    <s v="P172"/>
    <s v="Facebook"/>
    <d v="2024-08-14T00:00:00"/>
    <s v="Carousel"/>
    <s v="Check out our latest carousel on facebook!"/>
    <n v="3073"/>
    <n v="553"/>
    <n v="174"/>
    <n v="52241"/>
    <n v="51605"/>
    <n v="246"/>
    <s v="FSDUpdate"/>
    <s v="Hashtags Used"/>
    <x v="5"/>
  </r>
  <r>
    <s v="P172"/>
    <s v="Facebook"/>
    <d v="2024-08-14T00:00:00"/>
    <s v="Carousel"/>
    <s v="Check out our latest carousel on facebook!"/>
    <n v="3073"/>
    <n v="553"/>
    <n v="174"/>
    <n v="52241"/>
    <n v="51605"/>
    <n v="246"/>
    <s v="FSDUpdate"/>
    <s v="Hashtags-1"/>
    <x v="2"/>
  </r>
  <r>
    <s v="P172"/>
    <s v="Facebook"/>
    <d v="2024-08-14T00:00:00"/>
    <s v="Carousel"/>
    <s v="Check out our latest carousel on facebook!"/>
    <n v="3073"/>
    <n v="553"/>
    <n v="174"/>
    <n v="52241"/>
    <n v="51605"/>
    <n v="246"/>
    <s v="FSDUpdate"/>
    <s v="Hashtags_2"/>
    <x v="2"/>
  </r>
  <r>
    <s v="P173"/>
    <s v="Twitter"/>
    <d v="2024-12-05T00:00:00"/>
    <s v="Video"/>
    <s v="Check out our latest video on twitter!"/>
    <n v="1330"/>
    <n v="925"/>
    <n v="35"/>
    <n v="15960"/>
    <n v="15379"/>
    <n v="229"/>
    <s v="FSDUpdate"/>
    <s v="Hashtags Used"/>
    <x v="0"/>
  </r>
  <r>
    <s v="P173"/>
    <s v="Twitter"/>
    <d v="2024-12-05T00:00:00"/>
    <s v="Video"/>
    <s v="Check out our latest video on twitter!"/>
    <n v="1330"/>
    <n v="925"/>
    <n v="35"/>
    <n v="15960"/>
    <n v="15379"/>
    <n v="229"/>
    <s v="FSDUpdate"/>
    <s v="Hashtags-1"/>
    <x v="2"/>
  </r>
  <r>
    <s v="P173"/>
    <s v="Twitter"/>
    <d v="2024-12-05T00:00:00"/>
    <s v="Video"/>
    <s v="Check out our latest video on twitter!"/>
    <n v="1330"/>
    <n v="925"/>
    <n v="35"/>
    <n v="15960"/>
    <n v="15379"/>
    <n v="229"/>
    <s v="FSDUpdate"/>
    <s v="Hashtags_2"/>
    <x v="2"/>
  </r>
  <r>
    <s v="P174"/>
    <s v="Facebook"/>
    <d v="2024-06-22T00:00:00"/>
    <s v="Text"/>
    <s v="Check out our latest text on facebook!"/>
    <n v="3828"/>
    <n v="148"/>
    <n v="253"/>
    <n v="30624"/>
    <n v="30229"/>
    <n v="235"/>
    <s v="unknown"/>
    <s v="Hashtags Used"/>
    <x v="5"/>
  </r>
  <r>
    <s v="P174"/>
    <s v="Facebook"/>
    <d v="2024-06-22T00:00:00"/>
    <s v="Text"/>
    <s v="Check out our latest text on facebook!"/>
    <n v="3828"/>
    <n v="148"/>
    <n v="253"/>
    <n v="30624"/>
    <n v="30229"/>
    <n v="235"/>
    <s v="unknown"/>
    <s v="Hashtags-1"/>
    <x v="2"/>
  </r>
  <r>
    <s v="P174"/>
    <s v="Facebook"/>
    <d v="2024-06-22T00:00:00"/>
    <s v="Text"/>
    <s v="Check out our latest text on facebook!"/>
    <n v="3828"/>
    <n v="148"/>
    <n v="253"/>
    <n v="30624"/>
    <n v="30229"/>
    <n v="235"/>
    <s v="unknown"/>
    <s v="Hashtags_2"/>
    <x v="2"/>
  </r>
  <r>
    <s v="P175"/>
    <s v="Instagram"/>
    <d v="2025-01-17T00:00:00"/>
    <s v="Reel"/>
    <s v="Check out our latest reel on instagram!"/>
    <n v="142"/>
    <n v="784"/>
    <n v="183"/>
    <n v="1704"/>
    <n v="995"/>
    <n v="154"/>
    <s v="SustainabilityDrive"/>
    <s v="Hashtags Used"/>
    <x v="0"/>
  </r>
  <r>
    <s v="P175"/>
    <s v="Instagram"/>
    <d v="2025-01-17T00:00:00"/>
    <s v="Reel"/>
    <s v="Check out our latest reel on instagram!"/>
    <n v="142"/>
    <n v="784"/>
    <n v="183"/>
    <n v="1704"/>
    <n v="995"/>
    <n v="154"/>
    <s v="SustainabilityDrive"/>
    <s v="Hashtags-1"/>
    <x v="2"/>
  </r>
  <r>
    <s v="P175"/>
    <s v="Instagram"/>
    <d v="2025-01-17T00:00:00"/>
    <s v="Reel"/>
    <s v="Check out our latest reel on instagram!"/>
    <n v="142"/>
    <n v="784"/>
    <n v="183"/>
    <n v="1704"/>
    <n v="995"/>
    <n v="154"/>
    <s v="SustainabilityDrive"/>
    <s v="Hashtags_2"/>
    <x v="2"/>
  </r>
  <r>
    <s v="P176"/>
    <s v="Facebook"/>
    <d v="2024-06-20T00:00:00"/>
    <s v="Video"/>
    <s v="Check out our latest video on facebook!"/>
    <n v="3798"/>
    <n v="31"/>
    <n v="279"/>
    <n v="75960"/>
    <n v="75813"/>
    <n v="266"/>
    <s v="CybertruckLaunch"/>
    <s v="Hashtags Used"/>
    <x v="3"/>
  </r>
  <r>
    <s v="P176"/>
    <s v="Facebook"/>
    <d v="2024-06-20T00:00:00"/>
    <s v="Video"/>
    <s v="Check out our latest video on facebook!"/>
    <n v="3798"/>
    <n v="31"/>
    <n v="279"/>
    <n v="75960"/>
    <n v="75813"/>
    <n v="266"/>
    <s v="CybertruckLaunch"/>
    <s v="Hashtags-1"/>
    <x v="2"/>
  </r>
  <r>
    <s v="P176"/>
    <s v="Facebook"/>
    <d v="2024-06-20T00:00:00"/>
    <s v="Video"/>
    <s v="Check out our latest video on facebook!"/>
    <n v="3798"/>
    <n v="31"/>
    <n v="279"/>
    <n v="75960"/>
    <n v="75813"/>
    <n v="266"/>
    <s v="CybertruckLaunch"/>
    <s v="Hashtags_2"/>
    <x v="2"/>
  </r>
  <r>
    <s v="P177"/>
    <s v="Instagram"/>
    <d v="2024-07-10T00:00:00"/>
    <s v="Carousel"/>
    <s v="Check out our latest carousel on instagram!"/>
    <n v="3099"/>
    <n v="694"/>
    <n v="171"/>
    <n v="43386"/>
    <n v="42921"/>
    <n v="52"/>
    <s v="FSDUpdate"/>
    <s v="Hashtags Used"/>
    <x v="3"/>
  </r>
  <r>
    <s v="P177"/>
    <s v="Instagram"/>
    <d v="2024-07-10T00:00:00"/>
    <s v="Carousel"/>
    <s v="Check out our latest carousel on instagram!"/>
    <n v="3099"/>
    <n v="694"/>
    <n v="171"/>
    <n v="43386"/>
    <n v="42921"/>
    <n v="52"/>
    <s v="FSDUpdate"/>
    <s v="Hashtags-1"/>
    <x v="2"/>
  </r>
  <r>
    <s v="P177"/>
    <s v="Instagram"/>
    <d v="2024-07-10T00:00:00"/>
    <s v="Carousel"/>
    <s v="Check out our latest carousel on instagram!"/>
    <n v="3099"/>
    <n v="694"/>
    <n v="171"/>
    <n v="43386"/>
    <n v="42921"/>
    <n v="52"/>
    <s v="FSDUpdate"/>
    <s v="Hashtags_2"/>
    <x v="2"/>
  </r>
  <r>
    <s v="P178"/>
    <s v="Instagram"/>
    <d v="2024-11-07T00:00:00"/>
    <s v="Video"/>
    <s v="Check out our latest video on instagram!"/>
    <n v="129"/>
    <n v="643"/>
    <n v="136"/>
    <n v="1290"/>
    <n v="839"/>
    <n v="238"/>
    <s v="SustainabilityDrive"/>
    <s v="Hashtags Used"/>
    <x v="3"/>
  </r>
  <r>
    <s v="P178"/>
    <s v="Instagram"/>
    <d v="2024-11-07T00:00:00"/>
    <s v="Video"/>
    <s v="Check out our latest video on instagram!"/>
    <n v="129"/>
    <n v="643"/>
    <n v="136"/>
    <n v="1290"/>
    <n v="839"/>
    <n v="238"/>
    <s v="SustainabilityDrive"/>
    <s v="Hashtags-1"/>
    <x v="2"/>
  </r>
  <r>
    <s v="P178"/>
    <s v="Instagram"/>
    <d v="2024-11-07T00:00:00"/>
    <s v="Video"/>
    <s v="Check out our latest video on instagram!"/>
    <n v="129"/>
    <n v="643"/>
    <n v="136"/>
    <n v="1290"/>
    <n v="839"/>
    <n v="238"/>
    <s v="SustainabilityDrive"/>
    <s v="Hashtags_2"/>
    <x v="2"/>
  </r>
  <r>
    <s v="P179"/>
    <s v="Facebook"/>
    <d v="2024-07-15T00:00:00"/>
    <s v="Carousel"/>
    <s v="Check out our latest carousel on facebook!"/>
    <n v="3796"/>
    <n v="667"/>
    <n v="395"/>
    <n v="64532"/>
    <n v="63550"/>
    <n v="292"/>
    <s v="unknown"/>
    <s v="Hashtags Used"/>
    <x v="3"/>
  </r>
  <r>
    <s v="P179"/>
    <s v="Facebook"/>
    <d v="2024-07-15T00:00:00"/>
    <s v="Carousel"/>
    <s v="Check out our latest carousel on facebook!"/>
    <n v="3796"/>
    <n v="667"/>
    <n v="395"/>
    <n v="64532"/>
    <n v="63550"/>
    <n v="292"/>
    <s v="unknown"/>
    <s v="Hashtags-1"/>
    <x v="2"/>
  </r>
  <r>
    <s v="P179"/>
    <s v="Facebook"/>
    <d v="2024-07-15T00:00:00"/>
    <s v="Carousel"/>
    <s v="Check out our latest carousel on facebook!"/>
    <n v="3796"/>
    <n v="667"/>
    <n v="395"/>
    <n v="64532"/>
    <n v="63550"/>
    <n v="292"/>
    <s v="unknown"/>
    <s v="Hashtags_2"/>
    <x v="2"/>
  </r>
  <r>
    <s v="P180"/>
    <s v="YouTube"/>
    <d v="2024-12-03T00:00:00"/>
    <s v="Text"/>
    <s v="Check out our latest text on youtube!"/>
    <n v="3711"/>
    <n v="352"/>
    <n v="290"/>
    <n v="48243"/>
    <n v="47579"/>
    <n v="11"/>
    <s v="CybertruckLaunch"/>
    <s v="Hashtags Used"/>
    <x v="3"/>
  </r>
  <r>
    <s v="P180"/>
    <s v="YouTube"/>
    <d v="2024-12-03T00:00:00"/>
    <s v="Text"/>
    <s v="Check out our latest text on youtube!"/>
    <n v="3711"/>
    <n v="352"/>
    <n v="290"/>
    <n v="48243"/>
    <n v="47579"/>
    <n v="11"/>
    <s v="CybertruckLaunch"/>
    <s v="Hashtags-1"/>
    <x v="2"/>
  </r>
  <r>
    <s v="P180"/>
    <s v="YouTube"/>
    <d v="2024-12-03T00:00:00"/>
    <s v="Text"/>
    <s v="Check out our latest text on youtube!"/>
    <n v="3711"/>
    <n v="352"/>
    <n v="290"/>
    <n v="48243"/>
    <n v="47579"/>
    <n v="11"/>
    <s v="CybertruckLaunch"/>
    <s v="Hashtags_2"/>
    <x v="2"/>
  </r>
  <r>
    <s v="P181"/>
    <s v="YouTube"/>
    <d v="2025-03-21T00:00:00"/>
    <s v="Image"/>
    <s v="Check out our latest image on youtube!"/>
    <n v="606"/>
    <n v="789"/>
    <n v="470"/>
    <n v="7878"/>
    <n v="7389"/>
    <n v="239"/>
    <s v="FSDUpdate"/>
    <s v="Hashtags Used"/>
    <x v="5"/>
  </r>
  <r>
    <s v="P181"/>
    <s v="YouTube"/>
    <d v="2025-03-21T00:00:00"/>
    <s v="Image"/>
    <s v="Check out our latest image on youtube!"/>
    <n v="606"/>
    <n v="789"/>
    <n v="470"/>
    <n v="7878"/>
    <n v="7389"/>
    <n v="239"/>
    <s v="FSDUpdate"/>
    <s v="Hashtags-1"/>
    <x v="2"/>
  </r>
  <r>
    <s v="P181"/>
    <s v="YouTube"/>
    <d v="2025-03-21T00:00:00"/>
    <s v="Image"/>
    <s v="Check out our latest image on youtube!"/>
    <n v="606"/>
    <n v="789"/>
    <n v="470"/>
    <n v="7878"/>
    <n v="7389"/>
    <n v="239"/>
    <s v="FSDUpdate"/>
    <s v="Hashtags_2"/>
    <x v="2"/>
  </r>
  <r>
    <s v="P182"/>
    <s v="Facebook"/>
    <d v="2024-07-31T00:00:00"/>
    <s v="Image"/>
    <s v="Check out our latest image on facebook!"/>
    <n v="4689"/>
    <n v="134"/>
    <n v="403"/>
    <n v="51579"/>
    <n v="50924"/>
    <n v="173"/>
    <s v="SustainabilityDrive"/>
    <s v="Hashtags Used"/>
    <x v="3"/>
  </r>
  <r>
    <s v="P182"/>
    <s v="Facebook"/>
    <d v="2024-07-31T00:00:00"/>
    <s v="Image"/>
    <s v="Check out our latest image on facebook!"/>
    <n v="4689"/>
    <n v="134"/>
    <n v="403"/>
    <n v="51579"/>
    <n v="50924"/>
    <n v="173"/>
    <s v="SustainabilityDrive"/>
    <s v="Hashtags-1"/>
    <x v="2"/>
  </r>
  <r>
    <s v="P182"/>
    <s v="Facebook"/>
    <d v="2024-07-31T00:00:00"/>
    <s v="Image"/>
    <s v="Check out our latest image on facebook!"/>
    <n v="4689"/>
    <n v="134"/>
    <n v="403"/>
    <n v="51579"/>
    <n v="50924"/>
    <n v="173"/>
    <s v="SustainabilityDrive"/>
    <s v="Hashtags_2"/>
    <x v="2"/>
  </r>
  <r>
    <s v="P183"/>
    <s v="Instagram"/>
    <d v="2024-12-17T00:00:00"/>
    <s v="Story"/>
    <s v="Check out our latest story on instagram!"/>
    <n v="360"/>
    <n v="590"/>
    <n v="393"/>
    <n v="4680"/>
    <n v="4322"/>
    <n v="208"/>
    <s v="ModelYCampaign"/>
    <s v="Hashtags Used"/>
    <x v="0"/>
  </r>
  <r>
    <s v="P183"/>
    <s v="Instagram"/>
    <d v="2024-12-17T00:00:00"/>
    <s v="Story"/>
    <s v="Check out our latest story on instagram!"/>
    <n v="360"/>
    <n v="590"/>
    <n v="393"/>
    <n v="4680"/>
    <n v="4322"/>
    <n v="208"/>
    <s v="ModelYCampaign"/>
    <s v="Hashtags-1"/>
    <x v="2"/>
  </r>
  <r>
    <s v="P183"/>
    <s v="Instagram"/>
    <d v="2024-12-17T00:00:00"/>
    <s v="Story"/>
    <s v="Check out our latest story on instagram!"/>
    <n v="360"/>
    <n v="590"/>
    <n v="393"/>
    <n v="4680"/>
    <n v="4322"/>
    <n v="208"/>
    <s v="ModelYCampaign"/>
    <s v="Hashtags_2"/>
    <x v="2"/>
  </r>
  <r>
    <s v="P184"/>
    <s v="Twitter"/>
    <d v="2024-07-28T00:00:00"/>
    <s v="Image"/>
    <s v="Check out our latest image on twitter!"/>
    <n v="3215"/>
    <n v="960"/>
    <n v="202"/>
    <n v="32150"/>
    <n v="31404"/>
    <n v="251"/>
    <s v="CybertruckLaunch"/>
    <s v="Hashtags Used"/>
    <x v="5"/>
  </r>
  <r>
    <s v="P184"/>
    <s v="Twitter"/>
    <d v="2024-07-28T00:00:00"/>
    <s v="Image"/>
    <s v="Check out our latest image on twitter!"/>
    <n v="3215"/>
    <n v="960"/>
    <n v="202"/>
    <n v="32150"/>
    <n v="31404"/>
    <n v="251"/>
    <s v="CybertruckLaunch"/>
    <s v="Hashtags-1"/>
    <x v="2"/>
  </r>
  <r>
    <s v="P184"/>
    <s v="Twitter"/>
    <d v="2024-07-28T00:00:00"/>
    <s v="Image"/>
    <s v="Check out our latest image on twitter!"/>
    <n v="3215"/>
    <n v="960"/>
    <n v="202"/>
    <n v="32150"/>
    <n v="31404"/>
    <n v="251"/>
    <s v="CybertruckLaunch"/>
    <s v="Hashtags_2"/>
    <x v="2"/>
  </r>
  <r>
    <s v="P185"/>
    <s v="Instagram"/>
    <d v="2025-01-11T00:00:00"/>
    <s v="Carousel"/>
    <s v="Check out our latest carousel on instagram!"/>
    <n v="4523"/>
    <n v="61"/>
    <n v="157"/>
    <n v="49753"/>
    <n v="49329"/>
    <n v="71"/>
    <s v="unknown"/>
    <s v="Hashtags Used"/>
    <x v="5"/>
  </r>
  <r>
    <s v="P185"/>
    <s v="Instagram"/>
    <d v="2025-01-11T00:00:00"/>
    <s v="Carousel"/>
    <s v="Check out our latest carousel on instagram!"/>
    <n v="4523"/>
    <n v="61"/>
    <n v="157"/>
    <n v="49753"/>
    <n v="49329"/>
    <n v="71"/>
    <s v="unknown"/>
    <s v="Hashtags-1"/>
    <x v="2"/>
  </r>
  <r>
    <s v="P185"/>
    <s v="Instagram"/>
    <d v="2025-01-11T00:00:00"/>
    <s v="Carousel"/>
    <s v="Check out our latest carousel on instagram!"/>
    <n v="4523"/>
    <n v="61"/>
    <n v="157"/>
    <n v="49753"/>
    <n v="49329"/>
    <n v="71"/>
    <s v="unknown"/>
    <s v="Hashtags_2"/>
    <x v="2"/>
  </r>
  <r>
    <s v="P186"/>
    <s v="Facebook"/>
    <d v="2024-08-24T00:00:00"/>
    <s v="Carousel"/>
    <s v="Check out our latest carousel on facebook!"/>
    <n v="4292"/>
    <n v="51"/>
    <n v="392"/>
    <n v="55796"/>
    <n v="54826"/>
    <n v="264"/>
    <s v="FSDUpdate"/>
    <s v="Hashtags Used"/>
    <x v="5"/>
  </r>
  <r>
    <s v="P186"/>
    <s v="Facebook"/>
    <d v="2024-08-24T00:00:00"/>
    <s v="Carousel"/>
    <s v="Check out our latest carousel on facebook!"/>
    <n v="4292"/>
    <n v="51"/>
    <n v="392"/>
    <n v="55796"/>
    <n v="54826"/>
    <n v="264"/>
    <s v="FSDUpdate"/>
    <s v="Hashtags-1"/>
    <x v="2"/>
  </r>
  <r>
    <s v="P186"/>
    <s v="Facebook"/>
    <d v="2024-08-24T00:00:00"/>
    <s v="Carousel"/>
    <s v="Check out our latest carousel on facebook!"/>
    <n v="4292"/>
    <n v="51"/>
    <n v="392"/>
    <n v="55796"/>
    <n v="54826"/>
    <n v="264"/>
    <s v="FSDUpdate"/>
    <s v="Hashtags_2"/>
    <x v="2"/>
  </r>
  <r>
    <s v="P187"/>
    <s v="Twitter"/>
    <d v="2024-12-22T00:00:00"/>
    <s v="Reel"/>
    <s v="Check out our latest reel on twitter!"/>
    <n v="1644"/>
    <n v="546"/>
    <n v="150"/>
    <n v="27948"/>
    <n v="27184"/>
    <n v="300"/>
    <s v="FSDUpdate"/>
    <s v="Hashtags Used"/>
    <x v="5"/>
  </r>
  <r>
    <s v="P187"/>
    <s v="Twitter"/>
    <d v="2024-12-22T00:00:00"/>
    <s v="Reel"/>
    <s v="Check out our latest reel on twitter!"/>
    <n v="1644"/>
    <n v="546"/>
    <n v="150"/>
    <n v="27948"/>
    <n v="27184"/>
    <n v="300"/>
    <s v="FSDUpdate"/>
    <s v="Hashtags-1"/>
    <x v="2"/>
  </r>
  <r>
    <s v="P187"/>
    <s v="Twitter"/>
    <d v="2024-12-22T00:00:00"/>
    <s v="Reel"/>
    <s v="Check out our latest reel on twitter!"/>
    <n v="1644"/>
    <n v="546"/>
    <n v="150"/>
    <n v="27948"/>
    <n v="27184"/>
    <n v="300"/>
    <s v="FSDUpdate"/>
    <s v="Hashtags_2"/>
    <x v="2"/>
  </r>
  <r>
    <s v="P188"/>
    <s v="YouTube"/>
    <d v="2024-06-06T00:00:00"/>
    <s v="Reel"/>
    <s v="Check out our latest reel on youtube!"/>
    <n v="2728"/>
    <n v="533"/>
    <n v="215"/>
    <n v="40920"/>
    <n v="40816"/>
    <n v="137"/>
    <s v="ModelYCampaign"/>
    <s v="Hashtags Used"/>
    <x v="0"/>
  </r>
  <r>
    <s v="P188"/>
    <s v="YouTube"/>
    <d v="2024-06-06T00:00:00"/>
    <s v="Reel"/>
    <s v="Check out our latest reel on youtube!"/>
    <n v="2728"/>
    <n v="533"/>
    <n v="215"/>
    <n v="40920"/>
    <n v="40816"/>
    <n v="137"/>
    <s v="ModelYCampaign"/>
    <s v="Hashtags-1"/>
    <x v="2"/>
  </r>
  <r>
    <s v="P188"/>
    <s v="YouTube"/>
    <d v="2024-06-06T00:00:00"/>
    <s v="Reel"/>
    <s v="Check out our latest reel on youtube!"/>
    <n v="2728"/>
    <n v="533"/>
    <n v="215"/>
    <n v="40920"/>
    <n v="40816"/>
    <n v="137"/>
    <s v="ModelYCampaign"/>
    <s v="Hashtags_2"/>
    <x v="2"/>
  </r>
  <r>
    <s v="P189"/>
    <s v="Facebook"/>
    <d v="2025-03-24T00:00:00"/>
    <s v="Reel"/>
    <s v="Check out our latest reel on facebook!"/>
    <n v="3360"/>
    <n v="525"/>
    <n v="500"/>
    <n v="60480"/>
    <n v="59610"/>
    <n v="192"/>
    <s v="CybertruckLaunch"/>
    <s v="Hashtags Used"/>
    <x v="3"/>
  </r>
  <r>
    <s v="P189"/>
    <s v="Facebook"/>
    <d v="2025-03-24T00:00:00"/>
    <s v="Reel"/>
    <s v="Check out our latest reel on facebook!"/>
    <n v="3360"/>
    <n v="525"/>
    <n v="500"/>
    <n v="60480"/>
    <n v="59610"/>
    <n v="192"/>
    <s v="CybertruckLaunch"/>
    <s v="Hashtags-1"/>
    <x v="2"/>
  </r>
  <r>
    <s v="P189"/>
    <s v="Facebook"/>
    <d v="2025-03-24T00:00:00"/>
    <s v="Reel"/>
    <s v="Check out our latest reel on facebook!"/>
    <n v="3360"/>
    <n v="525"/>
    <n v="500"/>
    <n v="60480"/>
    <n v="59610"/>
    <n v="192"/>
    <s v="CybertruckLaunch"/>
    <s v="Hashtags_2"/>
    <x v="2"/>
  </r>
  <r>
    <s v="P190"/>
    <s v="YouTube"/>
    <d v="2024-10-04T00:00:00"/>
    <s v="Text"/>
    <s v="Check out our latest text on youtube!"/>
    <n v="1963"/>
    <n v="213"/>
    <n v="19"/>
    <n v="39260"/>
    <n v="38771"/>
    <n v="145"/>
    <s v="unknown"/>
    <s v="Hashtags Used"/>
    <x v="0"/>
  </r>
  <r>
    <s v="P190"/>
    <s v="YouTube"/>
    <d v="2024-10-04T00:00:00"/>
    <s v="Text"/>
    <s v="Check out our latest text on youtube!"/>
    <n v="1963"/>
    <n v="213"/>
    <n v="19"/>
    <n v="39260"/>
    <n v="38771"/>
    <n v="145"/>
    <s v="unknown"/>
    <s v="Hashtags-1"/>
    <x v="2"/>
  </r>
  <r>
    <s v="P190"/>
    <s v="YouTube"/>
    <d v="2024-10-04T00:00:00"/>
    <s v="Text"/>
    <s v="Check out our latest text on youtube!"/>
    <n v="1963"/>
    <n v="213"/>
    <n v="19"/>
    <n v="39260"/>
    <n v="38771"/>
    <n v="145"/>
    <s v="unknown"/>
    <s v="Hashtags_2"/>
    <x v="2"/>
  </r>
  <r>
    <s v="P191"/>
    <s v="YouTube"/>
    <d v="2024-12-03T00:00:00"/>
    <s v="Story"/>
    <s v="Check out our latest story on youtube!"/>
    <n v="4285"/>
    <n v="886"/>
    <n v="376"/>
    <n v="55705"/>
    <n v="55556"/>
    <n v="51"/>
    <s v="FSDUpdate"/>
    <s v="Hashtags Used"/>
    <x v="0"/>
  </r>
  <r>
    <s v="P191"/>
    <s v="YouTube"/>
    <d v="2024-12-03T00:00:00"/>
    <s v="Story"/>
    <s v="Check out our latest story on youtube!"/>
    <n v="4285"/>
    <n v="886"/>
    <n v="376"/>
    <n v="55705"/>
    <n v="55556"/>
    <n v="51"/>
    <s v="FSDUpdate"/>
    <s v="Hashtags-1"/>
    <x v="2"/>
  </r>
  <r>
    <s v="P191"/>
    <s v="YouTube"/>
    <d v="2024-12-03T00:00:00"/>
    <s v="Story"/>
    <s v="Check out our latest story on youtube!"/>
    <n v="4285"/>
    <n v="886"/>
    <n v="376"/>
    <n v="55705"/>
    <n v="55556"/>
    <n v="51"/>
    <s v="FSDUpdate"/>
    <s v="Hashtags_2"/>
    <x v="2"/>
  </r>
  <r>
    <s v="P192"/>
    <s v="Instagram"/>
    <d v="2024-11-29T00:00:00"/>
    <s v="Video"/>
    <s v="Check out our latest video on instagram!"/>
    <n v="1176"/>
    <n v="464"/>
    <n v="394"/>
    <n v="14112"/>
    <n v="13588"/>
    <n v="272"/>
    <s v="unknown"/>
    <s v="Hashtags Used"/>
    <x v="5"/>
  </r>
  <r>
    <s v="P192"/>
    <s v="Instagram"/>
    <d v="2024-11-29T00:00:00"/>
    <s v="Video"/>
    <s v="Check out our latest video on instagram!"/>
    <n v="1176"/>
    <n v="464"/>
    <n v="394"/>
    <n v="14112"/>
    <n v="13588"/>
    <n v="272"/>
    <s v="unknown"/>
    <s v="Hashtags-1"/>
    <x v="2"/>
  </r>
  <r>
    <s v="P192"/>
    <s v="Instagram"/>
    <d v="2024-11-29T00:00:00"/>
    <s v="Video"/>
    <s v="Check out our latest video on instagram!"/>
    <n v="1176"/>
    <n v="464"/>
    <n v="394"/>
    <n v="14112"/>
    <n v="13588"/>
    <n v="272"/>
    <s v="unknown"/>
    <s v="Hashtags_2"/>
    <x v="2"/>
  </r>
  <r>
    <s v="P193"/>
    <s v="Twitter"/>
    <d v="2024-09-11T00:00:00"/>
    <s v="Image"/>
    <s v="Check out our latest image on twitter!"/>
    <n v="4858"/>
    <n v="317"/>
    <n v="129"/>
    <n v="53438"/>
    <n v="52687"/>
    <n v="223"/>
    <s v="FSDUpdate"/>
    <s v="Hashtags Used"/>
    <x v="5"/>
  </r>
  <r>
    <s v="P193"/>
    <s v="Twitter"/>
    <d v="2024-09-11T00:00:00"/>
    <s v="Image"/>
    <s v="Check out our latest image on twitter!"/>
    <n v="4858"/>
    <n v="317"/>
    <n v="129"/>
    <n v="53438"/>
    <n v="52687"/>
    <n v="223"/>
    <s v="FSDUpdate"/>
    <s v="Hashtags-1"/>
    <x v="2"/>
  </r>
  <r>
    <s v="P193"/>
    <s v="Twitter"/>
    <d v="2024-09-11T00:00:00"/>
    <s v="Image"/>
    <s v="Check out our latest image on twitter!"/>
    <n v="4858"/>
    <n v="317"/>
    <n v="129"/>
    <n v="53438"/>
    <n v="52687"/>
    <n v="223"/>
    <s v="FSDUpdate"/>
    <s v="Hashtags_2"/>
    <x v="2"/>
  </r>
  <r>
    <s v="P194"/>
    <s v="YouTube"/>
    <d v="2024-10-02T00:00:00"/>
    <s v="Story"/>
    <s v="Check out our latest story on youtube!"/>
    <n v="4350"/>
    <n v="771"/>
    <n v="7"/>
    <n v="60900"/>
    <n v="60592"/>
    <n v="195"/>
    <s v="CybertruckLaunch"/>
    <s v="Hashtags Used"/>
    <x v="5"/>
  </r>
  <r>
    <s v="P194"/>
    <s v="YouTube"/>
    <d v="2024-10-02T00:00:00"/>
    <s v="Story"/>
    <s v="Check out our latest story on youtube!"/>
    <n v="4350"/>
    <n v="771"/>
    <n v="7"/>
    <n v="60900"/>
    <n v="60592"/>
    <n v="195"/>
    <s v="CybertruckLaunch"/>
    <s v="Hashtags-1"/>
    <x v="2"/>
  </r>
  <r>
    <s v="P194"/>
    <s v="YouTube"/>
    <d v="2024-10-02T00:00:00"/>
    <s v="Story"/>
    <s v="Check out our latest story on youtube!"/>
    <n v="4350"/>
    <n v="771"/>
    <n v="7"/>
    <n v="60900"/>
    <n v="60592"/>
    <n v="195"/>
    <s v="CybertruckLaunch"/>
    <s v="Hashtags_2"/>
    <x v="2"/>
  </r>
  <r>
    <s v="P195"/>
    <s v="Instagram"/>
    <d v="2024-08-15T00:00:00"/>
    <s v="Carousel"/>
    <s v="Check out our latest carousel on instagram!"/>
    <n v="914"/>
    <n v="464"/>
    <n v="246"/>
    <n v="11882"/>
    <n v="11500"/>
    <n v="282"/>
    <s v="SustainabilityDrive"/>
    <s v="Hashtags Used"/>
    <x v="0"/>
  </r>
  <r>
    <s v="P195"/>
    <s v="Instagram"/>
    <d v="2024-08-15T00:00:00"/>
    <s v="Carousel"/>
    <s v="Check out our latest carousel on instagram!"/>
    <n v="914"/>
    <n v="464"/>
    <n v="246"/>
    <n v="11882"/>
    <n v="11500"/>
    <n v="282"/>
    <s v="SustainabilityDrive"/>
    <s v="Hashtags-1"/>
    <x v="3"/>
  </r>
  <r>
    <s v="P195"/>
    <s v="Instagram"/>
    <d v="2024-08-15T00:00:00"/>
    <s v="Carousel"/>
    <s v="Check out our latest carousel on instagram!"/>
    <n v="914"/>
    <n v="464"/>
    <n v="246"/>
    <n v="11882"/>
    <n v="11500"/>
    <n v="282"/>
    <s v="SustainabilityDrive"/>
    <s v="Hashtags_2"/>
    <x v="1"/>
  </r>
  <r>
    <s v="P196"/>
    <s v="Instagram"/>
    <d v="2024-12-19T00:00:00"/>
    <s v="Text"/>
    <s v="Check out our latest text on instagram!"/>
    <n v="1813"/>
    <n v="623"/>
    <n v="72"/>
    <n v="19943"/>
    <n v="18959"/>
    <n v="85"/>
    <s v="FSDUpdate"/>
    <s v="Hashtags Used"/>
    <x v="5"/>
  </r>
  <r>
    <s v="P196"/>
    <s v="Instagram"/>
    <d v="2024-12-19T00:00:00"/>
    <s v="Text"/>
    <s v="Check out our latest text on instagram!"/>
    <n v="1813"/>
    <n v="623"/>
    <n v="72"/>
    <n v="19943"/>
    <n v="18959"/>
    <n v="85"/>
    <s v="FSDUpdate"/>
    <s v="Hashtags-1"/>
    <x v="2"/>
  </r>
  <r>
    <s v="P196"/>
    <s v="Instagram"/>
    <d v="2024-12-19T00:00:00"/>
    <s v="Text"/>
    <s v="Check out our latest text on instagram!"/>
    <n v="1813"/>
    <n v="623"/>
    <n v="72"/>
    <n v="19943"/>
    <n v="18959"/>
    <n v="85"/>
    <s v="FSDUpdate"/>
    <s v="Hashtags_2"/>
    <x v="2"/>
  </r>
  <r>
    <s v="P197"/>
    <s v="Twitter"/>
    <d v="2024-10-22T00:00:00"/>
    <s v="Reel"/>
    <s v="Check out our latest reel on twitter!"/>
    <n v="4782"/>
    <n v="721"/>
    <n v="82"/>
    <n v="86076"/>
    <n v="85339"/>
    <n v="19"/>
    <s v="CybertruckLaunch"/>
    <s v="Hashtags Used"/>
    <x v="5"/>
  </r>
  <r>
    <s v="P197"/>
    <s v="Twitter"/>
    <d v="2024-10-22T00:00:00"/>
    <s v="Reel"/>
    <s v="Check out our latest reel on twitter!"/>
    <n v="4782"/>
    <n v="721"/>
    <n v="82"/>
    <n v="86076"/>
    <n v="85339"/>
    <n v="19"/>
    <s v="CybertruckLaunch"/>
    <s v="Hashtags-1"/>
    <x v="2"/>
  </r>
  <r>
    <s v="P197"/>
    <s v="Twitter"/>
    <d v="2024-10-22T00:00:00"/>
    <s v="Reel"/>
    <s v="Check out our latest reel on twitter!"/>
    <n v="4782"/>
    <n v="721"/>
    <n v="82"/>
    <n v="86076"/>
    <n v="85339"/>
    <n v="19"/>
    <s v="CybertruckLaunch"/>
    <s v="Hashtags_2"/>
    <x v="2"/>
  </r>
  <r>
    <s v="P198"/>
    <s v="Twitter"/>
    <d v="2024-09-14T00:00:00"/>
    <s v="Image"/>
    <s v="Check out our latest image on twitter!"/>
    <n v="1048"/>
    <n v="374"/>
    <n v="450"/>
    <n v="9432"/>
    <n v="8882"/>
    <n v="158"/>
    <s v="FSDUpdate"/>
    <s v="Hashtags Used"/>
    <x v="3"/>
  </r>
  <r>
    <s v="P198"/>
    <s v="Twitter"/>
    <d v="2024-09-14T00:00:00"/>
    <s v="Image"/>
    <s v="Check out our latest image on twitter!"/>
    <n v="1048"/>
    <n v="374"/>
    <n v="450"/>
    <n v="9432"/>
    <n v="8882"/>
    <n v="158"/>
    <s v="FSDUpdate"/>
    <s v="Hashtags-1"/>
    <x v="2"/>
  </r>
  <r>
    <s v="P198"/>
    <s v="Twitter"/>
    <d v="2024-09-14T00:00:00"/>
    <s v="Image"/>
    <s v="Check out our latest image on twitter!"/>
    <n v="1048"/>
    <n v="374"/>
    <n v="450"/>
    <n v="9432"/>
    <n v="8882"/>
    <n v="158"/>
    <s v="FSDUpdate"/>
    <s v="Hashtags_2"/>
    <x v="2"/>
  </r>
  <r>
    <s v="P199"/>
    <s v="YouTube"/>
    <d v="2024-11-30T00:00:00"/>
    <s v="Carousel"/>
    <s v="Check out our latest carousel on youtube!"/>
    <n v="2509"/>
    <n v="324"/>
    <n v="171"/>
    <n v="35126"/>
    <n v="34685"/>
    <n v="277"/>
    <s v="ModelYCampaign"/>
    <s v="Hashtags Used"/>
    <x v="3"/>
  </r>
  <r>
    <s v="P199"/>
    <s v="YouTube"/>
    <d v="2024-11-30T00:00:00"/>
    <s v="Carousel"/>
    <s v="Check out our latest carousel on youtube!"/>
    <n v="2509"/>
    <n v="324"/>
    <n v="171"/>
    <n v="35126"/>
    <n v="34685"/>
    <n v="277"/>
    <s v="ModelYCampaign"/>
    <s v="Hashtags-1"/>
    <x v="2"/>
  </r>
  <r>
    <s v="P199"/>
    <s v="YouTube"/>
    <d v="2024-11-30T00:00:00"/>
    <s v="Carousel"/>
    <s v="Check out our latest carousel on youtube!"/>
    <n v="2509"/>
    <n v="324"/>
    <n v="171"/>
    <n v="35126"/>
    <n v="34685"/>
    <n v="277"/>
    <s v="ModelYCampaign"/>
    <s v="Hashtags_2"/>
    <x v="2"/>
  </r>
  <r>
    <s v="P200"/>
    <s v="Facebook"/>
    <d v="2025-04-07T00:00:00"/>
    <s v="Reel"/>
    <s v="Check out our latest reel on facebook!"/>
    <n v="3718"/>
    <n v="385"/>
    <n v="310"/>
    <n v="70642"/>
    <n v="69749"/>
    <n v="233"/>
    <s v="ModelYCampaign"/>
    <s v="Hashtags Used"/>
    <x v="3"/>
  </r>
  <r>
    <s v="P200"/>
    <s v="Facebook"/>
    <d v="2025-04-07T00:00:00"/>
    <s v="Reel"/>
    <s v="Check out our latest reel on facebook!"/>
    <n v="3718"/>
    <n v="385"/>
    <n v="310"/>
    <n v="70642"/>
    <n v="69749"/>
    <n v="233"/>
    <s v="ModelYCampaign"/>
    <s v="Hashtags-1"/>
    <x v="2"/>
  </r>
  <r>
    <s v="P200"/>
    <s v="Facebook"/>
    <d v="2025-04-07T00:00:00"/>
    <s v="Reel"/>
    <s v="Check out our latest reel on facebook!"/>
    <n v="3718"/>
    <n v="385"/>
    <n v="310"/>
    <n v="70642"/>
    <n v="69749"/>
    <n v="233"/>
    <s v="ModelYCampaign"/>
    <s v="Hashtags_2"/>
    <x v="2"/>
  </r>
  <r>
    <s v="P201"/>
    <s v="Twitter"/>
    <d v="2025-01-15T00:00:00"/>
    <s v="Reel"/>
    <s v="Check out our latest reel on twitter!"/>
    <n v="802"/>
    <n v="262"/>
    <n v="244"/>
    <n v="14436"/>
    <n v="14280"/>
    <n v="49"/>
    <s v="CybertruckLaunch"/>
    <s v="Hashtags Used"/>
    <x v="5"/>
  </r>
  <r>
    <s v="P201"/>
    <s v="Twitter"/>
    <d v="2025-01-15T00:00:00"/>
    <s v="Reel"/>
    <s v="Check out our latest reel on twitter!"/>
    <n v="802"/>
    <n v="262"/>
    <n v="244"/>
    <n v="14436"/>
    <n v="14280"/>
    <n v="49"/>
    <s v="CybertruckLaunch"/>
    <s v="Hashtags-1"/>
    <x v="2"/>
  </r>
  <r>
    <s v="P201"/>
    <s v="Twitter"/>
    <d v="2025-01-15T00:00:00"/>
    <s v="Reel"/>
    <s v="Check out our latest reel on twitter!"/>
    <n v="802"/>
    <n v="262"/>
    <n v="244"/>
    <n v="14436"/>
    <n v="14280"/>
    <n v="49"/>
    <s v="CybertruckLaunch"/>
    <s v="Hashtags_2"/>
    <x v="2"/>
  </r>
  <r>
    <s v="P202"/>
    <s v="Facebook"/>
    <d v="2024-06-02T00:00:00"/>
    <s v="Image"/>
    <s v="Check out our latest image on facebook!"/>
    <n v="1871"/>
    <n v="252"/>
    <n v="335"/>
    <n v="29936"/>
    <n v="29576"/>
    <n v="288"/>
    <s v="FSDUpdate"/>
    <s v="Hashtags Used"/>
    <x v="5"/>
  </r>
  <r>
    <s v="P202"/>
    <s v="Facebook"/>
    <d v="2024-06-02T00:00:00"/>
    <s v="Image"/>
    <s v="Check out our latest image on facebook!"/>
    <n v="1871"/>
    <n v="252"/>
    <n v="335"/>
    <n v="29936"/>
    <n v="29576"/>
    <n v="288"/>
    <s v="FSDUpdate"/>
    <s v="Hashtags-1"/>
    <x v="2"/>
  </r>
  <r>
    <s v="P202"/>
    <s v="Facebook"/>
    <d v="2024-06-02T00:00:00"/>
    <s v="Image"/>
    <s v="Check out our latest image on facebook!"/>
    <n v="1871"/>
    <n v="252"/>
    <n v="335"/>
    <n v="29936"/>
    <n v="29576"/>
    <n v="288"/>
    <s v="FSDUpdate"/>
    <s v="Hashtags_2"/>
    <x v="2"/>
  </r>
  <r>
    <s v="P203"/>
    <s v="Instagram"/>
    <d v="2024-11-21T00:00:00"/>
    <s v="Carousel"/>
    <s v="Check out our latest carousel on instagram!"/>
    <n v="3773"/>
    <n v="299"/>
    <n v="38"/>
    <n v="71687"/>
    <n v="71447"/>
    <n v="286"/>
    <s v="CybertruckLaunch"/>
    <s v="Hashtags Used"/>
    <x v="0"/>
  </r>
  <r>
    <s v="P203"/>
    <s v="Instagram"/>
    <d v="2024-11-21T00:00:00"/>
    <s v="Carousel"/>
    <s v="Check out our latest carousel on instagram!"/>
    <n v="3773"/>
    <n v="299"/>
    <n v="38"/>
    <n v="71687"/>
    <n v="71447"/>
    <n v="286"/>
    <s v="CybertruckLaunch"/>
    <s v="Hashtags-1"/>
    <x v="2"/>
  </r>
  <r>
    <s v="P203"/>
    <s v="Instagram"/>
    <d v="2024-11-21T00:00:00"/>
    <s v="Carousel"/>
    <s v="Check out our latest carousel on instagram!"/>
    <n v="3773"/>
    <n v="299"/>
    <n v="38"/>
    <n v="71687"/>
    <n v="71447"/>
    <n v="286"/>
    <s v="CybertruckLaunch"/>
    <s v="Hashtags_2"/>
    <x v="2"/>
  </r>
  <r>
    <s v="P204"/>
    <s v="Instagram"/>
    <d v="2025-01-01T00:00:00"/>
    <s v="Carousel"/>
    <s v="Check out our latest carousel on instagram!"/>
    <n v="2234"/>
    <n v="653"/>
    <n v="432"/>
    <n v="11170"/>
    <n v="10569"/>
    <n v="198"/>
    <s v="FSDUpdate"/>
    <s v="Hashtags Used"/>
    <x v="0"/>
  </r>
  <r>
    <s v="P204"/>
    <s v="Instagram"/>
    <d v="2025-01-01T00:00:00"/>
    <s v="Carousel"/>
    <s v="Check out our latest carousel on instagram!"/>
    <n v="2234"/>
    <n v="653"/>
    <n v="432"/>
    <n v="11170"/>
    <n v="10569"/>
    <n v="198"/>
    <s v="FSDUpdate"/>
    <s v="Hashtags-1"/>
    <x v="2"/>
  </r>
  <r>
    <s v="P204"/>
    <s v="Instagram"/>
    <d v="2025-01-01T00:00:00"/>
    <s v="Carousel"/>
    <s v="Check out our latest carousel on instagram!"/>
    <n v="2234"/>
    <n v="653"/>
    <n v="432"/>
    <n v="11170"/>
    <n v="10569"/>
    <n v="198"/>
    <s v="FSDUpdate"/>
    <s v="Hashtags_2"/>
    <x v="2"/>
  </r>
  <r>
    <s v="P205"/>
    <s v="Twitter"/>
    <d v="2025-04-24T00:00:00"/>
    <s v="Video"/>
    <s v="Check out our latest video on twitter!"/>
    <n v="3820"/>
    <n v="697"/>
    <n v="268"/>
    <n v="45840"/>
    <n v="45631"/>
    <n v="171"/>
    <s v="SustainabilityDrive"/>
    <s v="Hashtags Used"/>
    <x v="3"/>
  </r>
  <r>
    <s v="P205"/>
    <s v="Twitter"/>
    <d v="2025-04-24T00:00:00"/>
    <s v="Video"/>
    <s v="Check out our latest video on twitter!"/>
    <n v="3820"/>
    <n v="697"/>
    <n v="268"/>
    <n v="45840"/>
    <n v="45631"/>
    <n v="171"/>
    <s v="SustainabilityDrive"/>
    <s v="Hashtags-1"/>
    <x v="6"/>
  </r>
  <r>
    <s v="P205"/>
    <s v="Twitter"/>
    <d v="2025-04-24T00:00:00"/>
    <s v="Video"/>
    <s v="Check out our latest video on twitter!"/>
    <n v="3820"/>
    <n v="697"/>
    <n v="268"/>
    <n v="45840"/>
    <n v="45631"/>
    <n v="171"/>
    <s v="SustainabilityDrive"/>
    <s v="Hashtags_2"/>
    <x v="2"/>
  </r>
  <r>
    <s v="P206"/>
    <s v="Twitter"/>
    <d v="2024-06-24T00:00:00"/>
    <s v="Text"/>
    <s v="Check out our latest text on twitter!"/>
    <n v="941"/>
    <n v="121"/>
    <n v="458"/>
    <n v="14115"/>
    <n v="13838"/>
    <n v="87"/>
    <s v="CybertruckLaunch"/>
    <s v="Hashtags Used"/>
    <x v="5"/>
  </r>
  <r>
    <s v="P206"/>
    <s v="Twitter"/>
    <d v="2024-06-24T00:00:00"/>
    <s v="Text"/>
    <s v="Check out our latest text on twitter!"/>
    <n v="941"/>
    <n v="121"/>
    <n v="458"/>
    <n v="14115"/>
    <n v="13838"/>
    <n v="87"/>
    <s v="CybertruckLaunch"/>
    <s v="Hashtags-1"/>
    <x v="2"/>
  </r>
  <r>
    <s v="P206"/>
    <s v="Twitter"/>
    <d v="2024-06-24T00:00:00"/>
    <s v="Text"/>
    <s v="Check out our latest text on twitter!"/>
    <n v="941"/>
    <n v="121"/>
    <n v="458"/>
    <n v="14115"/>
    <n v="13838"/>
    <n v="87"/>
    <s v="CybertruckLaunch"/>
    <s v="Hashtags_2"/>
    <x v="2"/>
  </r>
  <r>
    <s v="P207"/>
    <s v="Twitter"/>
    <d v="2024-12-29T00:00:00"/>
    <s v="Carousel"/>
    <s v="Check out our latest carousel on twitter!"/>
    <n v="4274"/>
    <n v="340"/>
    <n v="281"/>
    <n v="34192"/>
    <n v="33446"/>
    <n v="129"/>
    <s v="FSDUpdate"/>
    <s v="Hashtags Used"/>
    <x v="3"/>
  </r>
  <r>
    <s v="P207"/>
    <s v="Twitter"/>
    <d v="2024-12-29T00:00:00"/>
    <s v="Carousel"/>
    <s v="Check out our latest carousel on twitter!"/>
    <n v="4274"/>
    <n v="340"/>
    <n v="281"/>
    <n v="34192"/>
    <n v="33446"/>
    <n v="129"/>
    <s v="FSDUpdate"/>
    <s v="Hashtags-1"/>
    <x v="6"/>
  </r>
  <r>
    <s v="P207"/>
    <s v="Twitter"/>
    <d v="2024-12-29T00:00:00"/>
    <s v="Carousel"/>
    <s v="Check out our latest carousel on twitter!"/>
    <n v="4274"/>
    <n v="340"/>
    <n v="281"/>
    <n v="34192"/>
    <n v="33446"/>
    <n v="129"/>
    <s v="FSDUpdate"/>
    <s v="Hashtags_2"/>
    <x v="2"/>
  </r>
  <r>
    <s v="P208"/>
    <s v="YouTube"/>
    <d v="2024-06-24T00:00:00"/>
    <s v="Video"/>
    <s v="Check out our latest video on youtube!"/>
    <n v="2949"/>
    <n v="476"/>
    <n v="403"/>
    <n v="44235"/>
    <n v="43705"/>
    <n v="135"/>
    <s v="ModelYCampaign"/>
    <s v="Hashtags Used"/>
    <x v="3"/>
  </r>
  <r>
    <s v="P208"/>
    <s v="YouTube"/>
    <d v="2024-06-24T00:00:00"/>
    <s v="Video"/>
    <s v="Check out our latest video on youtube!"/>
    <n v="2949"/>
    <n v="476"/>
    <n v="403"/>
    <n v="44235"/>
    <n v="43705"/>
    <n v="135"/>
    <s v="ModelYCampaign"/>
    <s v="Hashtags-1"/>
    <x v="2"/>
  </r>
  <r>
    <s v="P208"/>
    <s v="YouTube"/>
    <d v="2024-06-24T00:00:00"/>
    <s v="Video"/>
    <s v="Check out our latest video on youtube!"/>
    <n v="2949"/>
    <n v="476"/>
    <n v="403"/>
    <n v="44235"/>
    <n v="43705"/>
    <n v="135"/>
    <s v="ModelYCampaign"/>
    <s v="Hashtags_2"/>
    <x v="2"/>
  </r>
  <r>
    <s v="P209"/>
    <s v="Twitter"/>
    <d v="2025-03-19T00:00:00"/>
    <s v="Video"/>
    <s v="Check out our latest video on twitter!"/>
    <n v="3160"/>
    <n v="204"/>
    <n v="297"/>
    <n v="44240"/>
    <n v="43666"/>
    <n v="49"/>
    <s v="SustainabilityDrive"/>
    <s v="Hashtags Used"/>
    <x v="0"/>
  </r>
  <r>
    <s v="P209"/>
    <s v="Twitter"/>
    <d v="2025-03-19T00:00:00"/>
    <s v="Video"/>
    <s v="Check out our latest video on twitter!"/>
    <n v="3160"/>
    <n v="204"/>
    <n v="297"/>
    <n v="44240"/>
    <n v="43666"/>
    <n v="49"/>
    <s v="SustainabilityDrive"/>
    <s v="Hashtags-1"/>
    <x v="1"/>
  </r>
  <r>
    <s v="P209"/>
    <s v="Twitter"/>
    <d v="2025-03-19T00:00:00"/>
    <s v="Video"/>
    <s v="Check out our latest video on twitter!"/>
    <n v="3160"/>
    <n v="204"/>
    <n v="297"/>
    <n v="44240"/>
    <n v="43666"/>
    <n v="49"/>
    <s v="SustainabilityDrive"/>
    <s v="Hashtags_2"/>
    <x v="2"/>
  </r>
  <r>
    <s v="P210"/>
    <s v="YouTube"/>
    <d v="2025-02-19T00:00:00"/>
    <s v="Image"/>
    <s v="Check out our latest image on youtube!"/>
    <n v="257"/>
    <n v="966"/>
    <n v="398"/>
    <n v="3341"/>
    <n v="2753"/>
    <n v="287"/>
    <s v="CybertruckLaunch"/>
    <s v="Hashtags Used"/>
    <x v="0"/>
  </r>
  <r>
    <s v="P210"/>
    <s v="YouTube"/>
    <d v="2025-02-19T00:00:00"/>
    <s v="Image"/>
    <s v="Check out our latest image on youtube!"/>
    <n v="257"/>
    <n v="966"/>
    <n v="398"/>
    <n v="3341"/>
    <n v="2753"/>
    <n v="287"/>
    <s v="CybertruckLaunch"/>
    <s v="Hashtags-1"/>
    <x v="2"/>
  </r>
  <r>
    <s v="P210"/>
    <s v="YouTube"/>
    <d v="2025-02-19T00:00:00"/>
    <s v="Image"/>
    <s v="Check out our latest image on youtube!"/>
    <n v="257"/>
    <n v="966"/>
    <n v="398"/>
    <n v="3341"/>
    <n v="2753"/>
    <n v="287"/>
    <s v="CybertruckLaunch"/>
    <s v="Hashtags_2"/>
    <x v="2"/>
  </r>
  <r>
    <s v="P211"/>
    <s v="Twitter"/>
    <d v="2024-07-18T00:00:00"/>
    <s v="Carousel"/>
    <s v="Check out our latest carousel on twitter!"/>
    <n v="2120"/>
    <n v="38"/>
    <n v="212"/>
    <n v="12720"/>
    <n v="12564"/>
    <n v="21"/>
    <s v="SustainabilityDrive"/>
    <s v="Hashtags Used"/>
    <x v="0"/>
  </r>
  <r>
    <s v="P211"/>
    <s v="Twitter"/>
    <d v="2024-07-18T00:00:00"/>
    <s v="Carousel"/>
    <s v="Check out our latest carousel on twitter!"/>
    <n v="2120"/>
    <n v="38"/>
    <n v="212"/>
    <n v="12720"/>
    <n v="12564"/>
    <n v="21"/>
    <s v="SustainabilityDrive"/>
    <s v="Hashtags-1"/>
    <x v="2"/>
  </r>
  <r>
    <s v="P211"/>
    <s v="Twitter"/>
    <d v="2024-07-18T00:00:00"/>
    <s v="Carousel"/>
    <s v="Check out our latest carousel on twitter!"/>
    <n v="2120"/>
    <n v="38"/>
    <n v="212"/>
    <n v="12720"/>
    <n v="12564"/>
    <n v="21"/>
    <s v="SustainabilityDrive"/>
    <s v="Hashtags_2"/>
    <x v="2"/>
  </r>
  <r>
    <s v="P212"/>
    <s v="YouTube"/>
    <d v="2025-03-03T00:00:00"/>
    <s v="Video"/>
    <s v="Check out our latest video on youtube!"/>
    <n v="3874"/>
    <n v="884"/>
    <n v="19"/>
    <n v="38740"/>
    <n v="38552"/>
    <n v="219"/>
    <s v="ModelYCampaign"/>
    <s v="Hashtags Used"/>
    <x v="3"/>
  </r>
  <r>
    <s v="P212"/>
    <s v="YouTube"/>
    <d v="2025-03-03T00:00:00"/>
    <s v="Video"/>
    <s v="Check out our latest video on youtube!"/>
    <n v="3874"/>
    <n v="884"/>
    <n v="19"/>
    <n v="38740"/>
    <n v="38552"/>
    <n v="219"/>
    <s v="ModelYCampaign"/>
    <s v="Hashtags-1"/>
    <x v="2"/>
  </r>
  <r>
    <s v="P212"/>
    <s v="YouTube"/>
    <d v="2025-03-03T00:00:00"/>
    <s v="Video"/>
    <s v="Check out our latest video on youtube!"/>
    <n v="3874"/>
    <n v="884"/>
    <n v="19"/>
    <n v="38740"/>
    <n v="38552"/>
    <n v="219"/>
    <s v="ModelYCampaign"/>
    <s v="Hashtags_2"/>
    <x v="2"/>
  </r>
  <r>
    <s v="P213"/>
    <s v="Facebook"/>
    <d v="2025-05-01T00:00:00"/>
    <s v="Carousel"/>
    <s v="Check out our latest carousel on facebook!"/>
    <n v="2696"/>
    <n v="628"/>
    <n v="443"/>
    <n v="45832"/>
    <n v="45632"/>
    <n v="248"/>
    <s v="SustainabilityDrive"/>
    <s v="Hashtags Used"/>
    <x v="5"/>
  </r>
  <r>
    <s v="P213"/>
    <s v="Facebook"/>
    <d v="2025-05-01T00:00:00"/>
    <s v="Carousel"/>
    <s v="Check out our latest carousel on facebook!"/>
    <n v="2696"/>
    <n v="628"/>
    <n v="443"/>
    <n v="45832"/>
    <n v="45632"/>
    <n v="248"/>
    <s v="SustainabilityDrive"/>
    <s v="Hashtags-1"/>
    <x v="2"/>
  </r>
  <r>
    <s v="P213"/>
    <s v="Facebook"/>
    <d v="2025-05-01T00:00:00"/>
    <s v="Carousel"/>
    <s v="Check out our latest carousel on facebook!"/>
    <n v="2696"/>
    <n v="628"/>
    <n v="443"/>
    <n v="45832"/>
    <n v="45632"/>
    <n v="248"/>
    <s v="SustainabilityDrive"/>
    <s v="Hashtags_2"/>
    <x v="2"/>
  </r>
  <r>
    <s v="P214"/>
    <s v="Instagram"/>
    <d v="2024-12-23T00:00:00"/>
    <s v="Image"/>
    <s v="Check out our latest image on instagram!"/>
    <n v="521"/>
    <n v="746"/>
    <n v="315"/>
    <n v="4168"/>
    <n v="3399"/>
    <n v="282"/>
    <s v="ModelYCampaign"/>
    <s v="Hashtags Used"/>
    <x v="0"/>
  </r>
  <r>
    <s v="P214"/>
    <s v="Instagram"/>
    <d v="2024-12-23T00:00:00"/>
    <s v="Image"/>
    <s v="Check out our latest image on instagram!"/>
    <n v="521"/>
    <n v="746"/>
    <n v="315"/>
    <n v="4168"/>
    <n v="3399"/>
    <n v="282"/>
    <s v="ModelYCampaign"/>
    <s v="Hashtags-1"/>
    <x v="2"/>
  </r>
  <r>
    <s v="P214"/>
    <s v="Instagram"/>
    <d v="2024-12-23T00:00:00"/>
    <s v="Image"/>
    <s v="Check out our latest image on instagram!"/>
    <n v="521"/>
    <n v="746"/>
    <n v="315"/>
    <n v="4168"/>
    <n v="3399"/>
    <n v="282"/>
    <s v="ModelYCampaign"/>
    <s v="Hashtags_2"/>
    <x v="2"/>
  </r>
  <r>
    <s v="P215"/>
    <s v="Facebook"/>
    <d v="2025-05-06T00:00:00"/>
    <s v="Image"/>
    <s v="Check out our latest image on facebook!"/>
    <n v="4872"/>
    <n v="925"/>
    <n v="176"/>
    <n v="82824"/>
    <n v="82543"/>
    <n v="89"/>
    <s v="ModelYCampaign"/>
    <s v="Hashtags Used"/>
    <x v="5"/>
  </r>
  <r>
    <s v="P215"/>
    <s v="Facebook"/>
    <d v="2025-05-06T00:00:00"/>
    <s v="Image"/>
    <s v="Check out our latest image on facebook!"/>
    <n v="4872"/>
    <n v="925"/>
    <n v="176"/>
    <n v="82824"/>
    <n v="82543"/>
    <n v="89"/>
    <s v="ModelYCampaign"/>
    <s v="Hashtags-1"/>
    <x v="2"/>
  </r>
  <r>
    <s v="P215"/>
    <s v="Facebook"/>
    <d v="2025-05-06T00:00:00"/>
    <s v="Image"/>
    <s v="Check out our latest image on facebook!"/>
    <n v="4872"/>
    <n v="925"/>
    <n v="176"/>
    <n v="82824"/>
    <n v="82543"/>
    <n v="89"/>
    <s v="ModelYCampaign"/>
    <s v="Hashtags_2"/>
    <x v="2"/>
  </r>
  <r>
    <s v="P216"/>
    <s v="YouTube"/>
    <d v="2024-07-29T00:00:00"/>
    <s v="Story"/>
    <s v="Check out our latest story on youtube!"/>
    <n v="1509"/>
    <n v="88"/>
    <n v="163"/>
    <n v="30180"/>
    <n v="29689"/>
    <n v="119"/>
    <s v="ModelYCampaign"/>
    <s v="Hashtags Used"/>
    <x v="5"/>
  </r>
  <r>
    <s v="P216"/>
    <s v="YouTube"/>
    <d v="2024-07-29T00:00:00"/>
    <s v="Story"/>
    <s v="Check out our latest story on youtube!"/>
    <n v="1509"/>
    <n v="88"/>
    <n v="163"/>
    <n v="30180"/>
    <n v="29689"/>
    <n v="119"/>
    <s v="ModelYCampaign"/>
    <s v="Hashtags-1"/>
    <x v="2"/>
  </r>
  <r>
    <s v="P216"/>
    <s v="YouTube"/>
    <d v="2024-07-29T00:00:00"/>
    <s v="Story"/>
    <s v="Check out our latest story on youtube!"/>
    <n v="1509"/>
    <n v="88"/>
    <n v="163"/>
    <n v="30180"/>
    <n v="29689"/>
    <n v="119"/>
    <s v="ModelYCampaign"/>
    <s v="Hashtags_2"/>
    <x v="2"/>
  </r>
  <r>
    <s v="P217"/>
    <s v="Facebook"/>
    <d v="2024-12-03T00:00:00"/>
    <s v="Image"/>
    <s v="Check out our latest image on facebook!"/>
    <n v="4606"/>
    <n v="931"/>
    <n v="230"/>
    <n v="92120"/>
    <n v="91440"/>
    <n v="56"/>
    <s v="unknown"/>
    <s v="Hashtags Used"/>
    <x v="3"/>
  </r>
  <r>
    <s v="P217"/>
    <s v="Facebook"/>
    <d v="2024-12-03T00:00:00"/>
    <s v="Image"/>
    <s v="Check out our latest image on facebook!"/>
    <n v="4606"/>
    <n v="931"/>
    <n v="230"/>
    <n v="92120"/>
    <n v="91440"/>
    <n v="56"/>
    <s v="unknown"/>
    <s v="Hashtags-1"/>
    <x v="2"/>
  </r>
  <r>
    <s v="P217"/>
    <s v="Facebook"/>
    <d v="2024-12-03T00:00:00"/>
    <s v="Image"/>
    <s v="Check out our latest image on facebook!"/>
    <n v="4606"/>
    <n v="931"/>
    <n v="230"/>
    <n v="92120"/>
    <n v="91440"/>
    <n v="56"/>
    <s v="unknown"/>
    <s v="Hashtags_2"/>
    <x v="2"/>
  </r>
  <r>
    <s v="P218"/>
    <s v="Facebook"/>
    <d v="2024-06-11T00:00:00"/>
    <s v="Carousel"/>
    <s v="Check out our latest carousel on facebook!"/>
    <n v="1869"/>
    <n v="453"/>
    <n v="490"/>
    <n v="14952"/>
    <n v="14309"/>
    <n v="275"/>
    <s v="SustainabilityDrive"/>
    <s v="Hashtags Used"/>
    <x v="3"/>
  </r>
  <r>
    <s v="P218"/>
    <s v="Facebook"/>
    <d v="2024-06-11T00:00:00"/>
    <s v="Carousel"/>
    <s v="Check out our latest carousel on facebook!"/>
    <n v="1869"/>
    <n v="453"/>
    <n v="490"/>
    <n v="14952"/>
    <n v="14309"/>
    <n v="275"/>
    <s v="SustainabilityDrive"/>
    <s v="Hashtags-1"/>
    <x v="2"/>
  </r>
  <r>
    <s v="P218"/>
    <s v="Facebook"/>
    <d v="2024-06-11T00:00:00"/>
    <s v="Carousel"/>
    <s v="Check out our latest carousel on facebook!"/>
    <n v="1869"/>
    <n v="453"/>
    <n v="490"/>
    <n v="14952"/>
    <n v="14309"/>
    <n v="275"/>
    <s v="SustainabilityDrive"/>
    <s v="Hashtags_2"/>
    <x v="2"/>
  </r>
  <r>
    <s v="P219"/>
    <s v="Twitter"/>
    <d v="2025-01-28T00:00:00"/>
    <s v="Reel"/>
    <s v="Check out our latest reel on twitter!"/>
    <n v="1188"/>
    <n v="470"/>
    <n v="174"/>
    <n v="7128"/>
    <n v="6145"/>
    <n v="270"/>
    <s v="SustainabilityDrive"/>
    <s v="Hashtags Used"/>
    <x v="3"/>
  </r>
  <r>
    <s v="P219"/>
    <s v="Twitter"/>
    <d v="2025-01-28T00:00:00"/>
    <s v="Reel"/>
    <s v="Check out our latest reel on twitter!"/>
    <n v="1188"/>
    <n v="470"/>
    <n v="174"/>
    <n v="7128"/>
    <n v="6145"/>
    <n v="270"/>
    <s v="SustainabilityDrive"/>
    <s v="Hashtags-1"/>
    <x v="2"/>
  </r>
  <r>
    <s v="P219"/>
    <s v="Twitter"/>
    <d v="2025-01-28T00:00:00"/>
    <s v="Reel"/>
    <s v="Check out our latest reel on twitter!"/>
    <n v="1188"/>
    <n v="470"/>
    <n v="174"/>
    <n v="7128"/>
    <n v="6145"/>
    <n v="270"/>
    <s v="SustainabilityDrive"/>
    <s v="Hashtags_2"/>
    <x v="2"/>
  </r>
  <r>
    <s v="P220"/>
    <s v="Instagram"/>
    <d v="2024-06-02T00:00:00"/>
    <s v="Story"/>
    <s v="Check out our latest story on instagram!"/>
    <n v="84"/>
    <n v="897"/>
    <n v="85"/>
    <n v="588"/>
    <n v="8"/>
    <n v="12"/>
    <s v="unknown"/>
    <s v="Hashtags Used"/>
    <x v="5"/>
  </r>
  <r>
    <s v="P220"/>
    <s v="Instagram"/>
    <d v="2024-06-02T00:00:00"/>
    <s v="Story"/>
    <s v="Check out our latest story on instagram!"/>
    <n v="84"/>
    <n v="897"/>
    <n v="85"/>
    <n v="588"/>
    <n v="8"/>
    <n v="12"/>
    <s v="unknown"/>
    <s v="Hashtags-1"/>
    <x v="2"/>
  </r>
  <r>
    <s v="P220"/>
    <s v="Instagram"/>
    <d v="2024-06-02T00:00:00"/>
    <s v="Story"/>
    <s v="Check out our latest story on instagram!"/>
    <n v="84"/>
    <n v="897"/>
    <n v="85"/>
    <n v="588"/>
    <n v="8"/>
    <n v="12"/>
    <s v="unknown"/>
    <s v="Hashtags_2"/>
    <x v="2"/>
  </r>
  <r>
    <s v="P221"/>
    <s v="Facebook"/>
    <d v="2025-03-23T00:00:00"/>
    <s v="Video"/>
    <s v="Check out our latest video on facebook!"/>
    <n v="4453"/>
    <n v="111"/>
    <n v="420"/>
    <n v="31171"/>
    <n v="30565"/>
    <n v="23"/>
    <s v="unknown"/>
    <s v="Hashtags Used"/>
    <x v="3"/>
  </r>
  <r>
    <s v="P221"/>
    <s v="Facebook"/>
    <d v="2025-03-23T00:00:00"/>
    <s v="Video"/>
    <s v="Check out our latest video on facebook!"/>
    <n v="4453"/>
    <n v="111"/>
    <n v="420"/>
    <n v="31171"/>
    <n v="30565"/>
    <n v="23"/>
    <s v="unknown"/>
    <s v="Hashtags-1"/>
    <x v="2"/>
  </r>
  <r>
    <s v="P221"/>
    <s v="Facebook"/>
    <d v="2025-03-23T00:00:00"/>
    <s v="Video"/>
    <s v="Check out our latest video on facebook!"/>
    <n v="4453"/>
    <n v="111"/>
    <n v="420"/>
    <n v="31171"/>
    <n v="30565"/>
    <n v="23"/>
    <s v="unknown"/>
    <s v="Hashtags_2"/>
    <x v="2"/>
  </r>
  <r>
    <s v="P222"/>
    <s v="Facebook"/>
    <d v="2024-10-08T00:00:00"/>
    <s v="Reel"/>
    <s v="Check out our latest reel on facebook!"/>
    <n v="1814"/>
    <n v="653"/>
    <n v="363"/>
    <n v="25396"/>
    <n v="25286"/>
    <n v="39"/>
    <s v="CybertruckLaunch"/>
    <s v="Hashtags Used"/>
    <x v="0"/>
  </r>
  <r>
    <s v="P222"/>
    <s v="Facebook"/>
    <d v="2024-10-08T00:00:00"/>
    <s v="Reel"/>
    <s v="Check out our latest reel on facebook!"/>
    <n v="1814"/>
    <n v="653"/>
    <n v="363"/>
    <n v="25396"/>
    <n v="25286"/>
    <n v="39"/>
    <s v="CybertruckLaunch"/>
    <s v="Hashtags-1"/>
    <x v="6"/>
  </r>
  <r>
    <s v="P222"/>
    <s v="Facebook"/>
    <d v="2024-10-08T00:00:00"/>
    <s v="Reel"/>
    <s v="Check out our latest reel on facebook!"/>
    <n v="1814"/>
    <n v="653"/>
    <n v="363"/>
    <n v="25396"/>
    <n v="25286"/>
    <n v="39"/>
    <s v="CybertruckLaunch"/>
    <s v="Hashtags_2"/>
    <x v="2"/>
  </r>
  <r>
    <s v="P223"/>
    <s v="Twitter"/>
    <d v="2024-11-12T00:00:00"/>
    <s v="Image"/>
    <s v="Check out our latest image on twitter!"/>
    <n v="3338"/>
    <n v="277"/>
    <n v="118"/>
    <n v="60084"/>
    <n v="59842"/>
    <n v="252"/>
    <s v="unknown"/>
    <s v="Hashtags Used"/>
    <x v="3"/>
  </r>
  <r>
    <s v="P223"/>
    <s v="Twitter"/>
    <d v="2024-11-12T00:00:00"/>
    <s v="Image"/>
    <s v="Check out our latest image on twitter!"/>
    <n v="3338"/>
    <n v="277"/>
    <n v="118"/>
    <n v="60084"/>
    <n v="59842"/>
    <n v="252"/>
    <s v="unknown"/>
    <s v="Hashtags-1"/>
    <x v="2"/>
  </r>
  <r>
    <s v="P223"/>
    <s v="Twitter"/>
    <d v="2024-11-12T00:00:00"/>
    <s v="Image"/>
    <s v="Check out our latest image on twitter!"/>
    <n v="3338"/>
    <n v="277"/>
    <n v="118"/>
    <n v="60084"/>
    <n v="59842"/>
    <n v="252"/>
    <s v="unknown"/>
    <s v="Hashtags_2"/>
    <x v="2"/>
  </r>
  <r>
    <s v="P224"/>
    <s v="Facebook"/>
    <d v="2025-05-13T00:00:00"/>
    <s v="Image"/>
    <s v="Check out our latest image on facebook!"/>
    <n v="602"/>
    <n v="594"/>
    <n v="156"/>
    <n v="4214"/>
    <n v="3363"/>
    <n v="164"/>
    <s v="FSDUpdate"/>
    <s v="Hashtags Used"/>
    <x v="3"/>
  </r>
  <r>
    <s v="P224"/>
    <s v="Facebook"/>
    <d v="2025-05-13T00:00:00"/>
    <s v="Image"/>
    <s v="Check out our latest image on facebook!"/>
    <n v="602"/>
    <n v="594"/>
    <n v="156"/>
    <n v="4214"/>
    <n v="3363"/>
    <n v="164"/>
    <s v="FSDUpdate"/>
    <s v="Hashtags-1"/>
    <x v="2"/>
  </r>
  <r>
    <s v="P224"/>
    <s v="Facebook"/>
    <d v="2025-05-13T00:00:00"/>
    <s v="Image"/>
    <s v="Check out our latest image on facebook!"/>
    <n v="602"/>
    <n v="594"/>
    <n v="156"/>
    <n v="4214"/>
    <n v="3363"/>
    <n v="164"/>
    <s v="FSDUpdate"/>
    <s v="Hashtags_2"/>
    <x v="2"/>
  </r>
  <r>
    <s v="P225"/>
    <s v="Twitter"/>
    <d v="2024-06-20T00:00:00"/>
    <s v="Carousel"/>
    <s v="Check out our latest carousel on twitter!"/>
    <n v="4672"/>
    <n v="325"/>
    <n v="32"/>
    <n v="88768"/>
    <n v="87833"/>
    <n v="118"/>
    <s v="unknown"/>
    <s v="Hashtags Used"/>
    <x v="5"/>
  </r>
  <r>
    <s v="P225"/>
    <s v="Twitter"/>
    <d v="2024-06-20T00:00:00"/>
    <s v="Carousel"/>
    <s v="Check out our latest carousel on twitter!"/>
    <n v="4672"/>
    <n v="325"/>
    <n v="32"/>
    <n v="88768"/>
    <n v="87833"/>
    <n v="118"/>
    <s v="unknown"/>
    <s v="Hashtags-1"/>
    <x v="2"/>
  </r>
  <r>
    <s v="P225"/>
    <s v="Twitter"/>
    <d v="2024-06-20T00:00:00"/>
    <s v="Carousel"/>
    <s v="Check out our latest carousel on twitter!"/>
    <n v="4672"/>
    <n v="325"/>
    <n v="32"/>
    <n v="88768"/>
    <n v="87833"/>
    <n v="118"/>
    <s v="unknown"/>
    <s v="Hashtags_2"/>
    <x v="2"/>
  </r>
  <r>
    <s v="P226"/>
    <s v="Instagram"/>
    <d v="2024-08-07T00:00:00"/>
    <s v="Carousel"/>
    <s v="Check out our latest carousel on instagram!"/>
    <n v="1741"/>
    <n v="164"/>
    <n v="318"/>
    <n v="8705"/>
    <n v="8272"/>
    <n v="121"/>
    <s v="unknown"/>
    <s v="Hashtags Used"/>
    <x v="3"/>
  </r>
  <r>
    <s v="P226"/>
    <s v="Instagram"/>
    <d v="2024-08-07T00:00:00"/>
    <s v="Carousel"/>
    <s v="Check out our latest carousel on instagram!"/>
    <n v="1741"/>
    <n v="164"/>
    <n v="318"/>
    <n v="8705"/>
    <n v="8272"/>
    <n v="121"/>
    <s v="unknown"/>
    <s v="Hashtags-1"/>
    <x v="2"/>
  </r>
  <r>
    <s v="P226"/>
    <s v="Instagram"/>
    <d v="2024-08-07T00:00:00"/>
    <s v="Carousel"/>
    <s v="Check out our latest carousel on instagram!"/>
    <n v="1741"/>
    <n v="164"/>
    <n v="318"/>
    <n v="8705"/>
    <n v="8272"/>
    <n v="121"/>
    <s v="unknown"/>
    <s v="Hashtags_2"/>
    <x v="2"/>
  </r>
  <r>
    <s v="P227"/>
    <s v="Instagram"/>
    <d v="2024-06-12T00:00:00"/>
    <s v="Text"/>
    <s v="Check out our latest text on instagram!"/>
    <n v="246"/>
    <n v="149"/>
    <n v="130"/>
    <n v="4674"/>
    <n v="4390"/>
    <n v="217"/>
    <s v="FSDUpdate"/>
    <s v="Hashtags Used"/>
    <x v="0"/>
  </r>
  <r>
    <s v="P227"/>
    <s v="Instagram"/>
    <d v="2024-06-12T00:00:00"/>
    <s v="Text"/>
    <s v="Check out our latest text on instagram!"/>
    <n v="246"/>
    <n v="149"/>
    <n v="130"/>
    <n v="4674"/>
    <n v="4390"/>
    <n v="217"/>
    <s v="FSDUpdate"/>
    <s v="Hashtags-1"/>
    <x v="2"/>
  </r>
  <r>
    <s v="P227"/>
    <s v="Instagram"/>
    <d v="2024-06-12T00:00:00"/>
    <s v="Text"/>
    <s v="Check out our latest text on instagram!"/>
    <n v="246"/>
    <n v="149"/>
    <n v="130"/>
    <n v="4674"/>
    <n v="4390"/>
    <n v="217"/>
    <s v="FSDUpdate"/>
    <s v="Hashtags_2"/>
    <x v="2"/>
  </r>
  <r>
    <s v="P228"/>
    <s v="Instagram"/>
    <d v="2024-07-01T00:00:00"/>
    <s v="Story"/>
    <s v="Check out our latest story on instagram!"/>
    <n v="4808"/>
    <n v="772"/>
    <n v="320"/>
    <n v="72120"/>
    <n v="71696"/>
    <n v="195"/>
    <s v="CybertruckLaunch"/>
    <s v="Hashtags Used"/>
    <x v="5"/>
  </r>
  <r>
    <s v="P228"/>
    <s v="Instagram"/>
    <d v="2024-07-01T00:00:00"/>
    <s v="Story"/>
    <s v="Check out our latest story on instagram!"/>
    <n v="4808"/>
    <n v="772"/>
    <n v="320"/>
    <n v="72120"/>
    <n v="71696"/>
    <n v="195"/>
    <s v="CybertruckLaunch"/>
    <s v="Hashtags-1"/>
    <x v="2"/>
  </r>
  <r>
    <s v="P228"/>
    <s v="Instagram"/>
    <d v="2024-07-01T00:00:00"/>
    <s v="Story"/>
    <s v="Check out our latest story on instagram!"/>
    <n v="4808"/>
    <n v="772"/>
    <n v="320"/>
    <n v="72120"/>
    <n v="71696"/>
    <n v="195"/>
    <s v="CybertruckLaunch"/>
    <s v="Hashtags_2"/>
    <x v="2"/>
  </r>
  <r>
    <s v="P229"/>
    <s v="Instagram"/>
    <d v="2024-07-03T00:00:00"/>
    <s v="Carousel"/>
    <s v="Check out our latest carousel on instagram!"/>
    <n v="4799"/>
    <n v="694"/>
    <n v="289"/>
    <n v="43191"/>
    <n v="42228"/>
    <n v="118"/>
    <s v="unknown"/>
    <s v="Hashtags Used"/>
    <x v="3"/>
  </r>
  <r>
    <s v="P229"/>
    <s v="Instagram"/>
    <d v="2024-07-03T00:00:00"/>
    <s v="Carousel"/>
    <s v="Check out our latest carousel on instagram!"/>
    <n v="4799"/>
    <n v="694"/>
    <n v="289"/>
    <n v="43191"/>
    <n v="42228"/>
    <n v="118"/>
    <s v="unknown"/>
    <s v="Hashtags-1"/>
    <x v="2"/>
  </r>
  <r>
    <s v="P229"/>
    <s v="Instagram"/>
    <d v="2024-07-03T00:00:00"/>
    <s v="Carousel"/>
    <s v="Check out our latest carousel on instagram!"/>
    <n v="4799"/>
    <n v="694"/>
    <n v="289"/>
    <n v="43191"/>
    <n v="42228"/>
    <n v="118"/>
    <s v="unknown"/>
    <s v="Hashtags_2"/>
    <x v="2"/>
  </r>
  <r>
    <s v="P230"/>
    <s v="Facebook"/>
    <d v="2024-07-15T00:00:00"/>
    <s v="Reel"/>
    <s v="Check out our latest reel on facebook!"/>
    <n v="3663"/>
    <n v="17"/>
    <n v="295"/>
    <n v="51282"/>
    <n v="50567"/>
    <n v="84"/>
    <s v="FSDUpdate"/>
    <s v="Hashtags Used"/>
    <x v="5"/>
  </r>
  <r>
    <s v="P230"/>
    <s v="Facebook"/>
    <d v="2024-07-15T00:00:00"/>
    <s v="Reel"/>
    <s v="Check out our latest reel on facebook!"/>
    <n v="3663"/>
    <n v="17"/>
    <n v="295"/>
    <n v="51282"/>
    <n v="50567"/>
    <n v="84"/>
    <s v="FSDUpdate"/>
    <s v="Hashtags-1"/>
    <x v="2"/>
  </r>
  <r>
    <s v="P230"/>
    <s v="Facebook"/>
    <d v="2024-07-15T00:00:00"/>
    <s v="Reel"/>
    <s v="Check out our latest reel on facebook!"/>
    <n v="3663"/>
    <n v="17"/>
    <n v="295"/>
    <n v="51282"/>
    <n v="50567"/>
    <n v="84"/>
    <s v="FSDUpdate"/>
    <s v="Hashtags_2"/>
    <x v="2"/>
  </r>
  <r>
    <s v="P231"/>
    <s v="Instagram"/>
    <d v="2025-05-01T00:00:00"/>
    <s v="Text"/>
    <s v="Check out our latest text on instagram!"/>
    <n v="1430"/>
    <n v="376"/>
    <n v="33"/>
    <n v="21450"/>
    <n v="20509"/>
    <n v="251"/>
    <s v="CybertruckLaunch"/>
    <s v="Hashtags Used"/>
    <x v="0"/>
  </r>
  <r>
    <s v="P231"/>
    <s v="Instagram"/>
    <d v="2025-05-01T00:00:00"/>
    <s v="Text"/>
    <s v="Check out our latest text on instagram!"/>
    <n v="1430"/>
    <n v="376"/>
    <n v="33"/>
    <n v="21450"/>
    <n v="20509"/>
    <n v="251"/>
    <s v="CybertruckLaunch"/>
    <s v="Hashtags-1"/>
    <x v="2"/>
  </r>
  <r>
    <s v="P231"/>
    <s v="Instagram"/>
    <d v="2025-05-01T00:00:00"/>
    <s v="Text"/>
    <s v="Check out our latest text on instagram!"/>
    <n v="1430"/>
    <n v="376"/>
    <n v="33"/>
    <n v="21450"/>
    <n v="20509"/>
    <n v="251"/>
    <s v="CybertruckLaunch"/>
    <s v="Hashtags_2"/>
    <x v="2"/>
  </r>
  <r>
    <s v="P232"/>
    <s v="Twitter"/>
    <d v="2025-04-29T00:00:00"/>
    <s v="Story"/>
    <s v="Check out our latest story on twitter!"/>
    <n v="249"/>
    <n v="592"/>
    <n v="230"/>
    <n v="1494"/>
    <n v="1044"/>
    <n v="201"/>
    <s v="SustainabilityDrive"/>
    <s v="Hashtags Used"/>
    <x v="5"/>
  </r>
  <r>
    <s v="P232"/>
    <s v="Twitter"/>
    <d v="2025-04-29T00:00:00"/>
    <s v="Story"/>
    <s v="Check out our latest story on twitter!"/>
    <n v="249"/>
    <n v="592"/>
    <n v="230"/>
    <n v="1494"/>
    <n v="1044"/>
    <n v="201"/>
    <s v="SustainabilityDrive"/>
    <s v="Hashtags-1"/>
    <x v="2"/>
  </r>
  <r>
    <s v="P232"/>
    <s v="Twitter"/>
    <d v="2025-04-29T00:00:00"/>
    <s v="Story"/>
    <s v="Check out our latest story on twitter!"/>
    <n v="249"/>
    <n v="592"/>
    <n v="230"/>
    <n v="1494"/>
    <n v="1044"/>
    <n v="201"/>
    <s v="SustainabilityDrive"/>
    <s v="Hashtags_2"/>
    <x v="2"/>
  </r>
  <r>
    <s v="P233"/>
    <s v="Facebook"/>
    <d v="2025-03-08T00:00:00"/>
    <s v="Image"/>
    <s v="Check out our latest image on facebook!"/>
    <n v="2382"/>
    <n v="265"/>
    <n v="134"/>
    <n v="38112"/>
    <n v="37437"/>
    <n v="249"/>
    <s v="SustainabilityDrive"/>
    <s v="Hashtags Used"/>
    <x v="0"/>
  </r>
  <r>
    <s v="P233"/>
    <s v="Facebook"/>
    <d v="2025-03-08T00:00:00"/>
    <s v="Image"/>
    <s v="Check out our latest image on facebook!"/>
    <n v="2382"/>
    <n v="265"/>
    <n v="134"/>
    <n v="38112"/>
    <n v="37437"/>
    <n v="249"/>
    <s v="SustainabilityDrive"/>
    <s v="Hashtags-1"/>
    <x v="2"/>
  </r>
  <r>
    <s v="P233"/>
    <s v="Facebook"/>
    <d v="2025-03-08T00:00:00"/>
    <s v="Image"/>
    <s v="Check out our latest image on facebook!"/>
    <n v="2382"/>
    <n v="265"/>
    <n v="134"/>
    <n v="38112"/>
    <n v="37437"/>
    <n v="249"/>
    <s v="SustainabilityDrive"/>
    <s v="Hashtags_2"/>
    <x v="2"/>
  </r>
  <r>
    <s v="P234"/>
    <s v="Facebook"/>
    <d v="2024-06-01T00:00:00"/>
    <s v="Text"/>
    <s v="Check out our latest text on facebook!"/>
    <n v="1272"/>
    <n v="465"/>
    <n v="99"/>
    <n v="24168"/>
    <n v="23719"/>
    <n v="42"/>
    <s v="unknown"/>
    <s v="Hashtags Used"/>
    <x v="3"/>
  </r>
  <r>
    <s v="P234"/>
    <s v="Facebook"/>
    <d v="2024-06-01T00:00:00"/>
    <s v="Text"/>
    <s v="Check out our latest text on facebook!"/>
    <n v="1272"/>
    <n v="465"/>
    <n v="99"/>
    <n v="24168"/>
    <n v="23719"/>
    <n v="42"/>
    <s v="unknown"/>
    <s v="Hashtags-1"/>
    <x v="2"/>
  </r>
  <r>
    <s v="P234"/>
    <s v="Facebook"/>
    <d v="2024-06-01T00:00:00"/>
    <s v="Text"/>
    <s v="Check out our latest text on facebook!"/>
    <n v="1272"/>
    <n v="465"/>
    <n v="99"/>
    <n v="24168"/>
    <n v="23719"/>
    <n v="42"/>
    <s v="unknown"/>
    <s v="Hashtags_2"/>
    <x v="2"/>
  </r>
  <r>
    <s v="P235"/>
    <s v="Facebook"/>
    <d v="2024-12-22T00:00:00"/>
    <s v="Image"/>
    <s v="Check out our latest image on facebook!"/>
    <n v="3196"/>
    <n v="941"/>
    <n v="376"/>
    <n v="35156"/>
    <n v="34444"/>
    <n v="241"/>
    <s v="FSDUpdate"/>
    <s v="Hashtags Used"/>
    <x v="3"/>
  </r>
  <r>
    <s v="P235"/>
    <s v="Facebook"/>
    <d v="2024-12-22T00:00:00"/>
    <s v="Image"/>
    <s v="Check out our latest image on facebook!"/>
    <n v="3196"/>
    <n v="941"/>
    <n v="376"/>
    <n v="35156"/>
    <n v="34444"/>
    <n v="241"/>
    <s v="FSDUpdate"/>
    <s v="Hashtags-1"/>
    <x v="2"/>
  </r>
  <r>
    <s v="P235"/>
    <s v="Facebook"/>
    <d v="2024-12-22T00:00:00"/>
    <s v="Image"/>
    <s v="Check out our latest image on facebook!"/>
    <n v="3196"/>
    <n v="941"/>
    <n v="376"/>
    <n v="35156"/>
    <n v="34444"/>
    <n v="241"/>
    <s v="FSDUpdate"/>
    <s v="Hashtags_2"/>
    <x v="2"/>
  </r>
  <r>
    <s v="P236"/>
    <s v="Facebook"/>
    <d v="2024-08-19T00:00:00"/>
    <s v="Text"/>
    <s v="Check out our latest text on facebook!"/>
    <n v="1257"/>
    <n v="19"/>
    <n v="351"/>
    <n v="12570"/>
    <n v="11660"/>
    <n v="194"/>
    <s v="ModelYCampaign"/>
    <s v="Hashtags Used"/>
    <x v="0"/>
  </r>
  <r>
    <s v="P236"/>
    <s v="Facebook"/>
    <d v="2024-08-19T00:00:00"/>
    <s v="Text"/>
    <s v="Check out our latest text on facebook!"/>
    <n v="1257"/>
    <n v="19"/>
    <n v="351"/>
    <n v="12570"/>
    <n v="11660"/>
    <n v="194"/>
    <s v="ModelYCampaign"/>
    <s v="Hashtags-1"/>
    <x v="1"/>
  </r>
  <r>
    <s v="P236"/>
    <s v="Facebook"/>
    <d v="2024-08-19T00:00:00"/>
    <s v="Text"/>
    <s v="Check out our latest text on facebook!"/>
    <n v="1257"/>
    <n v="19"/>
    <n v="351"/>
    <n v="12570"/>
    <n v="11660"/>
    <n v="194"/>
    <s v="ModelYCampaign"/>
    <s v="Hashtags_2"/>
    <x v="5"/>
  </r>
  <r>
    <s v="P237"/>
    <s v="Instagram"/>
    <d v="2024-10-22T00:00:00"/>
    <s v="Story"/>
    <s v="Check out our latest story on instagram!"/>
    <n v="3770"/>
    <n v="917"/>
    <n v="129"/>
    <n v="71630"/>
    <n v="71322"/>
    <n v="76"/>
    <s v="CybertruckLaunch"/>
    <s v="Hashtags Used"/>
    <x v="0"/>
  </r>
  <r>
    <s v="P237"/>
    <s v="Instagram"/>
    <d v="2024-10-22T00:00:00"/>
    <s v="Story"/>
    <s v="Check out our latest story on instagram!"/>
    <n v="3770"/>
    <n v="917"/>
    <n v="129"/>
    <n v="71630"/>
    <n v="71322"/>
    <n v="76"/>
    <s v="CybertruckLaunch"/>
    <s v="Hashtags-1"/>
    <x v="2"/>
  </r>
  <r>
    <s v="P237"/>
    <s v="Instagram"/>
    <d v="2024-10-22T00:00:00"/>
    <s v="Story"/>
    <s v="Check out our latest story on instagram!"/>
    <n v="3770"/>
    <n v="917"/>
    <n v="129"/>
    <n v="71630"/>
    <n v="71322"/>
    <n v="76"/>
    <s v="CybertruckLaunch"/>
    <s v="Hashtags_2"/>
    <x v="2"/>
  </r>
  <r>
    <s v="P238"/>
    <s v="Twitter"/>
    <d v="2024-07-16T00:00:00"/>
    <s v="Text"/>
    <s v="Check out our latest text on twitter!"/>
    <n v="4725"/>
    <n v="400"/>
    <n v="362"/>
    <n v="75600"/>
    <n v="74927"/>
    <n v="43"/>
    <s v="SustainabilityDrive"/>
    <s v="Hashtags Used"/>
    <x v="0"/>
  </r>
  <r>
    <s v="P238"/>
    <s v="Twitter"/>
    <d v="2024-07-16T00:00:00"/>
    <s v="Text"/>
    <s v="Check out our latest text on twitter!"/>
    <n v="4725"/>
    <n v="400"/>
    <n v="362"/>
    <n v="75600"/>
    <n v="74927"/>
    <n v="43"/>
    <s v="SustainabilityDrive"/>
    <s v="Hashtags-1"/>
    <x v="2"/>
  </r>
  <r>
    <s v="P238"/>
    <s v="Twitter"/>
    <d v="2024-07-16T00:00:00"/>
    <s v="Text"/>
    <s v="Check out our latest text on twitter!"/>
    <n v="4725"/>
    <n v="400"/>
    <n v="362"/>
    <n v="75600"/>
    <n v="74927"/>
    <n v="43"/>
    <s v="SustainabilityDrive"/>
    <s v="Hashtags_2"/>
    <x v="2"/>
  </r>
  <r>
    <s v="P239"/>
    <s v="YouTube"/>
    <d v="2025-02-24T00:00:00"/>
    <s v="Text"/>
    <s v="Check out our latest text on youtube!"/>
    <n v="4188"/>
    <n v="942"/>
    <n v="118"/>
    <n v="20940"/>
    <n v="20471"/>
    <n v="102"/>
    <s v="unknown"/>
    <s v="Hashtags Used"/>
    <x v="0"/>
  </r>
  <r>
    <s v="P239"/>
    <s v="YouTube"/>
    <d v="2025-02-24T00:00:00"/>
    <s v="Text"/>
    <s v="Check out our latest text on youtube!"/>
    <n v="4188"/>
    <n v="942"/>
    <n v="118"/>
    <n v="20940"/>
    <n v="20471"/>
    <n v="102"/>
    <s v="unknown"/>
    <s v="Hashtags-1"/>
    <x v="2"/>
  </r>
  <r>
    <s v="P239"/>
    <s v="YouTube"/>
    <d v="2025-02-24T00:00:00"/>
    <s v="Text"/>
    <s v="Check out our latest text on youtube!"/>
    <n v="4188"/>
    <n v="942"/>
    <n v="118"/>
    <n v="20940"/>
    <n v="20471"/>
    <n v="102"/>
    <s v="unknown"/>
    <s v="Hashtags_2"/>
    <x v="2"/>
  </r>
  <r>
    <s v="P240"/>
    <s v="Twitter"/>
    <d v="2024-08-26T00:00:00"/>
    <s v="Carousel"/>
    <s v="Check out our latest carousel on twitter!"/>
    <n v="929"/>
    <n v="192"/>
    <n v="322"/>
    <n v="16722"/>
    <n v="15996"/>
    <n v="145"/>
    <s v="FSDUpdate"/>
    <s v="Hashtags Used"/>
    <x v="5"/>
  </r>
  <r>
    <s v="P240"/>
    <s v="Twitter"/>
    <d v="2024-08-26T00:00:00"/>
    <s v="Carousel"/>
    <s v="Check out our latest carousel on twitter!"/>
    <n v="929"/>
    <n v="192"/>
    <n v="322"/>
    <n v="16722"/>
    <n v="15996"/>
    <n v="145"/>
    <s v="FSDUpdate"/>
    <s v="Hashtags-1"/>
    <x v="3"/>
  </r>
  <r>
    <s v="P240"/>
    <s v="Twitter"/>
    <d v="2024-08-26T00:00:00"/>
    <s v="Carousel"/>
    <s v="Check out our latest carousel on twitter!"/>
    <n v="929"/>
    <n v="192"/>
    <n v="322"/>
    <n v="16722"/>
    <n v="15996"/>
    <n v="145"/>
    <s v="FSDUpdate"/>
    <s v="Hashtags_2"/>
    <x v="1"/>
  </r>
  <r>
    <s v="P241"/>
    <s v="Facebook"/>
    <d v="2025-01-18T00:00:00"/>
    <s v="Story"/>
    <s v="Check out our latest story on facebook!"/>
    <n v="4321"/>
    <n v="874"/>
    <n v="172"/>
    <n v="30247"/>
    <n v="29254"/>
    <n v="122"/>
    <s v="SustainabilityDrive"/>
    <s v="Hashtags Used"/>
    <x v="3"/>
  </r>
  <r>
    <s v="P241"/>
    <s v="Facebook"/>
    <d v="2025-01-18T00:00:00"/>
    <s v="Story"/>
    <s v="Check out our latest story on facebook!"/>
    <n v="4321"/>
    <n v="874"/>
    <n v="172"/>
    <n v="30247"/>
    <n v="29254"/>
    <n v="122"/>
    <s v="SustainabilityDrive"/>
    <s v="Hashtags-1"/>
    <x v="2"/>
  </r>
  <r>
    <s v="P241"/>
    <s v="Facebook"/>
    <d v="2025-01-18T00:00:00"/>
    <s v="Story"/>
    <s v="Check out our latest story on facebook!"/>
    <n v="4321"/>
    <n v="874"/>
    <n v="172"/>
    <n v="30247"/>
    <n v="29254"/>
    <n v="122"/>
    <s v="SustainabilityDrive"/>
    <s v="Hashtags_2"/>
    <x v="2"/>
  </r>
  <r>
    <s v="P242"/>
    <s v="Facebook"/>
    <d v="2024-07-07T00:00:00"/>
    <s v="Reel"/>
    <s v="Check out our latest reel on facebook!"/>
    <n v="4767"/>
    <n v="190"/>
    <n v="340"/>
    <n v="28602"/>
    <n v="28044"/>
    <n v="210"/>
    <s v="FSDUpdate"/>
    <s v="Hashtags Used"/>
    <x v="5"/>
  </r>
  <r>
    <s v="P242"/>
    <s v="Facebook"/>
    <d v="2024-07-07T00:00:00"/>
    <s v="Reel"/>
    <s v="Check out our latest reel on facebook!"/>
    <n v="4767"/>
    <n v="190"/>
    <n v="340"/>
    <n v="28602"/>
    <n v="28044"/>
    <n v="210"/>
    <s v="FSDUpdate"/>
    <s v="Hashtags-1"/>
    <x v="2"/>
  </r>
  <r>
    <s v="P242"/>
    <s v="Facebook"/>
    <d v="2024-07-07T00:00:00"/>
    <s v="Reel"/>
    <s v="Check out our latest reel on facebook!"/>
    <n v="4767"/>
    <n v="190"/>
    <n v="340"/>
    <n v="28602"/>
    <n v="28044"/>
    <n v="210"/>
    <s v="FSDUpdate"/>
    <s v="Hashtags_2"/>
    <x v="2"/>
  </r>
  <r>
    <s v="P243"/>
    <s v="Twitter"/>
    <d v="2025-03-06T00:00:00"/>
    <s v="Image"/>
    <s v="Check out our latest image on twitter!"/>
    <n v="3592"/>
    <n v="911"/>
    <n v="375"/>
    <n v="50288"/>
    <n v="49490"/>
    <n v="32"/>
    <s v="SustainabilityDrive"/>
    <s v="Hashtags Used"/>
    <x v="0"/>
  </r>
  <r>
    <s v="P243"/>
    <s v="Twitter"/>
    <d v="2025-03-06T00:00:00"/>
    <s v="Image"/>
    <s v="Check out our latest image on twitter!"/>
    <n v="3592"/>
    <n v="911"/>
    <n v="375"/>
    <n v="50288"/>
    <n v="49490"/>
    <n v="32"/>
    <s v="SustainabilityDrive"/>
    <s v="Hashtags-1"/>
    <x v="2"/>
  </r>
  <r>
    <s v="P243"/>
    <s v="Twitter"/>
    <d v="2025-03-06T00:00:00"/>
    <s v="Image"/>
    <s v="Check out our latest image on twitter!"/>
    <n v="3592"/>
    <n v="911"/>
    <n v="375"/>
    <n v="50288"/>
    <n v="49490"/>
    <n v="32"/>
    <s v="SustainabilityDrive"/>
    <s v="Hashtags_2"/>
    <x v="2"/>
  </r>
  <r>
    <s v="P244"/>
    <s v="YouTube"/>
    <d v="2024-10-25T00:00:00"/>
    <s v="Video"/>
    <s v="Check out our latest video on youtube!"/>
    <n v="4661"/>
    <n v="935"/>
    <n v="433"/>
    <n v="23305"/>
    <n v="22583"/>
    <n v="63"/>
    <s v="FSDUpdate"/>
    <s v="Hashtags Used"/>
    <x v="0"/>
  </r>
  <r>
    <s v="P244"/>
    <s v="YouTube"/>
    <d v="2024-10-25T00:00:00"/>
    <s v="Video"/>
    <s v="Check out our latest video on youtube!"/>
    <n v="4661"/>
    <n v="935"/>
    <n v="433"/>
    <n v="23305"/>
    <n v="22583"/>
    <n v="63"/>
    <s v="FSDUpdate"/>
    <s v="Hashtags-1"/>
    <x v="2"/>
  </r>
  <r>
    <s v="P244"/>
    <s v="YouTube"/>
    <d v="2024-10-25T00:00:00"/>
    <s v="Video"/>
    <s v="Check out our latest video on youtube!"/>
    <n v="4661"/>
    <n v="935"/>
    <n v="433"/>
    <n v="23305"/>
    <n v="22583"/>
    <n v="63"/>
    <s v="FSDUpdate"/>
    <s v="Hashtags_2"/>
    <x v="2"/>
  </r>
  <r>
    <s v="P245"/>
    <s v="Facebook"/>
    <d v="2025-01-12T00:00:00"/>
    <s v="Reel"/>
    <s v="Check out our latest reel on facebook!"/>
    <n v="4134"/>
    <n v="824"/>
    <n v="99"/>
    <n v="41340"/>
    <n v="41050"/>
    <n v="177"/>
    <s v="CybertruckLaunch"/>
    <s v="Hashtags Used"/>
    <x v="5"/>
  </r>
  <r>
    <s v="P245"/>
    <s v="Facebook"/>
    <d v="2025-01-12T00:00:00"/>
    <s v="Reel"/>
    <s v="Check out our latest reel on facebook!"/>
    <n v="4134"/>
    <n v="824"/>
    <n v="99"/>
    <n v="41340"/>
    <n v="41050"/>
    <n v="177"/>
    <s v="CybertruckLaunch"/>
    <s v="Hashtags-1"/>
    <x v="2"/>
  </r>
  <r>
    <s v="P245"/>
    <s v="Facebook"/>
    <d v="2025-01-12T00:00:00"/>
    <s v="Reel"/>
    <s v="Check out our latest reel on facebook!"/>
    <n v="4134"/>
    <n v="824"/>
    <n v="99"/>
    <n v="41340"/>
    <n v="41050"/>
    <n v="177"/>
    <s v="CybertruckLaunch"/>
    <s v="Hashtags_2"/>
    <x v="2"/>
  </r>
  <r>
    <s v="P246"/>
    <s v="Facebook"/>
    <d v="2024-10-11T00:00:00"/>
    <s v="Image"/>
    <s v="Check out our latest image on facebook!"/>
    <n v="400"/>
    <n v="680"/>
    <n v="434"/>
    <n v="6400"/>
    <n v="5472"/>
    <n v="160"/>
    <s v="ModelYCampaign"/>
    <s v="Hashtags Used"/>
    <x v="0"/>
  </r>
  <r>
    <s v="P246"/>
    <s v="Facebook"/>
    <d v="2024-10-11T00:00:00"/>
    <s v="Image"/>
    <s v="Check out our latest image on facebook!"/>
    <n v="400"/>
    <n v="680"/>
    <n v="434"/>
    <n v="6400"/>
    <n v="5472"/>
    <n v="160"/>
    <s v="ModelYCampaign"/>
    <s v="Hashtags-1"/>
    <x v="2"/>
  </r>
  <r>
    <s v="P246"/>
    <s v="Facebook"/>
    <d v="2024-10-11T00:00:00"/>
    <s v="Image"/>
    <s v="Check out our latest image on facebook!"/>
    <n v="400"/>
    <n v="680"/>
    <n v="434"/>
    <n v="6400"/>
    <n v="5472"/>
    <n v="160"/>
    <s v="ModelYCampaign"/>
    <s v="Hashtags_2"/>
    <x v="2"/>
  </r>
  <r>
    <s v="P247"/>
    <s v="Facebook"/>
    <d v="2024-08-27T00:00:00"/>
    <s v="Reel"/>
    <s v="Check out our latest reel on facebook!"/>
    <n v="3960"/>
    <n v="266"/>
    <n v="8"/>
    <n v="35640"/>
    <n v="34850"/>
    <n v="208"/>
    <s v="unknown"/>
    <s v="Hashtags Used"/>
    <x v="0"/>
  </r>
  <r>
    <s v="P247"/>
    <s v="Facebook"/>
    <d v="2024-08-27T00:00:00"/>
    <s v="Reel"/>
    <s v="Check out our latest reel on facebook!"/>
    <n v="3960"/>
    <n v="266"/>
    <n v="8"/>
    <n v="35640"/>
    <n v="34850"/>
    <n v="208"/>
    <s v="unknown"/>
    <s v="Hashtags-1"/>
    <x v="5"/>
  </r>
  <r>
    <s v="P247"/>
    <s v="Facebook"/>
    <d v="2024-08-27T00:00:00"/>
    <s v="Reel"/>
    <s v="Check out our latest reel on facebook!"/>
    <n v="3960"/>
    <n v="266"/>
    <n v="8"/>
    <n v="35640"/>
    <n v="34850"/>
    <n v="208"/>
    <s v="unknown"/>
    <s v="Hashtags_2"/>
    <x v="4"/>
  </r>
  <r>
    <s v="P248"/>
    <s v="Facebook"/>
    <d v="2025-02-02T00:00:00"/>
    <s v="Story"/>
    <s v="Check out our latest story on facebook!"/>
    <n v="886"/>
    <n v="126"/>
    <n v="153"/>
    <n v="4430"/>
    <n v="4037"/>
    <n v="212"/>
    <s v="unknown"/>
    <s v="Hashtags Used"/>
    <x v="5"/>
  </r>
  <r>
    <s v="P248"/>
    <s v="Facebook"/>
    <d v="2025-02-02T00:00:00"/>
    <s v="Story"/>
    <s v="Check out our latest story on facebook!"/>
    <n v="886"/>
    <n v="126"/>
    <n v="153"/>
    <n v="4430"/>
    <n v="4037"/>
    <n v="212"/>
    <s v="unknown"/>
    <s v="Hashtags-1"/>
    <x v="2"/>
  </r>
  <r>
    <s v="P248"/>
    <s v="Facebook"/>
    <d v="2025-02-02T00:00:00"/>
    <s v="Story"/>
    <s v="Check out our latest story on facebook!"/>
    <n v="886"/>
    <n v="126"/>
    <n v="153"/>
    <n v="4430"/>
    <n v="4037"/>
    <n v="212"/>
    <s v="unknown"/>
    <s v="Hashtags_2"/>
    <x v="2"/>
  </r>
  <r>
    <s v="P249"/>
    <s v="Twitter"/>
    <d v="2024-07-18T00:00:00"/>
    <s v="Image"/>
    <s v="Check out our latest image on twitter!"/>
    <n v="827"/>
    <n v="77"/>
    <n v="402"/>
    <n v="14886"/>
    <n v="14129"/>
    <n v="254"/>
    <s v="ModelYCampaign"/>
    <s v="Hashtags Used"/>
    <x v="5"/>
  </r>
  <r>
    <s v="P249"/>
    <s v="Twitter"/>
    <d v="2024-07-18T00:00:00"/>
    <s v="Image"/>
    <s v="Check out our latest image on twitter!"/>
    <n v="827"/>
    <n v="77"/>
    <n v="402"/>
    <n v="14886"/>
    <n v="14129"/>
    <n v="254"/>
    <s v="ModelYCampaign"/>
    <s v="Hashtags-1"/>
    <x v="2"/>
  </r>
  <r>
    <s v="P249"/>
    <s v="Twitter"/>
    <d v="2024-07-18T00:00:00"/>
    <s v="Image"/>
    <s v="Check out our latest image on twitter!"/>
    <n v="827"/>
    <n v="77"/>
    <n v="402"/>
    <n v="14886"/>
    <n v="14129"/>
    <n v="254"/>
    <s v="ModelYCampaign"/>
    <s v="Hashtags_2"/>
    <x v="2"/>
  </r>
  <r>
    <s v="P250"/>
    <s v="Facebook"/>
    <d v="2024-06-22T00:00:00"/>
    <s v="Reel"/>
    <s v="Check out our latest reel on facebook!"/>
    <n v="3813"/>
    <n v="935"/>
    <n v="274"/>
    <n v="68634"/>
    <n v="68488"/>
    <n v="251"/>
    <s v="unknown"/>
    <s v="Hashtags Used"/>
    <x v="0"/>
  </r>
  <r>
    <s v="P250"/>
    <s v="Facebook"/>
    <d v="2024-06-22T00:00:00"/>
    <s v="Reel"/>
    <s v="Check out our latest reel on facebook!"/>
    <n v="3813"/>
    <n v="935"/>
    <n v="274"/>
    <n v="68634"/>
    <n v="68488"/>
    <n v="251"/>
    <s v="unknown"/>
    <s v="Hashtags-1"/>
    <x v="2"/>
  </r>
  <r>
    <s v="P250"/>
    <s v="Facebook"/>
    <d v="2024-06-22T00:00:00"/>
    <s v="Reel"/>
    <s v="Check out our latest reel on facebook!"/>
    <n v="3813"/>
    <n v="935"/>
    <n v="274"/>
    <n v="68634"/>
    <n v="68488"/>
    <n v="251"/>
    <s v="unknown"/>
    <s v="Hashtags_2"/>
    <x v="2"/>
  </r>
  <r>
    <s v="P251"/>
    <s v="Instagram"/>
    <d v="2025-03-27T00:00:00"/>
    <s v="Carousel"/>
    <s v="Check out our latest carousel on instagram!"/>
    <n v="1377"/>
    <n v="796"/>
    <n v="387"/>
    <n v="22032"/>
    <n v="21869"/>
    <n v="189"/>
    <s v="unknown"/>
    <s v="Hashtags Used"/>
    <x v="0"/>
  </r>
  <r>
    <s v="P251"/>
    <s v="Instagram"/>
    <d v="2025-03-27T00:00:00"/>
    <s v="Carousel"/>
    <s v="Check out our latest carousel on instagram!"/>
    <n v="1377"/>
    <n v="796"/>
    <n v="387"/>
    <n v="22032"/>
    <n v="21869"/>
    <n v="189"/>
    <s v="unknown"/>
    <s v="Hashtags-1"/>
    <x v="2"/>
  </r>
  <r>
    <s v="P251"/>
    <s v="Instagram"/>
    <d v="2025-03-27T00:00:00"/>
    <s v="Carousel"/>
    <s v="Check out our latest carousel on instagram!"/>
    <n v="1377"/>
    <n v="796"/>
    <n v="387"/>
    <n v="22032"/>
    <n v="21869"/>
    <n v="189"/>
    <s v="unknown"/>
    <s v="Hashtags_2"/>
    <x v="2"/>
  </r>
  <r>
    <s v="P252"/>
    <s v="Facebook"/>
    <d v="2025-04-28T00:00:00"/>
    <s v="Carousel"/>
    <s v="Check out our latest carousel on facebook!"/>
    <n v="2089"/>
    <n v="476"/>
    <n v="69"/>
    <n v="16712"/>
    <n v="16309"/>
    <n v="64"/>
    <s v="FSDUpdate"/>
    <s v="Hashtags Used"/>
    <x v="0"/>
  </r>
  <r>
    <s v="P252"/>
    <s v="Facebook"/>
    <d v="2025-04-28T00:00:00"/>
    <s v="Carousel"/>
    <s v="Check out our latest carousel on facebook!"/>
    <n v="2089"/>
    <n v="476"/>
    <n v="69"/>
    <n v="16712"/>
    <n v="16309"/>
    <n v="64"/>
    <s v="FSDUpdate"/>
    <s v="Hashtags-1"/>
    <x v="2"/>
  </r>
  <r>
    <s v="P252"/>
    <s v="Facebook"/>
    <d v="2025-04-28T00:00:00"/>
    <s v="Carousel"/>
    <s v="Check out our latest carousel on facebook!"/>
    <n v="2089"/>
    <n v="476"/>
    <n v="69"/>
    <n v="16712"/>
    <n v="16309"/>
    <n v="64"/>
    <s v="FSDUpdate"/>
    <s v="Hashtags_2"/>
    <x v="2"/>
  </r>
  <r>
    <s v="P253"/>
    <s v="Twitter"/>
    <d v="2024-08-03T00:00:00"/>
    <s v="Reel"/>
    <s v="Check out our latest reel on twitter!"/>
    <n v="3791"/>
    <n v="593"/>
    <n v="228"/>
    <n v="53074"/>
    <n v="52613"/>
    <n v="205"/>
    <s v="unknown"/>
    <s v="Hashtags Used"/>
    <x v="5"/>
  </r>
  <r>
    <s v="P253"/>
    <s v="Twitter"/>
    <d v="2024-08-03T00:00:00"/>
    <s v="Reel"/>
    <s v="Check out our latest reel on twitter!"/>
    <n v="3791"/>
    <n v="593"/>
    <n v="228"/>
    <n v="53074"/>
    <n v="52613"/>
    <n v="205"/>
    <s v="unknown"/>
    <s v="Hashtags-1"/>
    <x v="2"/>
  </r>
  <r>
    <s v="P253"/>
    <s v="Twitter"/>
    <d v="2024-08-03T00:00:00"/>
    <s v="Reel"/>
    <s v="Check out our latest reel on twitter!"/>
    <n v="3791"/>
    <n v="593"/>
    <n v="228"/>
    <n v="53074"/>
    <n v="52613"/>
    <n v="205"/>
    <s v="unknown"/>
    <s v="Hashtags_2"/>
    <x v="2"/>
  </r>
  <r>
    <s v="P254"/>
    <s v="Twitter"/>
    <d v="2025-01-14T00:00:00"/>
    <s v="Image"/>
    <s v="Check out our latest image on twitter!"/>
    <n v="2692"/>
    <n v="115"/>
    <n v="64"/>
    <n v="21536"/>
    <n v="21120"/>
    <n v="224"/>
    <s v="ModelYCampaign"/>
    <s v="Hashtags Used"/>
    <x v="0"/>
  </r>
  <r>
    <s v="P254"/>
    <s v="Twitter"/>
    <d v="2025-01-14T00:00:00"/>
    <s v="Image"/>
    <s v="Check out our latest image on twitter!"/>
    <n v="2692"/>
    <n v="115"/>
    <n v="64"/>
    <n v="21536"/>
    <n v="21120"/>
    <n v="224"/>
    <s v="ModelYCampaign"/>
    <s v="Hashtags-1"/>
    <x v="2"/>
  </r>
  <r>
    <s v="P254"/>
    <s v="Twitter"/>
    <d v="2025-01-14T00:00:00"/>
    <s v="Image"/>
    <s v="Check out our latest image on twitter!"/>
    <n v="2692"/>
    <n v="115"/>
    <n v="64"/>
    <n v="21536"/>
    <n v="21120"/>
    <n v="224"/>
    <s v="ModelYCampaign"/>
    <s v="Hashtags_2"/>
    <x v="2"/>
  </r>
  <r>
    <s v="P255"/>
    <s v="Facebook"/>
    <d v="2025-04-03T00:00:00"/>
    <s v="Story"/>
    <s v="Check out our latest story on facebook!"/>
    <n v="3767"/>
    <n v="514"/>
    <n v="238"/>
    <n v="37670"/>
    <n v="36807"/>
    <n v="226"/>
    <s v="SustainabilityDrive"/>
    <s v="Hashtags Used"/>
    <x v="0"/>
  </r>
  <r>
    <s v="P255"/>
    <s v="Facebook"/>
    <d v="2025-04-03T00:00:00"/>
    <s v="Story"/>
    <s v="Check out our latest story on facebook!"/>
    <n v="3767"/>
    <n v="514"/>
    <n v="238"/>
    <n v="37670"/>
    <n v="36807"/>
    <n v="226"/>
    <s v="SustainabilityDrive"/>
    <s v="Hashtags-1"/>
    <x v="2"/>
  </r>
  <r>
    <s v="P255"/>
    <s v="Facebook"/>
    <d v="2025-04-03T00:00:00"/>
    <s v="Story"/>
    <s v="Check out our latest story on facebook!"/>
    <n v="3767"/>
    <n v="514"/>
    <n v="238"/>
    <n v="37670"/>
    <n v="36807"/>
    <n v="226"/>
    <s v="SustainabilityDrive"/>
    <s v="Hashtags_2"/>
    <x v="2"/>
  </r>
  <r>
    <s v="P256"/>
    <s v="YouTube"/>
    <d v="2024-09-18T00:00:00"/>
    <s v="Carousel"/>
    <s v="Check out our latest carousel on youtube!"/>
    <n v="2143"/>
    <n v="12"/>
    <n v="204"/>
    <n v="40717"/>
    <n v="40125"/>
    <n v="248"/>
    <s v="ModelYCampaign"/>
    <s v="Hashtags Used"/>
    <x v="5"/>
  </r>
  <r>
    <s v="P256"/>
    <s v="YouTube"/>
    <d v="2024-09-18T00:00:00"/>
    <s v="Carousel"/>
    <s v="Check out our latest carousel on youtube!"/>
    <n v="2143"/>
    <n v="12"/>
    <n v="204"/>
    <n v="40717"/>
    <n v="40125"/>
    <n v="248"/>
    <s v="ModelYCampaign"/>
    <s v="Hashtags-1"/>
    <x v="2"/>
  </r>
  <r>
    <s v="P256"/>
    <s v="YouTube"/>
    <d v="2024-09-18T00:00:00"/>
    <s v="Carousel"/>
    <s v="Check out our latest carousel on youtube!"/>
    <n v="2143"/>
    <n v="12"/>
    <n v="204"/>
    <n v="40717"/>
    <n v="40125"/>
    <n v="248"/>
    <s v="ModelYCampaign"/>
    <s v="Hashtags_2"/>
    <x v="2"/>
  </r>
  <r>
    <s v="P257"/>
    <s v="Facebook"/>
    <d v="2025-04-06T00:00:00"/>
    <s v="Image"/>
    <s v="Check out our latest image on facebook!"/>
    <n v="3090"/>
    <n v="697"/>
    <n v="164"/>
    <n v="49440"/>
    <n v="48524"/>
    <n v="25"/>
    <s v="ModelYCampaign"/>
    <s v="Hashtags Used"/>
    <x v="5"/>
  </r>
  <r>
    <s v="P257"/>
    <s v="Facebook"/>
    <d v="2025-04-06T00:00:00"/>
    <s v="Image"/>
    <s v="Check out our latest image on facebook!"/>
    <n v="3090"/>
    <n v="697"/>
    <n v="164"/>
    <n v="49440"/>
    <n v="48524"/>
    <n v="25"/>
    <s v="ModelYCampaign"/>
    <s v="Hashtags-1"/>
    <x v="5"/>
  </r>
  <r>
    <s v="P257"/>
    <s v="Facebook"/>
    <d v="2025-04-06T00:00:00"/>
    <s v="Image"/>
    <s v="Check out our latest image on facebook!"/>
    <n v="3090"/>
    <n v="697"/>
    <n v="164"/>
    <n v="49440"/>
    <n v="48524"/>
    <n v="25"/>
    <s v="ModelYCampaign"/>
    <s v="Hashtags_2"/>
    <x v="4"/>
  </r>
  <r>
    <s v="P258"/>
    <s v="Instagram"/>
    <d v="2024-08-05T00:00:00"/>
    <s v="Story"/>
    <s v="Check out our latest story on instagram!"/>
    <n v="3601"/>
    <n v="695"/>
    <n v="75"/>
    <n v="21606"/>
    <n v="21454"/>
    <n v="172"/>
    <s v="ModelYCampaign"/>
    <s v="Hashtags Used"/>
    <x v="5"/>
  </r>
  <r>
    <s v="P258"/>
    <s v="Instagram"/>
    <d v="2024-08-05T00:00:00"/>
    <s v="Story"/>
    <s v="Check out our latest story on instagram!"/>
    <n v="3601"/>
    <n v="695"/>
    <n v="75"/>
    <n v="21606"/>
    <n v="21454"/>
    <n v="172"/>
    <s v="ModelYCampaign"/>
    <s v="Hashtags-1"/>
    <x v="2"/>
  </r>
  <r>
    <s v="P258"/>
    <s v="Instagram"/>
    <d v="2024-08-05T00:00:00"/>
    <s v="Story"/>
    <s v="Check out our latest story on instagram!"/>
    <n v="3601"/>
    <n v="695"/>
    <n v="75"/>
    <n v="21606"/>
    <n v="21454"/>
    <n v="172"/>
    <s v="ModelYCampaign"/>
    <s v="Hashtags_2"/>
    <x v="2"/>
  </r>
  <r>
    <s v="P259"/>
    <s v="Facebook"/>
    <d v="2025-02-10T00:00:00"/>
    <s v="Text"/>
    <s v="Check out our latest text on facebook!"/>
    <n v="562"/>
    <n v="158"/>
    <n v="149"/>
    <n v="3372"/>
    <n v="2940"/>
    <n v="93"/>
    <s v="CybertruckLaunch"/>
    <s v="Hashtags Used"/>
    <x v="3"/>
  </r>
  <r>
    <s v="P259"/>
    <s v="Facebook"/>
    <d v="2025-02-10T00:00:00"/>
    <s v="Text"/>
    <s v="Check out our latest text on facebook!"/>
    <n v="562"/>
    <n v="158"/>
    <n v="149"/>
    <n v="3372"/>
    <n v="2940"/>
    <n v="93"/>
    <s v="CybertruckLaunch"/>
    <s v="Hashtags-1"/>
    <x v="2"/>
  </r>
  <r>
    <s v="P259"/>
    <s v="Facebook"/>
    <d v="2025-02-10T00:00:00"/>
    <s v="Text"/>
    <s v="Check out our latest text on facebook!"/>
    <n v="562"/>
    <n v="158"/>
    <n v="149"/>
    <n v="3372"/>
    <n v="2940"/>
    <n v="93"/>
    <s v="CybertruckLaunch"/>
    <s v="Hashtags_2"/>
    <x v="2"/>
  </r>
  <r>
    <s v="P260"/>
    <s v="Instagram"/>
    <d v="2025-02-12T00:00:00"/>
    <s v="Story"/>
    <s v="Check out our latest story on instagram!"/>
    <n v="4332"/>
    <n v="771"/>
    <n v="219"/>
    <n v="60648"/>
    <n v="60397"/>
    <n v="10"/>
    <s v="FSDUpdate"/>
    <s v="Hashtags Used"/>
    <x v="3"/>
  </r>
  <r>
    <s v="P260"/>
    <s v="Instagram"/>
    <d v="2025-02-12T00:00:00"/>
    <s v="Story"/>
    <s v="Check out our latest story on instagram!"/>
    <n v="4332"/>
    <n v="771"/>
    <n v="219"/>
    <n v="60648"/>
    <n v="60397"/>
    <n v="10"/>
    <s v="FSDUpdate"/>
    <s v="Hashtags-1"/>
    <x v="5"/>
  </r>
  <r>
    <s v="P260"/>
    <s v="Instagram"/>
    <d v="2025-02-12T00:00:00"/>
    <s v="Story"/>
    <s v="Check out our latest story on instagram!"/>
    <n v="4332"/>
    <n v="771"/>
    <n v="219"/>
    <n v="60648"/>
    <n v="60397"/>
    <n v="10"/>
    <s v="FSDUpdate"/>
    <s v="Hashtags_2"/>
    <x v="4"/>
  </r>
  <r>
    <s v="P261"/>
    <s v="Instagram"/>
    <d v="2024-10-27T00:00:00"/>
    <s v="Image"/>
    <s v="Check out our latest image on instagram!"/>
    <n v="4853"/>
    <n v="837"/>
    <n v="340"/>
    <n v="72795"/>
    <n v="72237"/>
    <n v="170"/>
    <s v="CybertruckLaunch"/>
    <s v="Hashtags Used"/>
    <x v="5"/>
  </r>
  <r>
    <s v="P261"/>
    <s v="Instagram"/>
    <d v="2024-10-27T00:00:00"/>
    <s v="Image"/>
    <s v="Check out our latest image on instagram!"/>
    <n v="4853"/>
    <n v="837"/>
    <n v="340"/>
    <n v="72795"/>
    <n v="72237"/>
    <n v="170"/>
    <s v="CybertruckLaunch"/>
    <s v="Hashtags-1"/>
    <x v="2"/>
  </r>
  <r>
    <s v="P261"/>
    <s v="Instagram"/>
    <d v="2024-10-27T00:00:00"/>
    <s v="Image"/>
    <s v="Check out our latest image on instagram!"/>
    <n v="4853"/>
    <n v="837"/>
    <n v="340"/>
    <n v="72795"/>
    <n v="72237"/>
    <n v="170"/>
    <s v="CybertruckLaunch"/>
    <s v="Hashtags_2"/>
    <x v="2"/>
  </r>
  <r>
    <s v="P262"/>
    <s v="YouTube"/>
    <d v="2025-01-18T00:00:00"/>
    <s v="Image"/>
    <s v="Check out our latest image on youtube!"/>
    <n v="1206"/>
    <n v="238"/>
    <n v="36"/>
    <n v="9648"/>
    <n v="9417"/>
    <n v="237"/>
    <s v="unknown"/>
    <s v="Hashtags Used"/>
    <x v="3"/>
  </r>
  <r>
    <s v="P262"/>
    <s v="YouTube"/>
    <d v="2025-01-18T00:00:00"/>
    <s v="Image"/>
    <s v="Check out our latest image on youtube!"/>
    <n v="1206"/>
    <n v="238"/>
    <n v="36"/>
    <n v="9648"/>
    <n v="9417"/>
    <n v="237"/>
    <s v="unknown"/>
    <s v="Hashtags-1"/>
    <x v="2"/>
  </r>
  <r>
    <s v="P262"/>
    <s v="YouTube"/>
    <d v="2025-01-18T00:00:00"/>
    <s v="Image"/>
    <s v="Check out our latest image on youtube!"/>
    <n v="1206"/>
    <n v="238"/>
    <n v="36"/>
    <n v="9648"/>
    <n v="9417"/>
    <n v="237"/>
    <s v="unknown"/>
    <s v="Hashtags_2"/>
    <x v="2"/>
  </r>
  <r>
    <s v="P263"/>
    <s v="Instagram"/>
    <d v="2024-08-20T00:00:00"/>
    <s v="Reel"/>
    <s v="Check out our latest reel on instagram!"/>
    <n v="2603"/>
    <n v="690"/>
    <n v="205"/>
    <n v="13015"/>
    <n v="12130"/>
    <n v="20"/>
    <s v="ModelYCampaign"/>
    <s v="Hashtags Used"/>
    <x v="0"/>
  </r>
  <r>
    <s v="P263"/>
    <s v="Instagram"/>
    <d v="2024-08-20T00:00:00"/>
    <s v="Reel"/>
    <s v="Check out our latest reel on instagram!"/>
    <n v="2603"/>
    <n v="690"/>
    <n v="205"/>
    <n v="13015"/>
    <n v="12130"/>
    <n v="20"/>
    <s v="ModelYCampaign"/>
    <s v="Hashtags-1"/>
    <x v="2"/>
  </r>
  <r>
    <s v="P263"/>
    <s v="Instagram"/>
    <d v="2024-08-20T00:00:00"/>
    <s v="Reel"/>
    <s v="Check out our latest reel on instagram!"/>
    <n v="2603"/>
    <n v="690"/>
    <n v="205"/>
    <n v="13015"/>
    <n v="12130"/>
    <n v="20"/>
    <s v="ModelYCampaign"/>
    <s v="Hashtags_2"/>
    <x v="2"/>
  </r>
  <r>
    <s v="P264"/>
    <s v="Twitter"/>
    <d v="2025-01-30T00:00:00"/>
    <s v="Image"/>
    <s v="Check out our latest image on twitter!"/>
    <n v="59"/>
    <n v="163"/>
    <n v="93"/>
    <n v="590"/>
    <n v="475"/>
    <n v="293"/>
    <s v="ModelYCampaign"/>
    <s v="Hashtags Used"/>
    <x v="3"/>
  </r>
  <r>
    <s v="P264"/>
    <s v="Twitter"/>
    <d v="2025-01-30T00:00:00"/>
    <s v="Image"/>
    <s v="Check out our latest image on twitter!"/>
    <n v="59"/>
    <n v="163"/>
    <n v="93"/>
    <n v="590"/>
    <n v="475"/>
    <n v="293"/>
    <s v="ModelYCampaign"/>
    <s v="Hashtags-1"/>
    <x v="2"/>
  </r>
  <r>
    <s v="P264"/>
    <s v="Twitter"/>
    <d v="2025-01-30T00:00:00"/>
    <s v="Image"/>
    <s v="Check out our latest image on twitter!"/>
    <n v="59"/>
    <n v="163"/>
    <n v="93"/>
    <n v="590"/>
    <n v="475"/>
    <n v="293"/>
    <s v="ModelYCampaign"/>
    <s v="Hashtags_2"/>
    <x v="2"/>
  </r>
  <r>
    <s v="P265"/>
    <s v="Twitter"/>
    <d v="2025-02-20T00:00:00"/>
    <s v="Carousel"/>
    <s v="Check out our latest carousel on twitter!"/>
    <n v="1877"/>
    <n v="745"/>
    <n v="225"/>
    <n v="11262"/>
    <n v="10967"/>
    <n v="41"/>
    <s v="SustainabilityDrive"/>
    <s v="Hashtags Used"/>
    <x v="5"/>
  </r>
  <r>
    <s v="P265"/>
    <s v="Twitter"/>
    <d v="2025-02-20T00:00:00"/>
    <s v="Carousel"/>
    <s v="Check out our latest carousel on twitter!"/>
    <n v="1877"/>
    <n v="745"/>
    <n v="225"/>
    <n v="11262"/>
    <n v="10967"/>
    <n v="41"/>
    <s v="SustainabilityDrive"/>
    <s v="Hashtags-1"/>
    <x v="2"/>
  </r>
  <r>
    <s v="P265"/>
    <s v="Twitter"/>
    <d v="2025-02-20T00:00:00"/>
    <s v="Carousel"/>
    <s v="Check out our latest carousel on twitter!"/>
    <n v="1877"/>
    <n v="745"/>
    <n v="225"/>
    <n v="11262"/>
    <n v="10967"/>
    <n v="41"/>
    <s v="SustainabilityDrive"/>
    <s v="Hashtags_2"/>
    <x v="2"/>
  </r>
  <r>
    <s v="P266"/>
    <s v="Facebook"/>
    <d v="2024-11-25T00:00:00"/>
    <s v="Story"/>
    <s v="Check out our latest story on facebook!"/>
    <n v="4182"/>
    <n v="640"/>
    <n v="240"/>
    <n v="50184"/>
    <n v="49351"/>
    <n v="10"/>
    <s v="FSDUpdate"/>
    <s v="Hashtags Used"/>
    <x v="3"/>
  </r>
  <r>
    <s v="P266"/>
    <s v="Facebook"/>
    <d v="2024-11-25T00:00:00"/>
    <s v="Story"/>
    <s v="Check out our latest story on facebook!"/>
    <n v="4182"/>
    <n v="640"/>
    <n v="240"/>
    <n v="50184"/>
    <n v="49351"/>
    <n v="10"/>
    <s v="FSDUpdate"/>
    <s v="Hashtags-1"/>
    <x v="2"/>
  </r>
  <r>
    <s v="P266"/>
    <s v="Facebook"/>
    <d v="2024-11-25T00:00:00"/>
    <s v="Story"/>
    <s v="Check out our latest story on facebook!"/>
    <n v="4182"/>
    <n v="640"/>
    <n v="240"/>
    <n v="50184"/>
    <n v="49351"/>
    <n v="10"/>
    <s v="FSDUpdate"/>
    <s v="Hashtags_2"/>
    <x v="2"/>
  </r>
  <r>
    <s v="P267"/>
    <s v="Twitter"/>
    <d v="2024-10-04T00:00:00"/>
    <s v="Reel"/>
    <s v="Check out our latest reel on twitter!"/>
    <n v="4187"/>
    <n v="66"/>
    <n v="31"/>
    <n v="66992"/>
    <n v="66614"/>
    <n v="62"/>
    <s v="unknown"/>
    <s v="Hashtags Used"/>
    <x v="0"/>
  </r>
  <r>
    <s v="P267"/>
    <s v="Twitter"/>
    <d v="2024-10-04T00:00:00"/>
    <s v="Reel"/>
    <s v="Check out our latest reel on twitter!"/>
    <n v="4187"/>
    <n v="66"/>
    <n v="31"/>
    <n v="66992"/>
    <n v="66614"/>
    <n v="62"/>
    <s v="unknown"/>
    <s v="Hashtags-1"/>
    <x v="2"/>
  </r>
  <r>
    <s v="P267"/>
    <s v="Twitter"/>
    <d v="2024-10-04T00:00:00"/>
    <s v="Reel"/>
    <s v="Check out our latest reel on twitter!"/>
    <n v="4187"/>
    <n v="66"/>
    <n v="31"/>
    <n v="66992"/>
    <n v="66614"/>
    <n v="62"/>
    <s v="unknown"/>
    <s v="Hashtags_2"/>
    <x v="2"/>
  </r>
  <r>
    <s v="P268"/>
    <s v="Instagram"/>
    <d v="2025-04-13T00:00:00"/>
    <s v="Reel"/>
    <s v="Check out our latest reel on instagram!"/>
    <n v="4579"/>
    <n v="125"/>
    <n v="300"/>
    <n v="59527"/>
    <n v="59400"/>
    <n v="269"/>
    <s v="CybertruckLaunch"/>
    <s v="Hashtags Used"/>
    <x v="5"/>
  </r>
  <r>
    <s v="P268"/>
    <s v="Instagram"/>
    <d v="2025-04-13T00:00:00"/>
    <s v="Reel"/>
    <s v="Check out our latest reel on instagram!"/>
    <n v="4579"/>
    <n v="125"/>
    <n v="300"/>
    <n v="59527"/>
    <n v="59400"/>
    <n v="269"/>
    <s v="CybertruckLaunch"/>
    <s v="Hashtags-1"/>
    <x v="2"/>
  </r>
  <r>
    <s v="P268"/>
    <s v="Instagram"/>
    <d v="2025-04-13T00:00:00"/>
    <s v="Reel"/>
    <s v="Check out our latest reel on instagram!"/>
    <n v="4579"/>
    <n v="125"/>
    <n v="300"/>
    <n v="59527"/>
    <n v="59400"/>
    <n v="269"/>
    <s v="CybertruckLaunch"/>
    <s v="Hashtags_2"/>
    <x v="2"/>
  </r>
  <r>
    <s v="P269"/>
    <s v="Instagram"/>
    <d v="2024-11-05T00:00:00"/>
    <s v="Video"/>
    <s v="Check out our latest video on instagram!"/>
    <n v="4561"/>
    <n v="51"/>
    <n v="441"/>
    <n v="22805"/>
    <n v="21890"/>
    <n v="45"/>
    <s v="ModelYCampaign"/>
    <s v="Hashtags Used"/>
    <x v="3"/>
  </r>
  <r>
    <s v="P269"/>
    <s v="Instagram"/>
    <d v="2024-11-05T00:00:00"/>
    <s v="Video"/>
    <s v="Check out our latest video on instagram!"/>
    <n v="4561"/>
    <n v="51"/>
    <n v="441"/>
    <n v="22805"/>
    <n v="21890"/>
    <n v="45"/>
    <s v="ModelYCampaign"/>
    <s v="Hashtags-1"/>
    <x v="2"/>
  </r>
  <r>
    <s v="P269"/>
    <s v="Instagram"/>
    <d v="2024-11-05T00:00:00"/>
    <s v="Video"/>
    <s v="Check out our latest video on instagram!"/>
    <n v="4561"/>
    <n v="51"/>
    <n v="441"/>
    <n v="22805"/>
    <n v="21890"/>
    <n v="45"/>
    <s v="ModelYCampaign"/>
    <s v="Hashtags_2"/>
    <x v="2"/>
  </r>
  <r>
    <s v="P270"/>
    <s v="YouTube"/>
    <d v="2025-01-15T00:00:00"/>
    <s v="Reel"/>
    <s v="Check out our latest reel on youtube!"/>
    <n v="3774"/>
    <n v="239"/>
    <n v="39"/>
    <n v="60384"/>
    <n v="59490"/>
    <n v="241"/>
    <s v="FSDUpdate"/>
    <s v="Hashtags Used"/>
    <x v="3"/>
  </r>
  <r>
    <s v="P270"/>
    <s v="YouTube"/>
    <d v="2025-01-15T00:00:00"/>
    <s v="Reel"/>
    <s v="Check out our latest reel on youtube!"/>
    <n v="3774"/>
    <n v="239"/>
    <n v="39"/>
    <n v="60384"/>
    <n v="59490"/>
    <n v="241"/>
    <s v="FSDUpdate"/>
    <s v="Hashtags-1"/>
    <x v="2"/>
  </r>
  <r>
    <s v="P270"/>
    <s v="YouTube"/>
    <d v="2025-01-15T00:00:00"/>
    <s v="Reel"/>
    <s v="Check out our latest reel on youtube!"/>
    <n v="3774"/>
    <n v="239"/>
    <n v="39"/>
    <n v="60384"/>
    <n v="59490"/>
    <n v="241"/>
    <s v="FSDUpdate"/>
    <s v="Hashtags_2"/>
    <x v="2"/>
  </r>
  <r>
    <s v="P271"/>
    <s v="Instagram"/>
    <d v="2024-10-17T00:00:00"/>
    <s v="Video"/>
    <s v="Check out our latest video on instagram!"/>
    <n v="3575"/>
    <n v="749"/>
    <n v="111"/>
    <n v="21450"/>
    <n v="20785"/>
    <n v="195"/>
    <s v="ModelYCampaign"/>
    <s v="Hashtags Used"/>
    <x v="5"/>
  </r>
  <r>
    <s v="P271"/>
    <s v="Instagram"/>
    <d v="2024-10-17T00:00:00"/>
    <s v="Video"/>
    <s v="Check out our latest video on instagram!"/>
    <n v="3575"/>
    <n v="749"/>
    <n v="111"/>
    <n v="21450"/>
    <n v="20785"/>
    <n v="195"/>
    <s v="ModelYCampaign"/>
    <s v="Hashtags-1"/>
    <x v="2"/>
  </r>
  <r>
    <s v="P271"/>
    <s v="Instagram"/>
    <d v="2024-10-17T00:00:00"/>
    <s v="Video"/>
    <s v="Check out our latest video on instagram!"/>
    <n v="3575"/>
    <n v="749"/>
    <n v="111"/>
    <n v="21450"/>
    <n v="20785"/>
    <n v="195"/>
    <s v="ModelYCampaign"/>
    <s v="Hashtags_2"/>
    <x v="2"/>
  </r>
  <r>
    <s v="P272"/>
    <s v="Instagram"/>
    <d v="2025-03-27T00:00:00"/>
    <s v="Text"/>
    <s v="Check out our latest text on instagram!"/>
    <n v="4941"/>
    <n v="414"/>
    <n v="266"/>
    <n v="39528"/>
    <n v="39154"/>
    <n v="217"/>
    <s v="FSDUpdate"/>
    <s v="Hashtags Used"/>
    <x v="3"/>
  </r>
  <r>
    <s v="P272"/>
    <s v="Instagram"/>
    <d v="2025-03-27T00:00:00"/>
    <s v="Text"/>
    <s v="Check out our latest text on instagram!"/>
    <n v="4941"/>
    <n v="414"/>
    <n v="266"/>
    <n v="39528"/>
    <n v="39154"/>
    <n v="217"/>
    <s v="FSDUpdate"/>
    <s v="Hashtags-1"/>
    <x v="2"/>
  </r>
  <r>
    <s v="P272"/>
    <s v="Instagram"/>
    <d v="2025-03-27T00:00:00"/>
    <s v="Text"/>
    <s v="Check out our latest text on instagram!"/>
    <n v="4941"/>
    <n v="414"/>
    <n v="266"/>
    <n v="39528"/>
    <n v="39154"/>
    <n v="217"/>
    <s v="FSDUpdate"/>
    <s v="Hashtags_2"/>
    <x v="2"/>
  </r>
  <r>
    <s v="P273"/>
    <s v="YouTube"/>
    <d v="2024-10-12T00:00:00"/>
    <s v="Story"/>
    <s v="Check out our latest story on youtube!"/>
    <n v="3641"/>
    <n v="226"/>
    <n v="46"/>
    <n v="40051"/>
    <n v="39319"/>
    <n v="296"/>
    <s v="SustainabilityDrive"/>
    <s v="Hashtags Used"/>
    <x v="5"/>
  </r>
  <r>
    <s v="P273"/>
    <s v="YouTube"/>
    <d v="2024-10-12T00:00:00"/>
    <s v="Story"/>
    <s v="Check out our latest story on youtube!"/>
    <n v="3641"/>
    <n v="226"/>
    <n v="46"/>
    <n v="40051"/>
    <n v="39319"/>
    <n v="296"/>
    <s v="SustainabilityDrive"/>
    <s v="Hashtags-1"/>
    <x v="2"/>
  </r>
  <r>
    <s v="P273"/>
    <s v="YouTube"/>
    <d v="2024-10-12T00:00:00"/>
    <s v="Story"/>
    <s v="Check out our latest story on youtube!"/>
    <n v="3641"/>
    <n v="226"/>
    <n v="46"/>
    <n v="40051"/>
    <n v="39319"/>
    <n v="296"/>
    <s v="SustainabilityDrive"/>
    <s v="Hashtags_2"/>
    <x v="2"/>
  </r>
  <r>
    <s v="P274"/>
    <s v="Twitter"/>
    <d v="2025-01-01T00:00:00"/>
    <s v="Carousel"/>
    <s v="Check out our latest carousel on twitter!"/>
    <n v="3535"/>
    <n v="494"/>
    <n v="152"/>
    <n v="53025"/>
    <n v="52791"/>
    <n v="44"/>
    <s v="SustainabilityDrive"/>
    <s v="Hashtags Used"/>
    <x v="3"/>
  </r>
  <r>
    <s v="P274"/>
    <s v="Twitter"/>
    <d v="2025-01-01T00:00:00"/>
    <s v="Carousel"/>
    <s v="Check out our latest carousel on twitter!"/>
    <n v="3535"/>
    <n v="494"/>
    <n v="152"/>
    <n v="53025"/>
    <n v="52791"/>
    <n v="44"/>
    <s v="SustainabilityDrive"/>
    <s v="Hashtags-1"/>
    <x v="2"/>
  </r>
  <r>
    <s v="P274"/>
    <s v="Twitter"/>
    <d v="2025-01-01T00:00:00"/>
    <s v="Carousel"/>
    <s v="Check out our latest carousel on twitter!"/>
    <n v="3535"/>
    <n v="494"/>
    <n v="152"/>
    <n v="53025"/>
    <n v="52791"/>
    <n v="44"/>
    <s v="SustainabilityDrive"/>
    <s v="Hashtags_2"/>
    <x v="2"/>
  </r>
  <r>
    <s v="P275"/>
    <s v="Facebook"/>
    <d v="2024-08-05T00:00:00"/>
    <s v="Reel"/>
    <s v="Check out our latest reel on facebook!"/>
    <n v="1741"/>
    <n v="831"/>
    <n v="345"/>
    <n v="17410"/>
    <n v="16844"/>
    <n v="58"/>
    <s v="FSDUpdate"/>
    <s v="Hashtags Used"/>
    <x v="5"/>
  </r>
  <r>
    <s v="P275"/>
    <s v="Facebook"/>
    <d v="2024-08-05T00:00:00"/>
    <s v="Reel"/>
    <s v="Check out our latest reel on facebook!"/>
    <n v="1741"/>
    <n v="831"/>
    <n v="345"/>
    <n v="17410"/>
    <n v="16844"/>
    <n v="58"/>
    <s v="FSDUpdate"/>
    <s v="Hashtags-1"/>
    <x v="2"/>
  </r>
  <r>
    <s v="P275"/>
    <s v="Facebook"/>
    <d v="2024-08-05T00:00:00"/>
    <s v="Reel"/>
    <s v="Check out our latest reel on facebook!"/>
    <n v="1741"/>
    <n v="831"/>
    <n v="345"/>
    <n v="17410"/>
    <n v="16844"/>
    <n v="58"/>
    <s v="FSDUpdate"/>
    <s v="Hashtags_2"/>
    <x v="2"/>
  </r>
  <r>
    <s v="P276"/>
    <s v="Twitter"/>
    <d v="2024-06-07T00:00:00"/>
    <s v="Carousel"/>
    <s v="Check out our latest carousel on twitter!"/>
    <n v="1556"/>
    <n v="195"/>
    <n v="131"/>
    <n v="9336"/>
    <n v="8875"/>
    <n v="137"/>
    <s v="ModelYCampaign"/>
    <s v="Hashtags Used"/>
    <x v="3"/>
  </r>
  <r>
    <s v="P276"/>
    <s v="Twitter"/>
    <d v="2024-06-07T00:00:00"/>
    <s v="Carousel"/>
    <s v="Check out our latest carousel on twitter!"/>
    <n v="1556"/>
    <n v="195"/>
    <n v="131"/>
    <n v="9336"/>
    <n v="8875"/>
    <n v="137"/>
    <s v="ModelYCampaign"/>
    <s v="Hashtags-1"/>
    <x v="2"/>
  </r>
  <r>
    <s v="P276"/>
    <s v="Twitter"/>
    <d v="2024-06-07T00:00:00"/>
    <s v="Carousel"/>
    <s v="Check out our latest carousel on twitter!"/>
    <n v="1556"/>
    <n v="195"/>
    <n v="131"/>
    <n v="9336"/>
    <n v="8875"/>
    <n v="137"/>
    <s v="ModelYCampaign"/>
    <s v="Hashtags_2"/>
    <x v="2"/>
  </r>
  <r>
    <s v="P277"/>
    <s v="Facebook"/>
    <d v="2025-04-06T00:00:00"/>
    <s v="Image"/>
    <s v="Check out our latest image on facebook!"/>
    <n v="4236"/>
    <n v="711"/>
    <n v="298"/>
    <n v="21180"/>
    <n v="20516"/>
    <n v="238"/>
    <s v="CybertruckLaunch"/>
    <s v="Hashtags Used"/>
    <x v="0"/>
  </r>
  <r>
    <s v="P277"/>
    <s v="Facebook"/>
    <d v="2025-04-06T00:00:00"/>
    <s v="Image"/>
    <s v="Check out our latest image on facebook!"/>
    <n v="4236"/>
    <n v="711"/>
    <n v="298"/>
    <n v="21180"/>
    <n v="20516"/>
    <n v="238"/>
    <s v="CybertruckLaunch"/>
    <s v="Hashtags-1"/>
    <x v="2"/>
  </r>
  <r>
    <s v="P277"/>
    <s v="Facebook"/>
    <d v="2025-04-06T00:00:00"/>
    <s v="Image"/>
    <s v="Check out our latest image on facebook!"/>
    <n v="4236"/>
    <n v="711"/>
    <n v="298"/>
    <n v="21180"/>
    <n v="20516"/>
    <n v="238"/>
    <s v="CybertruckLaunch"/>
    <s v="Hashtags_2"/>
    <x v="2"/>
  </r>
  <r>
    <s v="P278"/>
    <s v="Twitter"/>
    <d v="2024-11-26T00:00:00"/>
    <s v="Text"/>
    <s v="Check out our latest text on twitter!"/>
    <n v="4516"/>
    <n v="836"/>
    <n v="169"/>
    <n v="49676"/>
    <n v="49257"/>
    <n v="282"/>
    <s v="SustainabilityDrive"/>
    <s v="Hashtags Used"/>
    <x v="5"/>
  </r>
  <r>
    <s v="P278"/>
    <s v="Twitter"/>
    <d v="2024-11-26T00:00:00"/>
    <s v="Text"/>
    <s v="Check out our latest text on twitter!"/>
    <n v="4516"/>
    <n v="836"/>
    <n v="169"/>
    <n v="49676"/>
    <n v="49257"/>
    <n v="282"/>
    <s v="SustainabilityDrive"/>
    <s v="Hashtags-1"/>
    <x v="2"/>
  </r>
  <r>
    <s v="P278"/>
    <s v="Twitter"/>
    <d v="2024-11-26T00:00:00"/>
    <s v="Text"/>
    <s v="Check out our latest text on twitter!"/>
    <n v="4516"/>
    <n v="836"/>
    <n v="169"/>
    <n v="49676"/>
    <n v="49257"/>
    <n v="282"/>
    <s v="SustainabilityDrive"/>
    <s v="Hashtags_2"/>
    <x v="2"/>
  </r>
  <r>
    <s v="P279"/>
    <s v="YouTube"/>
    <d v="2024-09-02T00:00:00"/>
    <s v="Image"/>
    <s v="Check out our latest image on youtube!"/>
    <n v="4905"/>
    <n v="845"/>
    <n v="129"/>
    <n v="98100"/>
    <n v="97772"/>
    <n v="279"/>
    <s v="ModelYCampaign"/>
    <s v="Hashtags Used"/>
    <x v="3"/>
  </r>
  <r>
    <s v="P279"/>
    <s v="YouTube"/>
    <d v="2024-09-02T00:00:00"/>
    <s v="Image"/>
    <s v="Check out our latest image on youtube!"/>
    <n v="4905"/>
    <n v="845"/>
    <n v="129"/>
    <n v="98100"/>
    <n v="97772"/>
    <n v="279"/>
    <s v="ModelYCampaign"/>
    <s v="Hashtags-1"/>
    <x v="2"/>
  </r>
  <r>
    <s v="P279"/>
    <s v="YouTube"/>
    <d v="2024-09-02T00:00:00"/>
    <s v="Image"/>
    <s v="Check out our latest image on youtube!"/>
    <n v="4905"/>
    <n v="845"/>
    <n v="129"/>
    <n v="98100"/>
    <n v="97772"/>
    <n v="279"/>
    <s v="ModelYCampaign"/>
    <s v="Hashtags_2"/>
    <x v="2"/>
  </r>
  <r>
    <s v="P280"/>
    <s v="YouTube"/>
    <d v="2024-10-21T00:00:00"/>
    <s v="Video"/>
    <s v="Check out our latest video on youtube!"/>
    <n v="4275"/>
    <n v="680"/>
    <n v="385"/>
    <n v="64125"/>
    <n v="63650"/>
    <n v="104"/>
    <s v="SustainabilityDrive"/>
    <s v="Hashtags Used"/>
    <x v="5"/>
  </r>
  <r>
    <s v="P280"/>
    <s v="YouTube"/>
    <d v="2024-10-21T00:00:00"/>
    <s v="Video"/>
    <s v="Check out our latest video on youtube!"/>
    <n v="4275"/>
    <n v="680"/>
    <n v="385"/>
    <n v="64125"/>
    <n v="63650"/>
    <n v="104"/>
    <s v="SustainabilityDrive"/>
    <s v="Hashtags-1"/>
    <x v="3"/>
  </r>
  <r>
    <s v="P280"/>
    <s v="YouTube"/>
    <d v="2024-10-21T00:00:00"/>
    <s v="Video"/>
    <s v="Check out our latest video on youtube!"/>
    <n v="4275"/>
    <n v="680"/>
    <n v="385"/>
    <n v="64125"/>
    <n v="63650"/>
    <n v="104"/>
    <s v="SustainabilityDrive"/>
    <s v="Hashtags_2"/>
    <x v="1"/>
  </r>
  <r>
    <s v="P281"/>
    <s v="YouTube"/>
    <d v="2025-03-22T00:00:00"/>
    <s v="Image"/>
    <s v="Check out our latest image on youtube!"/>
    <n v="3166"/>
    <n v="90"/>
    <n v="341"/>
    <n v="56988"/>
    <n v="56125"/>
    <n v="135"/>
    <s v="ModelYCampaign"/>
    <s v="Hashtags Used"/>
    <x v="5"/>
  </r>
  <r>
    <s v="P281"/>
    <s v="YouTube"/>
    <d v="2025-03-22T00:00:00"/>
    <s v="Image"/>
    <s v="Check out our latest image on youtube!"/>
    <n v="3166"/>
    <n v="90"/>
    <n v="341"/>
    <n v="56988"/>
    <n v="56125"/>
    <n v="135"/>
    <s v="ModelYCampaign"/>
    <s v="Hashtags-1"/>
    <x v="2"/>
  </r>
  <r>
    <s v="P281"/>
    <s v="YouTube"/>
    <d v="2025-03-22T00:00:00"/>
    <s v="Image"/>
    <s v="Check out our latest image on youtube!"/>
    <n v="3166"/>
    <n v="90"/>
    <n v="341"/>
    <n v="56988"/>
    <n v="56125"/>
    <n v="135"/>
    <s v="ModelYCampaign"/>
    <s v="Hashtags_2"/>
    <x v="2"/>
  </r>
  <r>
    <s v="P282"/>
    <s v="Instagram"/>
    <d v="2024-10-03T00:00:00"/>
    <s v="Video"/>
    <s v="Check out our latest video on instagram!"/>
    <n v="1488"/>
    <n v="417"/>
    <n v="168"/>
    <n v="19344"/>
    <n v="18395"/>
    <n v="30"/>
    <s v="FSDUpdate"/>
    <s v="Hashtags Used"/>
    <x v="0"/>
  </r>
  <r>
    <s v="P282"/>
    <s v="Instagram"/>
    <d v="2024-10-03T00:00:00"/>
    <s v="Video"/>
    <s v="Check out our latest video on instagram!"/>
    <n v="1488"/>
    <n v="417"/>
    <n v="168"/>
    <n v="19344"/>
    <n v="18395"/>
    <n v="30"/>
    <s v="FSDUpdate"/>
    <s v="Hashtags-1"/>
    <x v="2"/>
  </r>
  <r>
    <s v="P282"/>
    <s v="Instagram"/>
    <d v="2024-10-03T00:00:00"/>
    <s v="Video"/>
    <s v="Check out our latest video on instagram!"/>
    <n v="1488"/>
    <n v="417"/>
    <n v="168"/>
    <n v="19344"/>
    <n v="18395"/>
    <n v="30"/>
    <s v="FSDUpdate"/>
    <s v="Hashtags_2"/>
    <x v="2"/>
  </r>
  <r>
    <s v="P283"/>
    <s v="Twitter"/>
    <d v="2025-05-09T00:00:00"/>
    <s v="Reel"/>
    <s v="Check out our latest reel on twitter!"/>
    <n v="3367"/>
    <n v="302"/>
    <n v="57"/>
    <n v="63973"/>
    <n v="63789"/>
    <n v="157"/>
    <s v="ModelYCampaign"/>
    <s v="Hashtags Used"/>
    <x v="0"/>
  </r>
  <r>
    <s v="P283"/>
    <s v="Twitter"/>
    <d v="2025-05-09T00:00:00"/>
    <s v="Reel"/>
    <s v="Check out our latest reel on twitter!"/>
    <n v="3367"/>
    <n v="302"/>
    <n v="57"/>
    <n v="63973"/>
    <n v="63789"/>
    <n v="157"/>
    <s v="ModelYCampaign"/>
    <s v="Hashtags-1"/>
    <x v="2"/>
  </r>
  <r>
    <s v="P283"/>
    <s v="Twitter"/>
    <d v="2025-05-09T00:00:00"/>
    <s v="Reel"/>
    <s v="Check out our latest reel on twitter!"/>
    <n v="3367"/>
    <n v="302"/>
    <n v="57"/>
    <n v="63973"/>
    <n v="63789"/>
    <n v="157"/>
    <s v="ModelYCampaign"/>
    <s v="Hashtags_2"/>
    <x v="2"/>
  </r>
  <r>
    <s v="P284"/>
    <s v="Twitter"/>
    <d v="2024-09-17T00:00:00"/>
    <s v="Text"/>
    <s v="Check out our latest text on twitter!"/>
    <n v="571"/>
    <n v="190"/>
    <n v="352"/>
    <n v="9707"/>
    <n v="9418"/>
    <n v="231"/>
    <s v="SustainabilityDrive"/>
    <s v="Hashtags Used"/>
    <x v="3"/>
  </r>
  <r>
    <s v="P284"/>
    <s v="Twitter"/>
    <d v="2024-09-17T00:00:00"/>
    <s v="Text"/>
    <s v="Check out our latest text on twitter!"/>
    <n v="571"/>
    <n v="190"/>
    <n v="352"/>
    <n v="9707"/>
    <n v="9418"/>
    <n v="231"/>
    <s v="SustainabilityDrive"/>
    <s v="Hashtags-1"/>
    <x v="2"/>
  </r>
  <r>
    <s v="P284"/>
    <s v="Twitter"/>
    <d v="2024-09-17T00:00:00"/>
    <s v="Text"/>
    <s v="Check out our latest text on twitter!"/>
    <n v="571"/>
    <n v="190"/>
    <n v="352"/>
    <n v="9707"/>
    <n v="9418"/>
    <n v="231"/>
    <s v="SustainabilityDrive"/>
    <s v="Hashtags_2"/>
    <x v="2"/>
  </r>
  <r>
    <s v="P285"/>
    <s v="YouTube"/>
    <d v="2024-07-18T00:00:00"/>
    <s v="Text"/>
    <s v="Check out our latest text on youtube!"/>
    <n v="4021"/>
    <n v="794"/>
    <n v="77"/>
    <n v="36189"/>
    <n v="35505"/>
    <n v="174"/>
    <s v="unknown"/>
    <s v="Hashtags Used"/>
    <x v="5"/>
  </r>
  <r>
    <s v="P285"/>
    <s v="YouTube"/>
    <d v="2024-07-18T00:00:00"/>
    <s v="Text"/>
    <s v="Check out our latest text on youtube!"/>
    <n v="4021"/>
    <n v="794"/>
    <n v="77"/>
    <n v="36189"/>
    <n v="35505"/>
    <n v="174"/>
    <s v="unknown"/>
    <s v="Hashtags-1"/>
    <x v="2"/>
  </r>
  <r>
    <s v="P285"/>
    <s v="YouTube"/>
    <d v="2024-07-18T00:00:00"/>
    <s v="Text"/>
    <s v="Check out our latest text on youtube!"/>
    <n v="4021"/>
    <n v="794"/>
    <n v="77"/>
    <n v="36189"/>
    <n v="35505"/>
    <n v="174"/>
    <s v="unknown"/>
    <s v="Hashtags_2"/>
    <x v="2"/>
  </r>
  <r>
    <s v="P286"/>
    <s v="YouTube"/>
    <d v="2024-09-25T00:00:00"/>
    <s v="Video"/>
    <s v="Check out our latest video on youtube!"/>
    <n v="3389"/>
    <n v="344"/>
    <n v="229"/>
    <n v="20334"/>
    <n v="19443"/>
    <n v="228"/>
    <s v="FSDUpdate"/>
    <s v="Hashtags Used"/>
    <x v="0"/>
  </r>
  <r>
    <s v="P286"/>
    <s v="YouTube"/>
    <d v="2024-09-25T00:00:00"/>
    <s v="Video"/>
    <s v="Check out our latest video on youtube!"/>
    <n v="3389"/>
    <n v="344"/>
    <n v="229"/>
    <n v="20334"/>
    <n v="19443"/>
    <n v="228"/>
    <s v="FSDUpdate"/>
    <s v="Hashtags-1"/>
    <x v="2"/>
  </r>
  <r>
    <s v="P286"/>
    <s v="YouTube"/>
    <d v="2024-09-25T00:00:00"/>
    <s v="Video"/>
    <s v="Check out our latest video on youtube!"/>
    <n v="3389"/>
    <n v="344"/>
    <n v="229"/>
    <n v="20334"/>
    <n v="19443"/>
    <n v="228"/>
    <s v="FSDUpdate"/>
    <s v="Hashtags_2"/>
    <x v="2"/>
  </r>
  <r>
    <s v="P287"/>
    <s v="Instagram"/>
    <d v="2024-08-15T00:00:00"/>
    <s v="Reel"/>
    <s v="Check out our latest reel on instagram!"/>
    <n v="1164"/>
    <n v="616"/>
    <n v="324"/>
    <n v="6984"/>
    <n v="6636"/>
    <n v="82"/>
    <s v="CybertruckLaunch"/>
    <s v="Hashtags Used"/>
    <x v="5"/>
  </r>
  <r>
    <s v="P287"/>
    <s v="Instagram"/>
    <d v="2024-08-15T00:00:00"/>
    <s v="Reel"/>
    <s v="Check out our latest reel on instagram!"/>
    <n v="1164"/>
    <n v="616"/>
    <n v="324"/>
    <n v="6984"/>
    <n v="6636"/>
    <n v="82"/>
    <s v="CybertruckLaunch"/>
    <s v="Hashtags-1"/>
    <x v="2"/>
  </r>
  <r>
    <s v="P287"/>
    <s v="Instagram"/>
    <d v="2024-08-15T00:00:00"/>
    <s v="Reel"/>
    <s v="Check out our latest reel on instagram!"/>
    <n v="1164"/>
    <n v="616"/>
    <n v="324"/>
    <n v="6984"/>
    <n v="6636"/>
    <n v="82"/>
    <s v="CybertruckLaunch"/>
    <s v="Hashtags_2"/>
    <x v="2"/>
  </r>
  <r>
    <s v="P288"/>
    <s v="YouTube"/>
    <d v="2025-04-17T00:00:00"/>
    <s v="Carousel"/>
    <s v="Check out our latest carousel on youtube!"/>
    <n v="4780"/>
    <n v="691"/>
    <n v="380"/>
    <n v="86040"/>
    <n v="85743"/>
    <n v="262"/>
    <s v="FSDUpdate"/>
    <s v="Hashtags Used"/>
    <x v="0"/>
  </r>
  <r>
    <s v="P288"/>
    <s v="YouTube"/>
    <d v="2025-04-17T00:00:00"/>
    <s v="Carousel"/>
    <s v="Check out our latest carousel on youtube!"/>
    <n v="4780"/>
    <n v="691"/>
    <n v="380"/>
    <n v="86040"/>
    <n v="85743"/>
    <n v="262"/>
    <s v="FSDUpdate"/>
    <s v="Hashtags-1"/>
    <x v="2"/>
  </r>
  <r>
    <s v="P288"/>
    <s v="YouTube"/>
    <d v="2025-04-17T00:00:00"/>
    <s v="Carousel"/>
    <s v="Check out our latest carousel on youtube!"/>
    <n v="4780"/>
    <n v="691"/>
    <n v="380"/>
    <n v="86040"/>
    <n v="85743"/>
    <n v="262"/>
    <s v="FSDUpdate"/>
    <s v="Hashtags_2"/>
    <x v="2"/>
  </r>
  <r>
    <s v="P289"/>
    <s v="Facebook"/>
    <d v="2024-11-28T00:00:00"/>
    <s v="Carousel"/>
    <s v="Check out our latest carousel on facebook!"/>
    <n v="2751"/>
    <n v="33"/>
    <n v="430"/>
    <n v="44016"/>
    <n v="43415"/>
    <n v="129"/>
    <s v="unknown"/>
    <s v="Hashtags Used"/>
    <x v="0"/>
  </r>
  <r>
    <s v="P289"/>
    <s v="Facebook"/>
    <d v="2024-11-28T00:00:00"/>
    <s v="Carousel"/>
    <s v="Check out our latest carousel on facebook!"/>
    <n v="2751"/>
    <n v="33"/>
    <n v="430"/>
    <n v="44016"/>
    <n v="43415"/>
    <n v="129"/>
    <s v="unknown"/>
    <s v="Hashtags-1"/>
    <x v="2"/>
  </r>
  <r>
    <s v="P289"/>
    <s v="Facebook"/>
    <d v="2024-11-28T00:00:00"/>
    <s v="Carousel"/>
    <s v="Check out our latest carousel on facebook!"/>
    <n v="2751"/>
    <n v="33"/>
    <n v="430"/>
    <n v="44016"/>
    <n v="43415"/>
    <n v="129"/>
    <s v="unknown"/>
    <s v="Hashtags_2"/>
    <x v="2"/>
  </r>
  <r>
    <s v="P290"/>
    <s v="Instagram"/>
    <d v="2024-12-20T00:00:00"/>
    <s v="Carousel"/>
    <s v="Check out our latest carousel on instagram!"/>
    <n v="2107"/>
    <n v="550"/>
    <n v="349"/>
    <n v="35819"/>
    <n v="35340"/>
    <n v="191"/>
    <s v="SustainabilityDrive"/>
    <s v="Hashtags Used"/>
    <x v="5"/>
  </r>
  <r>
    <s v="P290"/>
    <s v="Instagram"/>
    <d v="2024-12-20T00:00:00"/>
    <s v="Carousel"/>
    <s v="Check out our latest carousel on instagram!"/>
    <n v="2107"/>
    <n v="550"/>
    <n v="349"/>
    <n v="35819"/>
    <n v="35340"/>
    <n v="191"/>
    <s v="SustainabilityDrive"/>
    <s v="Hashtags-1"/>
    <x v="2"/>
  </r>
  <r>
    <s v="P290"/>
    <s v="Instagram"/>
    <d v="2024-12-20T00:00:00"/>
    <s v="Carousel"/>
    <s v="Check out our latest carousel on instagram!"/>
    <n v="2107"/>
    <n v="550"/>
    <n v="349"/>
    <n v="35819"/>
    <n v="35340"/>
    <n v="191"/>
    <s v="SustainabilityDrive"/>
    <s v="Hashtags_2"/>
    <x v="2"/>
  </r>
  <r>
    <s v="P291"/>
    <s v="Facebook"/>
    <d v="2024-11-06T00:00:00"/>
    <s v="Video"/>
    <s v="Check out our latest video on facebook!"/>
    <n v="4663"/>
    <n v="145"/>
    <n v="225"/>
    <n v="69945"/>
    <n v="69596"/>
    <n v="35"/>
    <s v="SustainabilityDrive"/>
    <s v="Hashtags Used"/>
    <x v="5"/>
  </r>
  <r>
    <s v="P291"/>
    <s v="Facebook"/>
    <d v="2024-11-06T00:00:00"/>
    <s v="Video"/>
    <s v="Check out our latest video on facebook!"/>
    <n v="4663"/>
    <n v="145"/>
    <n v="225"/>
    <n v="69945"/>
    <n v="69596"/>
    <n v="35"/>
    <s v="SustainabilityDrive"/>
    <s v="Hashtags-1"/>
    <x v="2"/>
  </r>
  <r>
    <s v="P291"/>
    <s v="Facebook"/>
    <d v="2024-11-06T00:00:00"/>
    <s v="Video"/>
    <s v="Check out our latest video on facebook!"/>
    <n v="4663"/>
    <n v="145"/>
    <n v="225"/>
    <n v="69945"/>
    <n v="69596"/>
    <n v="35"/>
    <s v="SustainabilityDrive"/>
    <s v="Hashtags_2"/>
    <x v="2"/>
  </r>
  <r>
    <s v="P292"/>
    <s v="Facebook"/>
    <d v="2024-11-17T00:00:00"/>
    <s v="Text"/>
    <s v="Check out our latest text on facebook!"/>
    <n v="880"/>
    <n v="297"/>
    <n v="345"/>
    <n v="12320"/>
    <n v="11978"/>
    <n v="238"/>
    <s v="unknown"/>
    <s v="Hashtags Used"/>
    <x v="3"/>
  </r>
  <r>
    <s v="P292"/>
    <s v="Facebook"/>
    <d v="2024-11-17T00:00:00"/>
    <s v="Text"/>
    <s v="Check out our latest text on facebook!"/>
    <n v="880"/>
    <n v="297"/>
    <n v="345"/>
    <n v="12320"/>
    <n v="11978"/>
    <n v="238"/>
    <s v="unknown"/>
    <s v="Hashtags-1"/>
    <x v="1"/>
  </r>
  <r>
    <s v="P292"/>
    <s v="Facebook"/>
    <d v="2024-11-17T00:00:00"/>
    <s v="Text"/>
    <s v="Check out our latest text on facebook!"/>
    <n v="880"/>
    <n v="297"/>
    <n v="345"/>
    <n v="12320"/>
    <n v="11978"/>
    <n v="238"/>
    <s v="unknown"/>
    <s v="Hashtags_2"/>
    <x v="2"/>
  </r>
  <r>
    <s v="P293"/>
    <s v="Facebook"/>
    <d v="2025-05-14T00:00:00"/>
    <s v="Text"/>
    <s v="Check out our latest text on facebook!"/>
    <n v="2634"/>
    <n v="726"/>
    <n v="241"/>
    <n v="28974"/>
    <n v="28102"/>
    <n v="277"/>
    <s v="CybertruckLaunch"/>
    <s v="Hashtags Used"/>
    <x v="5"/>
  </r>
  <r>
    <s v="P293"/>
    <s v="Facebook"/>
    <d v="2025-05-14T00:00:00"/>
    <s v="Text"/>
    <s v="Check out our latest text on facebook!"/>
    <n v="2634"/>
    <n v="726"/>
    <n v="241"/>
    <n v="28974"/>
    <n v="28102"/>
    <n v="277"/>
    <s v="CybertruckLaunch"/>
    <s v="Hashtags-1"/>
    <x v="2"/>
  </r>
  <r>
    <s v="P293"/>
    <s v="Facebook"/>
    <d v="2025-05-14T00:00:00"/>
    <s v="Text"/>
    <s v="Check out our latest text on facebook!"/>
    <n v="2634"/>
    <n v="726"/>
    <n v="241"/>
    <n v="28974"/>
    <n v="28102"/>
    <n v="277"/>
    <s v="CybertruckLaunch"/>
    <s v="Hashtags_2"/>
    <x v="2"/>
  </r>
  <r>
    <s v="P294"/>
    <s v="Facebook"/>
    <d v="2024-06-19T00:00:00"/>
    <s v="Carousel"/>
    <s v="Check out our latest carousel on facebook!"/>
    <n v="4731"/>
    <n v="173"/>
    <n v="276"/>
    <n v="28386"/>
    <n v="28185"/>
    <n v="89"/>
    <s v="FSDUpdate"/>
    <s v="Hashtags Used"/>
    <x v="5"/>
  </r>
  <r>
    <s v="P294"/>
    <s v="Facebook"/>
    <d v="2024-06-19T00:00:00"/>
    <s v="Carousel"/>
    <s v="Check out our latest carousel on facebook!"/>
    <n v="4731"/>
    <n v="173"/>
    <n v="276"/>
    <n v="28386"/>
    <n v="28185"/>
    <n v="89"/>
    <s v="FSDUpdate"/>
    <s v="Hashtags-1"/>
    <x v="2"/>
  </r>
  <r>
    <s v="P294"/>
    <s v="Facebook"/>
    <d v="2024-06-19T00:00:00"/>
    <s v="Carousel"/>
    <s v="Check out our latest carousel on facebook!"/>
    <n v="4731"/>
    <n v="173"/>
    <n v="276"/>
    <n v="28386"/>
    <n v="28185"/>
    <n v="89"/>
    <s v="FSDUpdate"/>
    <s v="Hashtags_2"/>
    <x v="2"/>
  </r>
  <r>
    <s v="P295"/>
    <s v="Twitter"/>
    <d v="2025-05-06T00:00:00"/>
    <s v="Image"/>
    <s v="Check out our latest image on twitter!"/>
    <n v="1952"/>
    <n v="344"/>
    <n v="287"/>
    <n v="15616"/>
    <n v="15403"/>
    <n v="235"/>
    <s v="ModelYCampaign"/>
    <s v="Hashtags Used"/>
    <x v="0"/>
  </r>
  <r>
    <s v="P295"/>
    <s v="Twitter"/>
    <d v="2025-05-06T00:00:00"/>
    <s v="Image"/>
    <s v="Check out our latest image on twitter!"/>
    <n v="1952"/>
    <n v="344"/>
    <n v="287"/>
    <n v="15616"/>
    <n v="15403"/>
    <n v="235"/>
    <s v="ModelYCampaign"/>
    <s v="Hashtags-1"/>
    <x v="3"/>
  </r>
  <r>
    <s v="P295"/>
    <s v="Twitter"/>
    <d v="2025-05-06T00:00:00"/>
    <s v="Image"/>
    <s v="Check out our latest image on twitter!"/>
    <n v="1952"/>
    <n v="344"/>
    <n v="287"/>
    <n v="15616"/>
    <n v="15403"/>
    <n v="235"/>
    <s v="ModelYCampaign"/>
    <s v="Hashtags_2"/>
    <x v="1"/>
  </r>
  <r>
    <s v="P296"/>
    <s v="Twitter"/>
    <d v="2025-02-11T00:00:00"/>
    <s v="Video"/>
    <s v="Check out our latest video on twitter!"/>
    <n v="3440"/>
    <n v="13"/>
    <n v="20"/>
    <n v="58480"/>
    <n v="58146"/>
    <n v="210"/>
    <s v="SustainabilityDrive"/>
    <s v="Hashtags Used"/>
    <x v="3"/>
  </r>
  <r>
    <s v="P296"/>
    <s v="Twitter"/>
    <d v="2025-02-11T00:00:00"/>
    <s v="Video"/>
    <s v="Check out our latest video on twitter!"/>
    <n v="3440"/>
    <n v="13"/>
    <n v="20"/>
    <n v="58480"/>
    <n v="58146"/>
    <n v="210"/>
    <s v="SustainabilityDrive"/>
    <s v="Hashtags-1"/>
    <x v="6"/>
  </r>
  <r>
    <s v="P296"/>
    <s v="Twitter"/>
    <d v="2025-02-11T00:00:00"/>
    <s v="Video"/>
    <s v="Check out our latest video on twitter!"/>
    <n v="3440"/>
    <n v="13"/>
    <n v="20"/>
    <n v="58480"/>
    <n v="58146"/>
    <n v="210"/>
    <s v="SustainabilityDrive"/>
    <s v="Hashtags_2"/>
    <x v="2"/>
  </r>
  <r>
    <s v="P297"/>
    <s v="Twitter"/>
    <d v="2024-12-24T00:00:00"/>
    <s v="Text"/>
    <s v="Check out our latest text on twitter!"/>
    <n v="2166"/>
    <n v="354"/>
    <n v="117"/>
    <n v="10830"/>
    <n v="10245"/>
    <n v="24"/>
    <s v="SustainabilityDrive"/>
    <s v="Hashtags Used"/>
    <x v="5"/>
  </r>
  <r>
    <s v="P297"/>
    <s v="Twitter"/>
    <d v="2024-12-24T00:00:00"/>
    <s v="Text"/>
    <s v="Check out our latest text on twitter!"/>
    <n v="2166"/>
    <n v="354"/>
    <n v="117"/>
    <n v="10830"/>
    <n v="10245"/>
    <n v="24"/>
    <s v="SustainabilityDrive"/>
    <s v="Hashtags-1"/>
    <x v="2"/>
  </r>
  <r>
    <s v="P297"/>
    <s v="Twitter"/>
    <d v="2024-12-24T00:00:00"/>
    <s v="Text"/>
    <s v="Check out our latest text on twitter!"/>
    <n v="2166"/>
    <n v="354"/>
    <n v="117"/>
    <n v="10830"/>
    <n v="10245"/>
    <n v="24"/>
    <s v="SustainabilityDrive"/>
    <s v="Hashtags_2"/>
    <x v="2"/>
  </r>
  <r>
    <s v="P298"/>
    <s v="Facebook"/>
    <d v="2024-10-24T00:00:00"/>
    <s v="Image"/>
    <s v="Check out our latest image on facebook!"/>
    <n v="4303"/>
    <n v="451"/>
    <n v="286"/>
    <n v="86060"/>
    <n v="85823"/>
    <n v="14"/>
    <s v="FSDUpdate"/>
    <s v="Hashtags Used"/>
    <x v="3"/>
  </r>
  <r>
    <s v="P298"/>
    <s v="Facebook"/>
    <d v="2024-10-24T00:00:00"/>
    <s v="Image"/>
    <s v="Check out our latest image on facebook!"/>
    <n v="4303"/>
    <n v="451"/>
    <n v="286"/>
    <n v="86060"/>
    <n v="85823"/>
    <n v="14"/>
    <s v="FSDUpdate"/>
    <s v="Hashtags-1"/>
    <x v="2"/>
  </r>
  <r>
    <s v="P298"/>
    <s v="Facebook"/>
    <d v="2024-10-24T00:00:00"/>
    <s v="Image"/>
    <s v="Check out our latest image on facebook!"/>
    <n v="4303"/>
    <n v="451"/>
    <n v="286"/>
    <n v="86060"/>
    <n v="85823"/>
    <n v="14"/>
    <s v="FSDUpdate"/>
    <s v="Hashtags_2"/>
    <x v="2"/>
  </r>
  <r>
    <s v="P299"/>
    <s v="Facebook"/>
    <d v="2024-08-26T00:00:00"/>
    <s v="Image"/>
    <s v="Check out our latest image on facebook!"/>
    <n v="2581"/>
    <n v="517"/>
    <n v="117"/>
    <n v="23229"/>
    <n v="22331"/>
    <n v="70"/>
    <s v="FSDUpdate"/>
    <s v="Hashtags Used"/>
    <x v="0"/>
  </r>
  <r>
    <s v="P299"/>
    <s v="Facebook"/>
    <d v="2024-08-26T00:00:00"/>
    <s v="Image"/>
    <s v="Check out our latest image on facebook!"/>
    <n v="2581"/>
    <n v="517"/>
    <n v="117"/>
    <n v="23229"/>
    <n v="22331"/>
    <n v="70"/>
    <s v="FSDUpdate"/>
    <s v="Hashtags-1"/>
    <x v="2"/>
  </r>
  <r>
    <s v="P299"/>
    <s v="Facebook"/>
    <d v="2024-08-26T00:00:00"/>
    <s v="Image"/>
    <s v="Check out our latest image on facebook!"/>
    <n v="2581"/>
    <n v="517"/>
    <n v="117"/>
    <n v="23229"/>
    <n v="22331"/>
    <n v="70"/>
    <s v="FSDUpdate"/>
    <s v="Hashtags_2"/>
    <x v="2"/>
  </r>
  <r>
    <s v="P300"/>
    <s v="Twitter"/>
    <d v="2024-08-31T00:00:00"/>
    <s v="Carousel"/>
    <s v="Check out our latest carousel on twitter!"/>
    <n v="4494"/>
    <n v="717"/>
    <n v="45"/>
    <n v="62916"/>
    <n v="62688"/>
    <n v="191"/>
    <s v="CybertruckLaunch"/>
    <s v="Hashtags Used"/>
    <x v="3"/>
  </r>
  <r>
    <s v="P300"/>
    <s v="Twitter"/>
    <d v="2024-08-31T00:00:00"/>
    <s v="Carousel"/>
    <s v="Check out our latest carousel on twitter!"/>
    <n v="4494"/>
    <n v="717"/>
    <n v="45"/>
    <n v="62916"/>
    <n v="62688"/>
    <n v="191"/>
    <s v="CybertruckLaunch"/>
    <s v="Hashtags-1"/>
    <x v="5"/>
  </r>
  <r>
    <s v="P300"/>
    <s v="Twitter"/>
    <d v="2024-08-31T00:00:00"/>
    <s v="Carousel"/>
    <s v="Check out our latest carousel on twitter!"/>
    <n v="4494"/>
    <n v="717"/>
    <n v="45"/>
    <n v="62916"/>
    <n v="62688"/>
    <n v="191"/>
    <s v="CybertruckLaunch"/>
    <s v="Hashtags_2"/>
    <x v="4"/>
  </r>
  <r>
    <m/>
    <m/>
    <m/>
    <m/>
    <m/>
    <m/>
    <m/>
    <m/>
    <m/>
    <m/>
    <m/>
    <m/>
    <m/>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P001"/>
    <x v="0"/>
    <d v="2024-12-23T00:00:00"/>
    <s v="Reel"/>
    <s v="Check out our latest reel on twitter!"/>
    <n v="1461"/>
    <n v="184"/>
    <n v="344"/>
    <n v="21915"/>
    <n v="21675"/>
    <n v="15"/>
    <s v="#FutureOfDriving"/>
    <s v="#AnytimeIsTeslaTime"/>
    <s v="no data"/>
    <s v="CybertruckLaunch"/>
    <n v="9.0759753593429152E-2"/>
    <n v="1989"/>
  </r>
  <r>
    <s v="P002"/>
    <x v="0"/>
    <d v="2025-04-03T00:00:00"/>
    <s v="Text"/>
    <s v="Check out our latest text on twitter!"/>
    <n v="4054"/>
    <n v="389"/>
    <n v="493"/>
    <n v="64864"/>
    <n v="64383"/>
    <n v="117"/>
    <s v="#TeslaCoInnovation"/>
    <s v="#BetterWithTesla"/>
    <s v="no data"/>
    <s v="ModelYCampaign"/>
    <n v="7.6097681302417369E-2"/>
    <n v="4936"/>
  </r>
  <r>
    <s v="P003"/>
    <x v="1"/>
    <d v="2025-05-12T00:00:00"/>
    <s v="Reel"/>
    <s v="Check out our latest reel on youtube!"/>
    <n v="2795"/>
    <n v="105"/>
    <n v="49"/>
    <n v="53105"/>
    <n v="52307"/>
    <n v="204"/>
    <s v="#TeslaCoInnovation"/>
    <s v="no data"/>
    <s v="no data"/>
    <s v="FSDUpdate"/>
    <n v="5.5531494209584788E-2"/>
    <n v="2949"/>
  </r>
  <r>
    <s v="P004"/>
    <x v="2"/>
    <d v="2024-08-12T00:00:00"/>
    <s v="Story"/>
    <s v="Check out our latest story on instagram!"/>
    <n v="2404"/>
    <n v="363"/>
    <n v="138"/>
    <n v="19232"/>
    <n v="18636"/>
    <n v="128"/>
    <s v="#EVRevolution"/>
    <s v="no data"/>
    <s v="no data"/>
    <s v="SustainabilityDrive"/>
    <n v="0.15105033277870217"/>
    <n v="2905"/>
  </r>
  <r>
    <s v="P005"/>
    <x v="1"/>
    <d v="2024-06-26T00:00:00"/>
    <s v="Reel"/>
    <s v="Check out our latest reel on youtube!"/>
    <n v="3557"/>
    <n v="687"/>
    <n v="424"/>
    <n v="71140"/>
    <n v="70701"/>
    <n v="224"/>
    <s v="#EVRevolution"/>
    <s v="#TeslaCoInnovation"/>
    <s v="no data"/>
    <s v="CybertruckLaunch"/>
    <n v="6.5617093055946027E-2"/>
    <n v="4668"/>
  </r>
  <r>
    <s v="P006"/>
    <x v="3"/>
    <d v="2024-10-31T00:00:00"/>
    <s v="Carousel"/>
    <s v="Check out our latest carousel on facebook!"/>
    <n v="2945"/>
    <n v="930"/>
    <n v="355"/>
    <n v="23560"/>
    <n v="23275"/>
    <n v="256"/>
    <s v="#TeslaCoInnovation"/>
    <s v="no data"/>
    <s v="no data"/>
    <s v="ModelYCampaign"/>
    <n v="0.17954159592529711"/>
    <n v="4230"/>
  </r>
  <r>
    <s v="P007"/>
    <x v="0"/>
    <d v="2024-06-24T00:00:00"/>
    <s v="Carousel"/>
    <s v="Check out our latest carousel on twitter!"/>
    <n v="3860"/>
    <n v="201"/>
    <n v="279"/>
    <n v="61760"/>
    <n v="61660"/>
    <n v="235"/>
    <s v="#TeslaCoInnovation"/>
    <s v="no data"/>
    <s v="no data"/>
    <s v="ModelYCampaign"/>
    <n v="7.0272020725388601E-2"/>
    <n v="4340"/>
  </r>
  <r>
    <s v="P008"/>
    <x v="1"/>
    <d v="2024-07-13T00:00:00"/>
    <s v="Image"/>
    <s v="Check out our latest image on youtube!"/>
    <n v="3929"/>
    <n v="262"/>
    <n v="278"/>
    <n v="43219"/>
    <n v="42841"/>
    <n v="39"/>
    <s v="#EVRevolution"/>
    <s v="no data"/>
    <s v="no data"/>
    <s v="SustainabilityDrive"/>
    <n v="0.10340359564080613"/>
    <n v="4469"/>
  </r>
  <r>
    <s v="P009"/>
    <x v="3"/>
    <d v="2024-08-30T00:00:00"/>
    <s v="Text"/>
    <s v="Check out our latest text on facebook!"/>
    <n v="3784"/>
    <n v="808"/>
    <n v="404"/>
    <n v="56760"/>
    <n v="56343"/>
    <n v="131"/>
    <s v="#TeslaCoInnovation"/>
    <s v="no data"/>
    <s v="no data"/>
    <s v="ModelYCampaign"/>
    <n v="8.8019732205778717E-2"/>
    <n v="4996"/>
  </r>
  <r>
    <s v="P010"/>
    <x v="3"/>
    <d v="2025-03-11T00:00:00"/>
    <s v="Image"/>
    <s v="Check out our latest image on facebook!"/>
    <n v="4241"/>
    <n v="902"/>
    <n v="47"/>
    <n v="72097"/>
    <n v="71598"/>
    <n v="167"/>
    <s v="#TeslaCoInnovation"/>
    <s v="no data"/>
    <s v="no data"/>
    <s v="ModelYCampaign"/>
    <n v="7.198635172059864E-2"/>
    <n v="5190"/>
  </r>
  <r>
    <s v="P011"/>
    <x v="2"/>
    <d v="2025-02-02T00:00:00"/>
    <s v="Story"/>
    <s v="Check out our latest story on instagram!"/>
    <n v="1792"/>
    <n v="614"/>
    <n v="497"/>
    <n v="25088"/>
    <n v="24675"/>
    <n v="65"/>
    <s v="#FutureOfDriving"/>
    <s v="no data"/>
    <s v="no data"/>
    <s v="SustainabilityDrive"/>
    <n v="0.11571269132653061"/>
    <n v="2903"/>
  </r>
  <r>
    <s v="P012"/>
    <x v="3"/>
    <d v="2024-07-21T00:00:00"/>
    <s v="Reel"/>
    <s v="Check out our latest reel on facebook!"/>
    <n v="1946"/>
    <n v="686"/>
    <n v="377"/>
    <n v="23352"/>
    <n v="22982"/>
    <n v="213"/>
    <s v="#FutureOfDriving"/>
    <s v="no data"/>
    <s v="no data"/>
    <s v="FSDUpdate"/>
    <n v="0.12885405960945528"/>
    <n v="3009"/>
  </r>
  <r>
    <s v="P013"/>
    <x v="1"/>
    <d v="2024-11-18T00:00:00"/>
    <s v="Carousel"/>
    <s v="Check out our latest carousel on youtube!"/>
    <n v="1171"/>
    <n v="286"/>
    <n v="231"/>
    <n v="22249"/>
    <n v="21282"/>
    <n v="114"/>
    <s v="#EVRevolution"/>
    <s v="no data"/>
    <s v="no data"/>
    <s v="CybertruckLaunch"/>
    <n v="7.5868578363072495E-2"/>
    <n v="1688"/>
  </r>
  <r>
    <s v="P014"/>
    <x v="3"/>
    <d v="2025-02-16T00:00:00"/>
    <s v="Story"/>
    <s v="Check out our latest story on facebook!"/>
    <n v="4242"/>
    <n v="555"/>
    <n v="131"/>
    <n v="33936"/>
    <n v="33802"/>
    <n v="265"/>
    <s v="#FutureOfDriving"/>
    <s v="no data"/>
    <s v="no data"/>
    <s v="unknown"/>
    <n v="0.14521452145214522"/>
    <n v="4928"/>
  </r>
  <r>
    <s v="P015"/>
    <x v="3"/>
    <d v="2024-10-24T00:00:00"/>
    <s v="Video"/>
    <s v="Check out our latest video on facebook!"/>
    <n v="3888"/>
    <n v="604"/>
    <n v="128"/>
    <n v="77760"/>
    <n v="77167"/>
    <n v="20"/>
    <s v="#FutureOfDriving"/>
    <s v="no data"/>
    <s v="no data"/>
    <s v="CybertruckLaunch"/>
    <n v="5.941358024691358E-2"/>
    <n v="4620"/>
  </r>
  <r>
    <s v="P016"/>
    <x v="3"/>
    <d v="2024-08-26T00:00:00"/>
    <s v="Text"/>
    <s v="Check out our latest text on facebook!"/>
    <n v="3452"/>
    <n v="377"/>
    <n v="360"/>
    <n v="55232"/>
    <n v="55075"/>
    <n v="87"/>
    <s v="#FutureOfDriving"/>
    <s v="no data"/>
    <s v="no data"/>
    <s v="FSDUpdate"/>
    <n v="7.5843713789107758E-2"/>
    <n v="4189"/>
  </r>
  <r>
    <s v="P017"/>
    <x v="3"/>
    <d v="2025-05-05T00:00:00"/>
    <s v="Text"/>
    <s v="Check out our latest text on facebook!"/>
    <n v="4441"/>
    <n v="511"/>
    <n v="70"/>
    <n v="53292"/>
    <n v="53082"/>
    <n v="159"/>
    <s v="#EVRevolution"/>
    <s v="no data"/>
    <s v="no data"/>
    <s v="SustainabilityDrive"/>
    <n v="9.4235532537716729E-2"/>
    <n v="5022"/>
  </r>
  <r>
    <s v="P018"/>
    <x v="2"/>
    <d v="2024-08-19T00:00:00"/>
    <s v="Reel"/>
    <s v="Check out our latest reel on instagram!"/>
    <n v="3000"/>
    <n v="382"/>
    <n v="325"/>
    <n v="36000"/>
    <n v="35819"/>
    <n v="19"/>
    <s v="#FutureOfDriving"/>
    <s v="no data"/>
    <s v="no data"/>
    <s v="CybertruckLaunch"/>
    <n v="0.10297222222222223"/>
    <n v="3707"/>
  </r>
  <r>
    <s v="P019"/>
    <x v="2"/>
    <d v="2024-06-23T00:00:00"/>
    <s v="Video"/>
    <s v="Check out our latest video on instagram!"/>
    <n v="1071"/>
    <n v="519"/>
    <n v="22"/>
    <n v="16065"/>
    <n v="15865"/>
    <n v="103"/>
    <s v="#TeslaCoInnovation"/>
    <s v="no data"/>
    <s v="no data"/>
    <s v="SustainabilityDrive"/>
    <n v="0.10034235916588857"/>
    <n v="1612"/>
  </r>
  <r>
    <s v="P020"/>
    <x v="2"/>
    <d v="2024-09-09T00:00:00"/>
    <s v="Carousel"/>
    <s v="Check out our latest carousel on instagram!"/>
    <n v="4054"/>
    <n v="488"/>
    <n v="373"/>
    <n v="77026"/>
    <n v="76881"/>
    <n v="25"/>
    <s v="#TeslaCoInnovation"/>
    <s v="no data"/>
    <s v="no data"/>
    <s v="CybertruckLaunch"/>
    <n v="6.3809622724794221E-2"/>
    <n v="4915"/>
  </r>
  <r>
    <s v="P021"/>
    <x v="2"/>
    <d v="2025-01-04T00:00:00"/>
    <s v="Reel"/>
    <s v="Check out our latest reel on instagram!"/>
    <n v="4838"/>
    <n v="640"/>
    <n v="128"/>
    <n v="72570"/>
    <n v="72396"/>
    <n v="83"/>
    <s v="#FutureOfDriving"/>
    <s v="no data"/>
    <s v="no data"/>
    <s v="SustainabilityDrive"/>
    <n v="7.7249552156538517E-2"/>
    <n v="5606"/>
  </r>
  <r>
    <s v="P022"/>
    <x v="3"/>
    <d v="2025-02-27T00:00:00"/>
    <s v="Text"/>
    <s v="Check out our latest text on facebook!"/>
    <n v="1570"/>
    <n v="187"/>
    <n v="260"/>
    <n v="25120"/>
    <n v="24613"/>
    <n v="133"/>
    <s v="#TeslaCoInnovation"/>
    <s v="no data"/>
    <s v="no data"/>
    <s v="SustainabilityDrive"/>
    <n v="8.0294585987261149E-2"/>
    <n v="2017"/>
  </r>
  <r>
    <s v="P023"/>
    <x v="3"/>
    <d v="2024-11-06T00:00:00"/>
    <s v="Video"/>
    <s v="Check out our latest video on facebook!"/>
    <n v="1606"/>
    <n v="547"/>
    <n v="316"/>
    <n v="32120"/>
    <n v="31736"/>
    <n v="225"/>
    <s v="#TeslaCoInnovation"/>
    <s v="#AnytimeIsTeslaTime"/>
    <s v="no data"/>
    <s v="ModelYCampaign"/>
    <n v="7.6867995018679955E-2"/>
    <n v="2469"/>
  </r>
  <r>
    <s v="P024"/>
    <x v="3"/>
    <d v="2025-01-23T00:00:00"/>
    <s v="Video"/>
    <s v="Check out our latest video on facebook!"/>
    <n v="3961"/>
    <n v="761"/>
    <n v="131"/>
    <n v="67337"/>
    <n v="66615"/>
    <n v="161"/>
    <s v="#FutureOfDriving"/>
    <s v="no data"/>
    <s v="no data"/>
    <s v="FSDUpdate"/>
    <n v="7.2070332803659209E-2"/>
    <n v="4853"/>
  </r>
  <r>
    <s v="P025"/>
    <x v="0"/>
    <d v="2025-04-10T00:00:00"/>
    <s v="Carousel"/>
    <s v="Check out our latest carousel on twitter!"/>
    <n v="3128"/>
    <n v="211"/>
    <n v="197"/>
    <n v="59432"/>
    <n v="59182"/>
    <n v="238"/>
    <s v="#EVRevolution"/>
    <s v="no data"/>
    <s v="no data"/>
    <s v="unknown"/>
    <n v="5.9496567505720827E-2"/>
    <n v="3536"/>
  </r>
  <r>
    <s v="P026"/>
    <x v="1"/>
    <d v="2025-04-05T00:00:00"/>
    <s v="Reel"/>
    <s v="Check out our latest reel on youtube!"/>
    <n v="3009"/>
    <n v="413"/>
    <n v="358"/>
    <n v="42126"/>
    <n v="41309"/>
    <n v="211"/>
    <s v="#FutureOfDriving"/>
    <s v="no data"/>
    <s v="no data"/>
    <s v="ModelYCampaign"/>
    <n v="8.9730807577268201E-2"/>
    <n v="3780"/>
  </r>
  <r>
    <s v="P027"/>
    <x v="1"/>
    <d v="2024-09-17T00:00:00"/>
    <s v="Text"/>
    <s v="Check out our latest text on youtube!"/>
    <n v="2076"/>
    <n v="195"/>
    <n v="104"/>
    <n v="33216"/>
    <n v="32244"/>
    <n v="51"/>
    <s v="#FutureOfDriving"/>
    <s v="no data"/>
    <s v="no data"/>
    <s v="SustainabilityDrive"/>
    <n v="7.1501685934489398E-2"/>
    <n v="2375"/>
  </r>
  <r>
    <s v="P028"/>
    <x v="2"/>
    <d v="2025-03-04T00:00:00"/>
    <s v="Video"/>
    <s v="Check out our latest video on instagram!"/>
    <n v="432"/>
    <n v="624"/>
    <n v="123"/>
    <n v="6912"/>
    <n v="6259"/>
    <n v="79"/>
    <s v="#FutureOfDriving"/>
    <s v="no data"/>
    <s v="no data"/>
    <s v="SustainabilityDrive"/>
    <n v="0.17057291666666666"/>
    <n v="1179"/>
  </r>
  <r>
    <s v="P029"/>
    <x v="2"/>
    <d v="2025-01-31T00:00:00"/>
    <s v="Carousel"/>
    <s v="Check out our latest carousel on instagram!"/>
    <n v="2566"/>
    <n v="118"/>
    <n v="37"/>
    <n v="12830"/>
    <n v="12264"/>
    <n v="221"/>
    <s v="#FutureOfDriving"/>
    <s v="no data"/>
    <s v="no data"/>
    <s v="FSDUpdate"/>
    <n v="0.21208106001558846"/>
    <n v="2721"/>
  </r>
  <r>
    <s v="P030"/>
    <x v="2"/>
    <d v="2025-02-25T00:00:00"/>
    <s v="Video"/>
    <s v="Check out our latest video on instagram!"/>
    <n v="3095"/>
    <n v="39"/>
    <n v="78"/>
    <n v="55710"/>
    <n v="54808"/>
    <n v="93"/>
    <s v="#EVRevolution"/>
    <s v="no data"/>
    <s v="no data"/>
    <s v="unknown"/>
    <n v="5.7655717106444085E-2"/>
    <n v="3212"/>
  </r>
  <r>
    <s v="P031"/>
    <x v="2"/>
    <d v="2024-12-16T00:00:00"/>
    <s v="Text"/>
    <s v="Check out our latest text on instagram!"/>
    <n v="438"/>
    <n v="153"/>
    <n v="275"/>
    <n v="3066"/>
    <n v="2701"/>
    <n v="282"/>
    <s v="#TeslaCoInnovation"/>
    <s v="no data"/>
    <s v="no data"/>
    <s v="ModelYCampaign"/>
    <n v="0.28245270711024134"/>
    <n v="866"/>
  </r>
  <r>
    <s v="P032"/>
    <x v="0"/>
    <d v="2024-07-31T00:00:00"/>
    <s v="Carousel"/>
    <s v="Check out our latest carousel on twitter!"/>
    <n v="2278"/>
    <n v="10"/>
    <n v="321"/>
    <n v="13668"/>
    <n v="12676"/>
    <n v="275"/>
    <s v="#EVRevolution"/>
    <s v="no data"/>
    <s v="no data"/>
    <s v="CybertruckLaunch"/>
    <n v="0.19088381621305239"/>
    <n v="2609"/>
  </r>
  <r>
    <s v="P033"/>
    <x v="3"/>
    <d v="2024-08-21T00:00:00"/>
    <s v="Image"/>
    <s v="Check out our latest image on facebook!"/>
    <n v="1407"/>
    <n v="400"/>
    <n v="351"/>
    <n v="16884"/>
    <n v="15954"/>
    <n v="113"/>
    <s v="#TeslaCoInnovation"/>
    <s v="no data"/>
    <s v="no data"/>
    <s v="CybertruckLaunch"/>
    <n v="0.12781331438047855"/>
    <n v="2158"/>
  </r>
  <r>
    <s v="P034"/>
    <x v="3"/>
    <d v="2025-03-26T00:00:00"/>
    <s v="Text"/>
    <s v="Check out our latest text on facebook!"/>
    <n v="1652"/>
    <n v="89"/>
    <n v="357"/>
    <n v="29736"/>
    <n v="28771"/>
    <n v="215"/>
    <s v="#TeslaCoInnovation"/>
    <s v="no data"/>
    <s v="no data"/>
    <s v="FSDUpdate"/>
    <n v="7.055421038471886E-2"/>
    <n v="2098"/>
  </r>
  <r>
    <s v="P035"/>
    <x v="2"/>
    <d v="2024-11-30T00:00:00"/>
    <s v="Video"/>
    <s v="Check out our latest video on instagram!"/>
    <n v="3775"/>
    <n v="16"/>
    <n v="239"/>
    <n v="33975"/>
    <n v="33310"/>
    <n v="271"/>
    <s v="#FutureOfDriving"/>
    <s v="no data"/>
    <s v="no data"/>
    <s v="ModelYCampaign"/>
    <n v="0.11861662987490802"/>
    <n v="4030"/>
  </r>
  <r>
    <s v="P036"/>
    <x v="2"/>
    <d v="2025-04-19T00:00:00"/>
    <s v="Story"/>
    <s v="Check out our latest story on instagram!"/>
    <n v="4518"/>
    <n v="285"/>
    <n v="383"/>
    <n v="67770"/>
    <n v="67621"/>
    <n v="31"/>
    <s v="#EVRevolution"/>
    <s v="no data"/>
    <s v="no data"/>
    <s v="ModelYCampaign"/>
    <n v="7.6523535487678915E-2"/>
    <n v="5186"/>
  </r>
  <r>
    <s v="P037"/>
    <x v="3"/>
    <d v="2025-01-06T00:00:00"/>
    <s v="Carousel"/>
    <s v="Check out our latest carousel on facebook!"/>
    <n v="3024"/>
    <n v="925"/>
    <n v="350"/>
    <n v="24192"/>
    <n v="23518"/>
    <n v="36"/>
    <s v="#EVRevolution"/>
    <s v="no data"/>
    <s v="no data"/>
    <s v="ModelYCampaign"/>
    <n v="0.17770337301587302"/>
    <n v="4299"/>
  </r>
  <r>
    <s v="P038"/>
    <x v="1"/>
    <d v="2025-02-17T00:00:00"/>
    <s v="Reel"/>
    <s v="Check out our latest reel on youtube!"/>
    <n v="3138"/>
    <n v="123"/>
    <n v="291"/>
    <n v="28242"/>
    <n v="27550"/>
    <n v="87"/>
    <s v="#TeslaCoInnovation"/>
    <s v="no data"/>
    <s v="no data"/>
    <s v="SustainabilityDrive"/>
    <n v="0.12577012959422137"/>
    <n v="3552"/>
  </r>
  <r>
    <s v="P039"/>
    <x v="3"/>
    <d v="2024-11-25T00:00:00"/>
    <s v="Image"/>
    <s v="Check out our latest image on facebook!"/>
    <n v="3564"/>
    <n v="629"/>
    <n v="177"/>
    <n v="60588"/>
    <n v="59627"/>
    <n v="92"/>
    <s v="#TeslaCoInnovation"/>
    <s v="no data"/>
    <s v="no data"/>
    <s v="unknown"/>
    <n v="7.2126493695121141E-2"/>
    <n v="4370"/>
  </r>
  <r>
    <s v="P040"/>
    <x v="0"/>
    <d v="2025-03-07T00:00:00"/>
    <s v="Image"/>
    <s v="Check out our latest image on twitter!"/>
    <n v="4750"/>
    <n v="151"/>
    <n v="415"/>
    <n v="38000"/>
    <n v="37792"/>
    <n v="299"/>
    <s v="#EVRevolution"/>
    <s v="no data"/>
    <s v="no data"/>
    <s v="SustainabilityDrive"/>
    <n v="0.13989473684210527"/>
    <n v="5316"/>
  </r>
  <r>
    <s v="P041"/>
    <x v="2"/>
    <d v="2025-03-08T00:00:00"/>
    <s v="Reel"/>
    <s v="Check out our latest reel on instagram!"/>
    <n v="456"/>
    <n v="629"/>
    <n v="428"/>
    <n v="8208"/>
    <n v="7377"/>
    <n v="205"/>
    <s v="#FutureOfDriving"/>
    <s v="no data"/>
    <s v="no data"/>
    <s v="SustainabilityDrive"/>
    <n v="0.18433235867446393"/>
    <n v="1513"/>
  </r>
  <r>
    <s v="P042"/>
    <x v="1"/>
    <d v="2025-03-05T00:00:00"/>
    <s v="Reel"/>
    <s v="Check out our latest reel on youtube!"/>
    <n v="1543"/>
    <n v="820"/>
    <n v="333"/>
    <n v="12344"/>
    <n v="11496"/>
    <n v="241"/>
    <s v="#EVRevolution"/>
    <s v="no data"/>
    <s v="no data"/>
    <s v="unknown"/>
    <n v="0.21840570317563188"/>
    <n v="2696"/>
  </r>
  <r>
    <s v="P043"/>
    <x v="2"/>
    <d v="2024-12-14T00:00:00"/>
    <s v="Carousel"/>
    <s v="Check out our latest carousel on instagram!"/>
    <n v="2174"/>
    <n v="658"/>
    <n v="15"/>
    <n v="13044"/>
    <n v="12206"/>
    <n v="137"/>
    <s v="#TeslaCoInnovation"/>
    <s v="no data"/>
    <s v="no data"/>
    <s v="FSDUpdate"/>
    <n v="0.21826126954921804"/>
    <n v="2847"/>
  </r>
  <r>
    <s v="P044"/>
    <x v="0"/>
    <d v="2025-03-02T00:00:00"/>
    <s v="Image"/>
    <s v="Check out our latest image on twitter!"/>
    <n v="2358"/>
    <n v="784"/>
    <n v="344"/>
    <n v="35370"/>
    <n v="34475"/>
    <n v="216"/>
    <s v="#TeslaCoInnovation"/>
    <s v="no data"/>
    <s v="no data"/>
    <s v="unknown"/>
    <n v="9.8558100084817649E-2"/>
    <n v="3486"/>
  </r>
  <r>
    <s v="P045"/>
    <x v="3"/>
    <d v="2024-11-01T00:00:00"/>
    <s v="Video"/>
    <s v="Check out our latest video on facebook!"/>
    <n v="3371"/>
    <n v="106"/>
    <n v="327"/>
    <n v="50565"/>
    <n v="49816"/>
    <n v="176"/>
    <s v="#FutureOfDriving"/>
    <s v="no data"/>
    <s v="no data"/>
    <s v="CybertruckLaunch"/>
    <n v="7.5229902106199939E-2"/>
    <n v="3804"/>
  </r>
  <r>
    <s v="P046"/>
    <x v="0"/>
    <d v="2025-05-02T00:00:00"/>
    <s v="Video"/>
    <s v="Check out our latest video on twitter!"/>
    <n v="1108"/>
    <n v="177"/>
    <n v="212"/>
    <n v="8864"/>
    <n v="8710"/>
    <n v="97"/>
    <s v="#TeslaCoInnovation"/>
    <s v="no data"/>
    <s v="no data"/>
    <s v="SustainabilityDrive"/>
    <n v="0.16888537906137185"/>
    <n v="1497"/>
  </r>
  <r>
    <s v="P047"/>
    <x v="0"/>
    <d v="2025-02-24T00:00:00"/>
    <s v="Carousel"/>
    <s v="Check out our latest carousel on twitter!"/>
    <n v="2704"/>
    <n v="752"/>
    <n v="153"/>
    <n v="21632"/>
    <n v="20792"/>
    <n v="127"/>
    <s v="#FutureOfDriving"/>
    <s v="no data"/>
    <s v="no data"/>
    <s v="unknown"/>
    <n v="0.16683616863905326"/>
    <n v="3609"/>
  </r>
  <r>
    <s v="P048"/>
    <x v="0"/>
    <d v="2025-03-11T00:00:00"/>
    <s v="Story"/>
    <s v="Check out our latest story on twitter!"/>
    <n v="1950"/>
    <n v="295"/>
    <n v="478"/>
    <n v="37050"/>
    <n v="36272"/>
    <n v="119"/>
    <s v="#TeslaCoInnovation"/>
    <s v="no data"/>
    <s v="no data"/>
    <s v="unknown"/>
    <n v="7.349527665317139E-2"/>
    <n v="2723"/>
  </r>
  <r>
    <s v="P049"/>
    <x v="0"/>
    <d v="2024-06-10T00:00:00"/>
    <s v="Story"/>
    <s v="Check out our latest story on twitter!"/>
    <n v="2164"/>
    <n v="549"/>
    <n v="274"/>
    <n v="28132"/>
    <n v="27361"/>
    <n v="177"/>
    <s v="#TeslaCoInnovation"/>
    <s v="no data"/>
    <s v="no data"/>
    <s v="SustainabilityDrive"/>
    <n v="0.10617801791554102"/>
    <n v="2987"/>
  </r>
  <r>
    <s v="P050"/>
    <x v="1"/>
    <d v="2024-07-03T00:00:00"/>
    <s v="Story"/>
    <s v="Check out our latest story on youtube!"/>
    <n v="2754"/>
    <n v="130"/>
    <n v="90"/>
    <n v="22032"/>
    <n v="21288"/>
    <n v="112"/>
    <s v="#TeslaCoInnovation"/>
    <s v="no data"/>
    <s v="no data"/>
    <s v="FSDUpdate"/>
    <n v="0.13498547567175018"/>
    <n v="2974"/>
  </r>
  <r>
    <s v="P051"/>
    <x v="3"/>
    <d v="2024-06-13T00:00:00"/>
    <s v="Carousel"/>
    <s v="Check out our latest carousel on facebook!"/>
    <n v="2200"/>
    <n v="504"/>
    <n v="239"/>
    <n v="37400"/>
    <n v="36938"/>
    <n v="225"/>
    <s v="#FutureOfDriving"/>
    <s v="no data"/>
    <s v="no data"/>
    <s v="ModelYCampaign"/>
    <n v="7.8689839572192513E-2"/>
    <n v="2943"/>
  </r>
  <r>
    <s v="P052"/>
    <x v="3"/>
    <d v="2025-01-03T00:00:00"/>
    <s v="Image"/>
    <s v="Check out our latest image on facebook!"/>
    <n v="947"/>
    <n v="338"/>
    <n v="350"/>
    <n v="10417"/>
    <n v="9730"/>
    <n v="34"/>
    <s v="#TeslaCoInnovation"/>
    <s v="no data"/>
    <s v="no data"/>
    <s v="SustainabilityDrive"/>
    <n v="0.1569549774407219"/>
    <n v="1635"/>
  </r>
  <r>
    <s v="P053"/>
    <x v="1"/>
    <d v="2025-02-24T00:00:00"/>
    <s v="Carousel"/>
    <s v="Check out our latest carousel on youtube!"/>
    <n v="804"/>
    <n v="639"/>
    <n v="43"/>
    <n v="4020"/>
    <n v="3144"/>
    <n v="11"/>
    <s v="#EVRevolution"/>
    <s v="#BetterWithTesla"/>
    <s v="no data"/>
    <s v="unknown"/>
    <n v="0.36965174129353234"/>
    <n v="1486"/>
  </r>
  <r>
    <s v="P054"/>
    <x v="1"/>
    <d v="2025-03-13T00:00:00"/>
    <s v="Carousel"/>
    <s v="Check out our latest carousel on youtube!"/>
    <n v="1686"/>
    <n v="904"/>
    <n v="472"/>
    <n v="18546"/>
    <n v="18171"/>
    <n v="52"/>
    <s v="#FutureOfDriving"/>
    <s v="no data"/>
    <s v="no data"/>
    <s v="ModelYCampaign"/>
    <n v="0.16510298716704411"/>
    <n v="3062"/>
  </r>
  <r>
    <s v="P055"/>
    <x v="3"/>
    <d v="2024-06-17T00:00:00"/>
    <s v="Image"/>
    <s v="Check out our latest image on facebook!"/>
    <n v="1226"/>
    <n v="119"/>
    <n v="7"/>
    <n v="14712"/>
    <n v="14049"/>
    <n v="123"/>
    <s v="#EVRevolution"/>
    <s v="no data"/>
    <s v="no data"/>
    <s v="SustainabilityDrive"/>
    <n v="9.1897770527460579E-2"/>
    <n v="1352"/>
  </r>
  <r>
    <s v="P056"/>
    <x v="3"/>
    <d v="2024-12-18T00:00:00"/>
    <s v="Carousel"/>
    <s v="Check out our latest carousel on facebook!"/>
    <n v="2946"/>
    <n v="498"/>
    <n v="367"/>
    <n v="29460"/>
    <n v="28527"/>
    <n v="60"/>
    <s v="#FutureOfDriving"/>
    <s v="no data"/>
    <s v="no data"/>
    <s v="FSDUpdate"/>
    <n v="0.12936184657162253"/>
    <n v="3811"/>
  </r>
  <r>
    <s v="P057"/>
    <x v="0"/>
    <d v="2024-10-21T00:00:00"/>
    <s v="Video"/>
    <s v="Check out our latest video on twitter!"/>
    <n v="2825"/>
    <n v="535"/>
    <n v="295"/>
    <n v="45200"/>
    <n v="44739"/>
    <n v="169"/>
    <s v="#TeslaCoInnovation"/>
    <s v="no data"/>
    <s v="no data"/>
    <s v="CybertruckLaunch"/>
    <n v="8.0862831858407078E-2"/>
    <n v="3655"/>
  </r>
  <r>
    <s v="P058"/>
    <x v="2"/>
    <d v="2025-04-15T00:00:00"/>
    <s v="Reel"/>
    <s v="Check out our latest reel on instagram!"/>
    <n v="103"/>
    <n v="770"/>
    <n v="19"/>
    <n v="1030"/>
    <n v="410"/>
    <n v="262"/>
    <s v="#TeslaCoInnovation"/>
    <s v="no data"/>
    <s v="no data"/>
    <s v="SustainabilityDrive"/>
    <n v="0.86601941747572819"/>
    <n v="892"/>
  </r>
  <r>
    <s v="P059"/>
    <x v="2"/>
    <d v="2024-06-22T00:00:00"/>
    <s v="Text"/>
    <s v="Check out our latest text on instagram!"/>
    <n v="2180"/>
    <n v="263"/>
    <n v="387"/>
    <n v="30520"/>
    <n v="30059"/>
    <n v="174"/>
    <s v="#EVRevolution"/>
    <s v="no data"/>
    <s v="no data"/>
    <s v="unknown"/>
    <n v="9.2726081258191345E-2"/>
    <n v="2830"/>
  </r>
  <r>
    <s v="P060"/>
    <x v="2"/>
    <d v="2025-01-28T00:00:00"/>
    <s v="Video"/>
    <s v="Check out our latest video on instagram!"/>
    <n v="904"/>
    <n v="973"/>
    <n v="63"/>
    <n v="11752"/>
    <n v="11580"/>
    <n v="84"/>
    <s v="#EVRevolution"/>
    <s v="#TeslaCoInnovation"/>
    <s v="#AnytimeIsTeslaTime"/>
    <s v="FSDUpdate"/>
    <n v="0.1650782845473111"/>
    <n v="1940"/>
  </r>
  <r>
    <s v="P061"/>
    <x v="0"/>
    <d v="2024-09-05T00:00:00"/>
    <s v="Video"/>
    <s v="Check out our latest video on twitter!"/>
    <n v="4886"/>
    <n v="983"/>
    <n v="409"/>
    <n v="43974"/>
    <n v="43239"/>
    <n v="65"/>
    <s v="#TeslaCoInnovation"/>
    <s v="no data"/>
    <s v="no data"/>
    <s v="CybertruckLaunch"/>
    <n v="0.14276618001546368"/>
    <n v="6278"/>
  </r>
  <r>
    <s v="P062"/>
    <x v="0"/>
    <d v="2024-11-22T00:00:00"/>
    <s v="Carousel"/>
    <s v="Check out our latest carousel on twitter!"/>
    <n v="53"/>
    <n v="81"/>
    <n v="379"/>
    <n v="954"/>
    <n v="7"/>
    <n v="148"/>
    <s v="#TeslaCoInnovation"/>
    <s v="no data"/>
    <s v="no data"/>
    <s v="FSDUpdate"/>
    <n v="0.53773584905660377"/>
    <n v="513"/>
  </r>
  <r>
    <s v="P063"/>
    <x v="0"/>
    <d v="2024-07-31T00:00:00"/>
    <s v="Carousel"/>
    <s v="Check out our latest carousel on twitter!"/>
    <n v="4507"/>
    <n v="217"/>
    <n v="13"/>
    <n v="90140"/>
    <n v="89591"/>
    <n v="125"/>
    <s v="#FutureOfDriving"/>
    <s v="no data"/>
    <s v="no data"/>
    <s v="FSDUpdate"/>
    <n v="5.2551586421122697E-2"/>
    <n v="4737"/>
  </r>
  <r>
    <s v="P064"/>
    <x v="3"/>
    <d v="2024-08-17T00:00:00"/>
    <s v="Image"/>
    <s v="Check out our latest image on facebook!"/>
    <n v="2878"/>
    <n v="248"/>
    <n v="416"/>
    <n v="43170"/>
    <n v="42667"/>
    <n v="75"/>
    <s v="#FutureOfDriving"/>
    <s v="no data"/>
    <s v="no data"/>
    <s v="FSDUpdate"/>
    <n v="8.2047718322909427E-2"/>
    <n v="3542"/>
  </r>
  <r>
    <s v="P065"/>
    <x v="2"/>
    <d v="2025-03-28T00:00:00"/>
    <s v="Story"/>
    <s v="Check out our latest story on instagram!"/>
    <n v="1881"/>
    <n v="501"/>
    <n v="99"/>
    <n v="20691"/>
    <n v="19987"/>
    <n v="289"/>
    <s v="#EVRevolution"/>
    <s v="no data"/>
    <s v="no data"/>
    <s v="unknown"/>
    <n v="0.11990720603160794"/>
    <n v="2481"/>
  </r>
  <r>
    <s v="P066"/>
    <x v="0"/>
    <d v="2024-07-26T00:00:00"/>
    <s v="Carousel"/>
    <s v="Check out our latest carousel on twitter!"/>
    <n v="432"/>
    <n v="171"/>
    <n v="280"/>
    <n v="3024"/>
    <n v="2285"/>
    <n v="184"/>
    <s v="#EVRevolution"/>
    <s v="no data"/>
    <s v="no data"/>
    <s v="CybertruckLaunch"/>
    <n v="0.29199735449735448"/>
    <n v="883"/>
  </r>
  <r>
    <s v="P067"/>
    <x v="3"/>
    <d v="2025-03-29T00:00:00"/>
    <s v="Carousel"/>
    <s v="Check out our latest carousel on facebook!"/>
    <n v="4712"/>
    <n v="568"/>
    <n v="127"/>
    <n v="84816"/>
    <n v="84691"/>
    <n v="100"/>
    <s v="#EVRevolution"/>
    <s v="no data"/>
    <s v="no data"/>
    <s v="FSDUpdate"/>
    <n v="6.3749764195434822E-2"/>
    <n v="5407"/>
  </r>
  <r>
    <s v="P068"/>
    <x v="2"/>
    <d v="2024-12-08T00:00:00"/>
    <s v="Story"/>
    <s v="Check out our latest story on instagram!"/>
    <n v="2610"/>
    <n v="126"/>
    <n v="288"/>
    <n v="15660"/>
    <n v="15145"/>
    <n v="73"/>
    <s v="#EVRevolution"/>
    <s v="no data"/>
    <s v="no data"/>
    <s v="unknown"/>
    <n v="0.19310344827586207"/>
    <n v="3024"/>
  </r>
  <r>
    <s v="P069"/>
    <x v="0"/>
    <d v="2025-03-08T00:00:00"/>
    <s v="Text"/>
    <s v="Check out our latest text on twitter!"/>
    <n v="1292"/>
    <n v="626"/>
    <n v="496"/>
    <n v="25840"/>
    <n v="24916"/>
    <n v="149"/>
    <s v="#FutureOfDriving"/>
    <s v="no data"/>
    <s v="no data"/>
    <s v="FSDUpdate"/>
    <n v="9.3421052631578946E-2"/>
    <n v="2414"/>
  </r>
  <r>
    <s v="P070"/>
    <x v="3"/>
    <d v="2025-04-02T00:00:00"/>
    <s v="Video"/>
    <s v="Check out our latest video on facebook!"/>
    <n v="199"/>
    <n v="772"/>
    <n v="400"/>
    <n v="3582"/>
    <n v="2988"/>
    <n v="43"/>
    <s v="#TeslaCoInnovation"/>
    <s v="no data"/>
    <s v="no data"/>
    <s v="unknown"/>
    <n v="0.38274706867671693"/>
    <n v="1371"/>
  </r>
  <r>
    <s v="P071"/>
    <x v="1"/>
    <d v="2024-09-02T00:00:00"/>
    <s v="Carousel"/>
    <s v="Check out our latest carousel on youtube!"/>
    <n v="2551"/>
    <n v="915"/>
    <n v="205"/>
    <n v="30612"/>
    <n v="30360"/>
    <n v="227"/>
    <s v="#TeslaCoInnovation"/>
    <s v="no data"/>
    <s v="no data"/>
    <s v="ModelYCampaign"/>
    <n v="0.1199202926956749"/>
    <n v="3671"/>
  </r>
  <r>
    <s v="P072"/>
    <x v="1"/>
    <d v="2025-03-03T00:00:00"/>
    <s v="Reel"/>
    <s v="Check out our latest reel on youtube!"/>
    <n v="296"/>
    <n v="60"/>
    <n v="141"/>
    <n v="5624"/>
    <n v="5239"/>
    <n v="88"/>
    <s v="#EVRevolution"/>
    <s v="no data"/>
    <s v="no data"/>
    <s v="ModelYCampaign"/>
    <n v="8.837126600284495E-2"/>
    <n v="497"/>
  </r>
  <r>
    <s v="P073"/>
    <x v="3"/>
    <d v="2024-10-18T00:00:00"/>
    <s v="Story"/>
    <s v="Check out our latest story on facebook!"/>
    <n v="4126"/>
    <n v="426"/>
    <n v="486"/>
    <n v="78394"/>
    <n v="77798"/>
    <n v="88"/>
    <s v="#FutureOfDriving"/>
    <s v="no data"/>
    <s v="no data"/>
    <s v="SustainabilityDrive"/>
    <n v="6.4265122330790625E-2"/>
    <n v="5038"/>
  </r>
  <r>
    <s v="P074"/>
    <x v="1"/>
    <d v="2024-10-28T00:00:00"/>
    <s v="Reel"/>
    <s v="Check out our latest reel on youtube!"/>
    <n v="1855"/>
    <n v="200"/>
    <n v="174"/>
    <n v="16695"/>
    <n v="16330"/>
    <n v="123"/>
    <s v="#TeslaCoInnovation"/>
    <s v="no data"/>
    <s v="no data"/>
    <s v="FSDUpdate"/>
    <n v="0.13351302785265048"/>
    <n v="2229"/>
  </r>
  <r>
    <s v="P075"/>
    <x v="2"/>
    <d v="2024-08-01T00:00:00"/>
    <s v="Reel"/>
    <s v="Check out our latest reel on instagram!"/>
    <n v="1674"/>
    <n v="929"/>
    <n v="37"/>
    <n v="21762"/>
    <n v="20998"/>
    <n v="255"/>
    <s v="#TeslaCoInnovation"/>
    <s v="no data"/>
    <s v="no data"/>
    <s v="SustainabilityDrive"/>
    <n v="0.12131237937689551"/>
    <n v="2640"/>
  </r>
  <r>
    <s v="P076"/>
    <x v="0"/>
    <d v="2024-11-07T00:00:00"/>
    <s v="Story"/>
    <s v="Check out our latest story on twitter!"/>
    <n v="1121"/>
    <n v="135"/>
    <n v="18"/>
    <n v="15694"/>
    <n v="14957"/>
    <n v="99"/>
    <s v="#TeslaCoInnovation"/>
    <s v="no data"/>
    <s v="no data"/>
    <s v="SustainabilityDrive"/>
    <n v="8.1177520071364848E-2"/>
    <n v="1274"/>
  </r>
  <r>
    <s v="P077"/>
    <x v="3"/>
    <d v="2025-03-04T00:00:00"/>
    <s v="Story"/>
    <s v="Check out our latest story on facebook!"/>
    <n v="1249"/>
    <n v="116"/>
    <n v="420"/>
    <n v="8743"/>
    <n v="8538"/>
    <n v="63"/>
    <s v="#TeslaCoInnovation"/>
    <s v="no data"/>
    <s v="no data"/>
    <s v="unknown"/>
    <n v="0.20416333066453163"/>
    <n v="1785"/>
  </r>
  <r>
    <s v="P078"/>
    <x v="0"/>
    <d v="2024-06-17T00:00:00"/>
    <s v="Image"/>
    <s v="Check out our latest image on twitter!"/>
    <n v="954"/>
    <n v="324"/>
    <n v="288"/>
    <n v="19080"/>
    <n v="18859"/>
    <n v="21"/>
    <s v="#FutureOfDriving"/>
    <s v="no data"/>
    <s v="no data"/>
    <s v="SustainabilityDrive"/>
    <n v="8.2075471698113203E-2"/>
    <n v="1566"/>
  </r>
  <r>
    <s v="P079"/>
    <x v="2"/>
    <d v="2024-10-09T00:00:00"/>
    <s v="Carousel"/>
    <s v="Check out our latest carousel on instagram!"/>
    <n v="3068"/>
    <n v="137"/>
    <n v="329"/>
    <n v="39884"/>
    <n v="39404"/>
    <n v="266"/>
    <s v="#EVRevolution"/>
    <s v="no data"/>
    <s v="no data"/>
    <s v="ModelYCampaign"/>
    <n v="8.860696018453515E-2"/>
    <n v="3534"/>
  </r>
  <r>
    <s v="P080"/>
    <x v="2"/>
    <d v="2024-06-13T00:00:00"/>
    <s v="Story"/>
    <s v="Check out our latest story on instagram!"/>
    <n v="2103"/>
    <n v="892"/>
    <n v="103"/>
    <n v="39957"/>
    <n v="39466"/>
    <n v="28"/>
    <s v="#FutureOfDriving"/>
    <s v="no data"/>
    <s v="no data"/>
    <s v="unknown"/>
    <n v="7.7533348349475686E-2"/>
    <n v="3098"/>
  </r>
  <r>
    <s v="P081"/>
    <x v="2"/>
    <d v="2024-10-19T00:00:00"/>
    <s v="Story"/>
    <s v="Check out our latest story on instagram!"/>
    <n v="1816"/>
    <n v="29"/>
    <n v="41"/>
    <n v="19976"/>
    <n v="19262"/>
    <n v="283"/>
    <s v="#TeslaCoInnovation"/>
    <s v="no data"/>
    <s v="no data"/>
    <s v="FSDUpdate"/>
    <n v="9.4413295955146179E-2"/>
    <n v="1886"/>
  </r>
  <r>
    <s v="P082"/>
    <x v="2"/>
    <d v="2024-07-24T00:00:00"/>
    <s v="Image"/>
    <s v="Check out our latest image on instagram!"/>
    <n v="725"/>
    <n v="88"/>
    <n v="428"/>
    <n v="14500"/>
    <n v="13637"/>
    <n v="200"/>
    <s v="#FutureOfDriving"/>
    <s v="#TeslaCoInnovation"/>
    <s v="#AnytimeIsTeslaTime"/>
    <s v="FSDUpdate"/>
    <n v="8.558620689655172E-2"/>
    <n v="1241"/>
  </r>
  <r>
    <s v="P083"/>
    <x v="1"/>
    <d v="2024-10-15T00:00:00"/>
    <s v="Video"/>
    <s v="Check out our latest video on youtube!"/>
    <n v="1094"/>
    <n v="472"/>
    <n v="21"/>
    <n v="9846"/>
    <n v="9609"/>
    <n v="112"/>
    <s v="#EVRevolution"/>
    <s v="no data"/>
    <s v="no data"/>
    <s v="unknown"/>
    <n v="0.16118220597196831"/>
    <n v="1587"/>
  </r>
  <r>
    <s v="P084"/>
    <x v="3"/>
    <d v="2024-12-09T00:00:00"/>
    <s v="Image"/>
    <s v="Check out our latest image on facebook!"/>
    <n v="1841"/>
    <n v="851"/>
    <n v="342"/>
    <n v="34979"/>
    <n v="34154"/>
    <n v="255"/>
    <s v="#FutureOfDriving"/>
    <s v="no data"/>
    <s v="no data"/>
    <s v="SustainabilityDrive"/>
    <n v="8.6737756939878216E-2"/>
    <n v="3034"/>
  </r>
  <r>
    <s v="P085"/>
    <x v="2"/>
    <d v="2025-04-19T00:00:00"/>
    <s v="Image"/>
    <s v="Check out our latest image on instagram!"/>
    <n v="4177"/>
    <n v="569"/>
    <n v="55"/>
    <n v="25062"/>
    <n v="24847"/>
    <n v="230"/>
    <s v="#FutureOfDriving"/>
    <s v="no data"/>
    <s v="no data"/>
    <s v="CybertruckLaunch"/>
    <n v="0.19156491900087783"/>
    <n v="4801"/>
  </r>
  <r>
    <s v="P086"/>
    <x v="1"/>
    <d v="2025-01-27T00:00:00"/>
    <s v="Text"/>
    <s v="Check out our latest text on youtube!"/>
    <n v="3428"/>
    <n v="305"/>
    <n v="85"/>
    <n v="58276"/>
    <n v="58052"/>
    <n v="242"/>
    <s v="#EVRevolution"/>
    <s v="#BetterWithTesla"/>
    <s v="no data"/>
    <s v="SustainabilityDrive"/>
    <n v="6.5515821264328367E-2"/>
    <n v="3818"/>
  </r>
  <r>
    <s v="P087"/>
    <x v="0"/>
    <d v="2024-06-06T00:00:00"/>
    <s v="Video"/>
    <s v="Check out our latest video on twitter!"/>
    <n v="1436"/>
    <n v="765"/>
    <n v="496"/>
    <n v="12924"/>
    <n v="12701"/>
    <n v="197"/>
    <s v="#FutureOfDriving"/>
    <s v="no data"/>
    <s v="no data"/>
    <s v="FSDUpdate"/>
    <n v="0.20868152274837512"/>
    <n v="2697"/>
  </r>
  <r>
    <s v="P088"/>
    <x v="3"/>
    <d v="2024-07-07T00:00:00"/>
    <s v="Story"/>
    <s v="Check out our latest story on facebook!"/>
    <n v="302"/>
    <n v="47"/>
    <n v="430"/>
    <n v="5738"/>
    <n v="4890"/>
    <n v="25"/>
    <s v="#TeslaCoInnovation"/>
    <s v="no data"/>
    <s v="no data"/>
    <s v="SustainabilityDrive"/>
    <n v="0.13576158940397351"/>
    <n v="779"/>
  </r>
  <r>
    <s v="P089"/>
    <x v="0"/>
    <d v="2025-01-10T00:00:00"/>
    <s v="Image"/>
    <s v="Check out our latest image on twitter!"/>
    <n v="2214"/>
    <n v="249"/>
    <n v="152"/>
    <n v="15498"/>
    <n v="14800"/>
    <n v="180"/>
    <s v="#EVRevolution"/>
    <s v="no data"/>
    <s v="no data"/>
    <s v="unknown"/>
    <n v="0.16873144921925409"/>
    <n v="2615"/>
  </r>
  <r>
    <s v="P090"/>
    <x v="2"/>
    <d v="2024-06-03T00:00:00"/>
    <s v="Image"/>
    <s v="Check out our latest image on instagram!"/>
    <n v="3861"/>
    <n v="960"/>
    <n v="101"/>
    <n v="69498"/>
    <n v="68817"/>
    <n v="297"/>
    <s v="#TeslaCoInnovation"/>
    <s v="no data"/>
    <s v="no data"/>
    <s v="SustainabilityDrive"/>
    <n v="7.0822181933293038E-2"/>
    <n v="4922"/>
  </r>
  <r>
    <s v="P091"/>
    <x v="3"/>
    <d v="2025-03-24T00:00:00"/>
    <s v="Image"/>
    <s v="Check out our latest image on facebook!"/>
    <n v="1263"/>
    <n v="397"/>
    <n v="357"/>
    <n v="25260"/>
    <n v="24615"/>
    <n v="137"/>
    <s v="#EVRevolution"/>
    <s v="no data"/>
    <s v="no data"/>
    <s v="SustainabilityDrive"/>
    <n v="7.984956452889945E-2"/>
    <n v="2017"/>
  </r>
  <r>
    <s v="P092"/>
    <x v="0"/>
    <d v="2024-10-21T00:00:00"/>
    <s v="Story"/>
    <s v="Check out our latest story on twitter!"/>
    <n v="3801"/>
    <n v="967"/>
    <n v="401"/>
    <n v="38010"/>
    <n v="37625"/>
    <n v="236"/>
    <s v="#FutureOfDriving"/>
    <s v="no data"/>
    <s v="no data"/>
    <s v="FSDUpdate"/>
    <n v="0.13599052880820836"/>
    <n v="5169"/>
  </r>
  <r>
    <s v="P093"/>
    <x v="2"/>
    <d v="2024-12-11T00:00:00"/>
    <s v="Video"/>
    <s v="Check out our latest video on instagram!"/>
    <n v="1431"/>
    <n v="951"/>
    <n v="26"/>
    <n v="8586"/>
    <n v="8396"/>
    <n v="150"/>
    <s v="#EVRevolution"/>
    <s v="no data"/>
    <s v="no data"/>
    <s v="FSDUpdate"/>
    <n v="0.28045655718611695"/>
    <n v="2408"/>
  </r>
  <r>
    <s v="P094"/>
    <x v="2"/>
    <d v="2024-11-07T00:00:00"/>
    <s v="Image"/>
    <s v="Check out our latest image on instagram!"/>
    <n v="2647"/>
    <n v="304"/>
    <n v="170"/>
    <n v="18529"/>
    <n v="17841"/>
    <n v="46"/>
    <s v="#FutureOfDriving"/>
    <s v="no data"/>
    <s v="no data"/>
    <s v="FSDUpdate"/>
    <n v="0.16843866371633656"/>
    <n v="3121"/>
  </r>
  <r>
    <s v="P095"/>
    <x v="2"/>
    <d v="2024-11-08T00:00:00"/>
    <s v="Text"/>
    <s v="Check out our latest text on instagram!"/>
    <n v="3182"/>
    <n v="559"/>
    <n v="160"/>
    <n v="57276"/>
    <n v="56890"/>
    <n v="163"/>
    <s v="#FutureOfDriving"/>
    <s v="no data"/>
    <s v="no data"/>
    <s v="SustainabilityDrive"/>
    <n v="6.8108806480899509E-2"/>
    <n v="3901"/>
  </r>
  <r>
    <s v="P096"/>
    <x v="0"/>
    <d v="2024-09-10T00:00:00"/>
    <s v="Image"/>
    <s v="Check out our latest image on twitter!"/>
    <n v="1238"/>
    <n v="366"/>
    <n v="444"/>
    <n v="19808"/>
    <n v="19334"/>
    <n v="123"/>
    <s v="#FutureOfDriving"/>
    <s v="no data"/>
    <s v="no data"/>
    <s v="unknown"/>
    <n v="0.10339256865912763"/>
    <n v="2048"/>
  </r>
  <r>
    <s v="P097"/>
    <x v="2"/>
    <d v="2024-08-13T00:00:00"/>
    <s v="Image"/>
    <s v="Check out our latest image on instagram!"/>
    <n v="4739"/>
    <n v="527"/>
    <n v="135"/>
    <n v="61607"/>
    <n v="61333"/>
    <n v="36"/>
    <s v="#TeslaCoInnovation"/>
    <s v="#AnytimeIsTeslaTime"/>
    <s v="no data"/>
    <s v="ModelYCampaign"/>
    <n v="8.7668609086629767E-2"/>
    <n v="5401"/>
  </r>
  <r>
    <s v="P098"/>
    <x v="0"/>
    <d v="2024-06-10T00:00:00"/>
    <s v="Story"/>
    <s v="Check out our latest story on twitter!"/>
    <n v="1575"/>
    <n v="771"/>
    <n v="486"/>
    <n v="25200"/>
    <n v="24826"/>
    <n v="17"/>
    <s v="#FutureOfDriving"/>
    <s v="no data"/>
    <s v="no data"/>
    <s v="SustainabilityDrive"/>
    <n v="0.11238095238095239"/>
    <n v="2832"/>
  </r>
  <r>
    <s v="P099"/>
    <x v="1"/>
    <d v="2024-07-02T00:00:00"/>
    <s v="Carousel"/>
    <s v="Check out our latest carousel on youtube!"/>
    <n v="4171"/>
    <n v="548"/>
    <n v="86"/>
    <n v="66736"/>
    <n v="66634"/>
    <n v="173"/>
    <s v="#FutureOfDriving"/>
    <s v="no data"/>
    <s v="no data"/>
    <s v="FSDUpdate"/>
    <n v="7.2000119875329657E-2"/>
    <n v="4805"/>
  </r>
  <r>
    <s v="P100"/>
    <x v="1"/>
    <d v="2025-02-10T00:00:00"/>
    <s v="Video"/>
    <s v="Check out our latest video on youtube!"/>
    <n v="1766"/>
    <n v="92"/>
    <n v="424"/>
    <n v="24724"/>
    <n v="24333"/>
    <n v="52"/>
    <s v="#EVRevolution"/>
    <s v="no data"/>
    <s v="no data"/>
    <s v="unknown"/>
    <n v="9.2298980747451867E-2"/>
    <n v="2282"/>
  </r>
  <r>
    <s v="P101"/>
    <x v="1"/>
    <d v="2024-10-18T00:00:00"/>
    <s v="Video"/>
    <s v="Check out our latest video on youtube!"/>
    <n v="4450"/>
    <n v="983"/>
    <n v="143"/>
    <n v="75650"/>
    <n v="75008"/>
    <n v="12"/>
    <s v="#FutureOfDriving"/>
    <s v="no data"/>
    <s v="no data"/>
    <s v="FSDUpdate"/>
    <n v="7.3707865168539333E-2"/>
    <n v="5576"/>
  </r>
  <r>
    <s v="P102"/>
    <x v="0"/>
    <d v="2024-09-18T00:00:00"/>
    <s v="Reel"/>
    <s v="Check out our latest reel on twitter!"/>
    <n v="1000"/>
    <n v="978"/>
    <n v="162"/>
    <n v="6000"/>
    <n v="5221"/>
    <n v="223"/>
    <s v="#EVRevolution"/>
    <s v="no data"/>
    <s v="no data"/>
    <s v="ModelYCampaign"/>
    <n v="0.35666666666666669"/>
    <n v="2140"/>
  </r>
  <r>
    <s v="P103"/>
    <x v="3"/>
    <d v="2024-06-11T00:00:00"/>
    <s v="Image"/>
    <s v="Check out our latest image on facebook!"/>
    <n v="3689"/>
    <n v="48"/>
    <n v="306"/>
    <n v="40579"/>
    <n v="39588"/>
    <n v="212"/>
    <s v="#EVRevolution"/>
    <s v="no data"/>
    <s v="no data"/>
    <s v="ModelYCampaign"/>
    <n v="9.9632815002833983E-2"/>
    <n v="4043"/>
  </r>
  <r>
    <s v="P104"/>
    <x v="1"/>
    <d v="2025-03-23T00:00:00"/>
    <s v="Story"/>
    <s v="Check out our latest story on youtube!"/>
    <n v="3655"/>
    <n v="568"/>
    <n v="286"/>
    <n v="32895"/>
    <n v="32015"/>
    <n v="199"/>
    <s v="#TeslaCoInnovation"/>
    <s v="no data"/>
    <s v="no data"/>
    <s v="FSDUpdate"/>
    <n v="0.13707250341997265"/>
    <n v="4509"/>
  </r>
  <r>
    <s v="P105"/>
    <x v="2"/>
    <d v="2024-06-14T00:00:00"/>
    <s v="Carousel"/>
    <s v="Check out our latest carousel on instagram!"/>
    <n v="498"/>
    <n v="38"/>
    <n v="42"/>
    <n v="4482"/>
    <n v="3647"/>
    <n v="32"/>
    <s v="#FutureOfDriving"/>
    <s v="no data"/>
    <s v="no data"/>
    <s v="CybertruckLaunch"/>
    <n v="0.12896028558679162"/>
    <n v="578"/>
  </r>
  <r>
    <s v="P106"/>
    <x v="2"/>
    <d v="2025-02-04T00:00:00"/>
    <s v="Image"/>
    <s v="Check out our latest image on instagram!"/>
    <n v="4619"/>
    <n v="821"/>
    <n v="499"/>
    <n v="69285"/>
    <n v="69141"/>
    <n v="298"/>
    <s v="#TeslaCoInnovation"/>
    <s v="no data"/>
    <s v="no data"/>
    <s v="SustainabilityDrive"/>
    <n v="8.5718409468138843E-2"/>
    <n v="5939"/>
  </r>
  <r>
    <s v="P107"/>
    <x v="1"/>
    <d v="2024-06-21T00:00:00"/>
    <s v="Image"/>
    <s v="Check out our latest image on youtube!"/>
    <n v="4832"/>
    <n v="893"/>
    <n v="10"/>
    <n v="91808"/>
    <n v="91296"/>
    <n v="182"/>
    <s v="#TeslaCoInnovation"/>
    <s v="no data"/>
    <s v="no data"/>
    <s v="unknown"/>
    <n v="6.2467323109097243E-2"/>
    <n v="5735"/>
  </r>
  <r>
    <s v="P108"/>
    <x v="0"/>
    <d v="2025-03-25T00:00:00"/>
    <s v="Video"/>
    <s v="Check out our latest video on twitter!"/>
    <n v="4050"/>
    <n v="871"/>
    <n v="347"/>
    <n v="52650"/>
    <n v="51755"/>
    <n v="209"/>
    <s v="#TeslaCoInnovation"/>
    <s v="no data"/>
    <s v="no data"/>
    <s v="ModelYCampaign"/>
    <n v="0.10005698005698006"/>
    <n v="5268"/>
  </r>
  <r>
    <s v="P109"/>
    <x v="0"/>
    <d v="2024-08-08T00:00:00"/>
    <s v="Story"/>
    <s v="Check out our latest story on twitter!"/>
    <n v="3649"/>
    <n v="215"/>
    <n v="413"/>
    <n v="25543"/>
    <n v="24963"/>
    <n v="167"/>
    <s v="#FutureOfDriving"/>
    <s v="no data"/>
    <s v="no data"/>
    <s v="FSDUpdate"/>
    <n v="0.16744313510550835"/>
    <n v="4277"/>
  </r>
  <r>
    <s v="P110"/>
    <x v="2"/>
    <d v="2024-07-29T00:00:00"/>
    <s v="Reel"/>
    <s v="Check out our latest reel on instagram!"/>
    <n v="3523"/>
    <n v="753"/>
    <n v="482"/>
    <n v="38753"/>
    <n v="38579"/>
    <n v="270"/>
    <s v="#EVRevolution"/>
    <s v="no data"/>
    <s v="no data"/>
    <s v="ModelYCampaign"/>
    <n v="0.12277759141227776"/>
    <n v="4758"/>
  </r>
  <r>
    <s v="P111"/>
    <x v="1"/>
    <d v="2024-11-23T00:00:00"/>
    <s v="Image"/>
    <s v="Check out our latest image on youtube!"/>
    <n v="2719"/>
    <n v="17"/>
    <n v="285"/>
    <n v="40785"/>
    <n v="40281"/>
    <n v="40"/>
    <s v="#TeslaCoInnovation"/>
    <s v="no data"/>
    <s v="no data"/>
    <s v="ModelYCampaign"/>
    <n v="7.4071349760941527E-2"/>
    <n v="3021"/>
  </r>
  <r>
    <s v="P112"/>
    <x v="0"/>
    <d v="2024-10-05T00:00:00"/>
    <s v="Story"/>
    <s v="Check out our latest story on twitter!"/>
    <n v="1957"/>
    <n v="877"/>
    <n v="238"/>
    <n v="17613"/>
    <n v="16865"/>
    <n v="297"/>
    <s v="#FutureOfDriving"/>
    <s v="no data"/>
    <s v="no data"/>
    <s v="FSDUpdate"/>
    <n v="0.17441662408448305"/>
    <n v="3072"/>
  </r>
  <r>
    <s v="P113"/>
    <x v="0"/>
    <d v="2024-10-02T00:00:00"/>
    <s v="Carousel"/>
    <s v="Check out our latest carousel on twitter!"/>
    <n v="4419"/>
    <n v="236"/>
    <n v="369"/>
    <n v="44190"/>
    <n v="43582"/>
    <n v="10"/>
    <s v="#EVRevolution"/>
    <s v="no data"/>
    <s v="no data"/>
    <s v="CybertruckLaunch"/>
    <n v="0.11369088028965829"/>
    <n v="5024"/>
  </r>
  <r>
    <s v="P114"/>
    <x v="0"/>
    <d v="2024-11-14T00:00:00"/>
    <s v="Story"/>
    <s v="Check out our latest story on twitter!"/>
    <n v="4000"/>
    <n v="689"/>
    <n v="488"/>
    <n v="40000"/>
    <n v="39569"/>
    <n v="44"/>
    <s v="#FutureOfDriving"/>
    <s v="no data"/>
    <s v="no data"/>
    <s v="CybertruckLaunch"/>
    <n v="0.12942500000000001"/>
    <n v="5177"/>
  </r>
  <r>
    <s v="P115"/>
    <x v="0"/>
    <d v="2025-05-11T00:00:00"/>
    <s v="Image"/>
    <s v="Check out our latest image on twitter!"/>
    <n v="2493"/>
    <n v="97"/>
    <n v="44"/>
    <n v="42381"/>
    <n v="41991"/>
    <n v="242"/>
    <s v="#TeslaCoInnovation"/>
    <s v="#AnytimeIsTeslaTime"/>
    <s v="no data"/>
    <s v="SustainabilityDrive"/>
    <n v="6.2150491965739366E-2"/>
    <n v="2634"/>
  </r>
  <r>
    <s v="P116"/>
    <x v="1"/>
    <d v="2025-03-18T00:00:00"/>
    <s v="Reel"/>
    <s v="Check out our latest reel on youtube!"/>
    <n v="3704"/>
    <n v="186"/>
    <n v="458"/>
    <n v="25928"/>
    <n v="25081"/>
    <n v="131"/>
    <s v="#TeslaCoInnovation"/>
    <s v="no data"/>
    <s v="no data"/>
    <s v="unknown"/>
    <n v="0.16769515581610614"/>
    <n v="4348"/>
  </r>
  <r>
    <s v="P117"/>
    <x v="0"/>
    <d v="2024-11-04T00:00:00"/>
    <s v="Image"/>
    <s v="Check out our latest image on twitter!"/>
    <n v="1606"/>
    <n v="451"/>
    <n v="405"/>
    <n v="20878"/>
    <n v="20190"/>
    <n v="219"/>
    <s v="#EVRevolution"/>
    <s v="no data"/>
    <s v="no data"/>
    <s v="SustainabilityDrive"/>
    <n v="0.11792317271769326"/>
    <n v="2462"/>
  </r>
  <r>
    <s v="P118"/>
    <x v="3"/>
    <d v="2024-11-04T00:00:00"/>
    <s v="Image"/>
    <s v="Check out our latest image on facebook!"/>
    <n v="4551"/>
    <n v="714"/>
    <n v="207"/>
    <n v="68265"/>
    <n v="67754"/>
    <n v="57"/>
    <s v="#FutureOfDriving"/>
    <s v="no data"/>
    <s v="no data"/>
    <s v="FSDUpdate"/>
    <n v="8.0158206987475278E-2"/>
    <n v="5472"/>
  </r>
  <r>
    <s v="P119"/>
    <x v="2"/>
    <d v="2025-02-07T00:00:00"/>
    <s v="Reel"/>
    <s v="Check out our latest reel on instagram!"/>
    <n v="1970"/>
    <n v="675"/>
    <n v="478"/>
    <n v="9850"/>
    <n v="8924"/>
    <n v="117"/>
    <s v="#FutureOfDriving"/>
    <s v="no data"/>
    <s v="no data"/>
    <s v="unknown"/>
    <n v="0.31705583756345179"/>
    <n v="3123"/>
  </r>
  <r>
    <s v="P120"/>
    <x v="3"/>
    <d v="2024-10-21T00:00:00"/>
    <s v="Story"/>
    <s v="Check out our latest story on facebook!"/>
    <n v="780"/>
    <n v="928"/>
    <n v="301"/>
    <n v="8580"/>
    <n v="8081"/>
    <n v="91"/>
    <s v="#EVRevolution"/>
    <s v="no data"/>
    <s v="no data"/>
    <s v="FSDUpdate"/>
    <n v="0.23414918414918415"/>
    <n v="2009"/>
  </r>
  <r>
    <s v="P121"/>
    <x v="2"/>
    <d v="2024-07-29T00:00:00"/>
    <s v="Story"/>
    <s v="Check out our latest story on instagram!"/>
    <n v="498"/>
    <n v="701"/>
    <n v="412"/>
    <n v="4980"/>
    <n v="4185"/>
    <n v="185"/>
    <s v="#FutureOfDriving"/>
    <s v="no data"/>
    <s v="no data"/>
    <s v="unknown"/>
    <n v="0.32349397590361445"/>
    <n v="1611"/>
  </r>
  <r>
    <s v="P122"/>
    <x v="2"/>
    <d v="2024-10-02T00:00:00"/>
    <s v="Text"/>
    <s v="Check out our latest text on instagram!"/>
    <n v="3432"/>
    <n v="869"/>
    <n v="123"/>
    <n v="54912"/>
    <n v="53916"/>
    <n v="264"/>
    <s v="#EVRevolution"/>
    <s v="no data"/>
    <s v="no data"/>
    <s v="ModelYCampaign"/>
    <n v="8.0565268065268064E-2"/>
    <n v="4424"/>
  </r>
  <r>
    <s v="P123"/>
    <x v="2"/>
    <d v="2024-06-14T00:00:00"/>
    <s v="Story"/>
    <s v="Check out our latest story on instagram!"/>
    <n v="4363"/>
    <n v="649"/>
    <n v="140"/>
    <n v="21815"/>
    <n v="21481"/>
    <n v="157"/>
    <s v="#EVRevolution"/>
    <s v="no data"/>
    <s v="no data"/>
    <s v="CybertruckLaunch"/>
    <n v="0.23616777446710979"/>
    <n v="5152"/>
  </r>
  <r>
    <s v="P124"/>
    <x v="1"/>
    <d v="2025-04-06T00:00:00"/>
    <s v="Carousel"/>
    <s v="Check out our latest carousel on youtube!"/>
    <n v="736"/>
    <n v="771"/>
    <n v="225"/>
    <n v="5152"/>
    <n v="4706"/>
    <n v="19"/>
    <s v="#EVRevolution"/>
    <s v="no data"/>
    <s v="no data"/>
    <s v="CybertruckLaunch"/>
    <n v="0.33618012422360249"/>
    <n v="1732"/>
  </r>
  <r>
    <s v="P125"/>
    <x v="0"/>
    <d v="2024-09-08T00:00:00"/>
    <s v="Carousel"/>
    <s v="Check out our latest carousel on twitter!"/>
    <n v="3811"/>
    <n v="866"/>
    <n v="216"/>
    <n v="34299"/>
    <n v="34088"/>
    <n v="233"/>
    <s v="#TeslaCoInnovation"/>
    <s v="no data"/>
    <s v="no data"/>
    <s v="SustainabilityDrive"/>
    <n v="0.14265722032712325"/>
    <n v="4893"/>
  </r>
  <r>
    <s v="P126"/>
    <x v="2"/>
    <d v="2025-03-28T00:00:00"/>
    <s v="Carousel"/>
    <s v="Check out our latest carousel on instagram!"/>
    <n v="4158"/>
    <n v="167"/>
    <n v="241"/>
    <n v="45738"/>
    <n v="45183"/>
    <n v="142"/>
    <s v="#FutureOfDriving"/>
    <s v="no data"/>
    <s v="no data"/>
    <s v="unknown"/>
    <n v="9.9829463465827106E-2"/>
    <n v="4566"/>
  </r>
  <r>
    <s v="P127"/>
    <x v="3"/>
    <d v="2025-01-27T00:00:00"/>
    <s v="Reel"/>
    <s v="Check out our latest reel on facebook!"/>
    <n v="3452"/>
    <n v="652"/>
    <n v="442"/>
    <n v="65588"/>
    <n v="65049"/>
    <n v="158"/>
    <s v="#FutureOfDriving"/>
    <s v="no data"/>
    <s v="no data"/>
    <s v="FSDUpdate"/>
    <n v="6.9311459413307311E-2"/>
    <n v="4546"/>
  </r>
  <r>
    <s v="P128"/>
    <x v="0"/>
    <d v="2025-01-10T00:00:00"/>
    <s v="Image"/>
    <s v="Check out our latest image on twitter!"/>
    <n v="3092"/>
    <n v="106"/>
    <n v="291"/>
    <n v="27828"/>
    <n v="27217"/>
    <n v="102"/>
    <s v="#FutureOfDriving"/>
    <s v="no data"/>
    <s v="no data"/>
    <s v="unknown"/>
    <n v="0.12537731780940059"/>
    <n v="3489"/>
  </r>
  <r>
    <s v="P129"/>
    <x v="0"/>
    <d v="2024-07-21T00:00:00"/>
    <s v="Text"/>
    <s v="Check out our latest text on twitter!"/>
    <n v="2147"/>
    <n v="430"/>
    <n v="393"/>
    <n v="17176"/>
    <n v="16483"/>
    <n v="170"/>
    <s v="#TeslaCoInnovation"/>
    <s v="no data"/>
    <s v="no data"/>
    <s v="unknown"/>
    <n v="0.17291569632044715"/>
    <n v="2970"/>
  </r>
  <r>
    <s v="P130"/>
    <x v="1"/>
    <d v="2024-09-29T00:00:00"/>
    <s v="Reel"/>
    <s v="Check out our latest reel on youtube!"/>
    <n v="2936"/>
    <n v="439"/>
    <n v="44"/>
    <n v="38168"/>
    <n v="37571"/>
    <n v="22"/>
    <s v="#EVRevolution"/>
    <s v="no data"/>
    <s v="no data"/>
    <s v="SustainabilityDrive"/>
    <n v="8.9577656675749323E-2"/>
    <n v="3419"/>
  </r>
  <r>
    <s v="P131"/>
    <x v="2"/>
    <d v="2024-10-21T00:00:00"/>
    <s v="Reel"/>
    <s v="Check out our latest reel on instagram!"/>
    <n v="4840"/>
    <n v="658"/>
    <n v="211"/>
    <n v="43560"/>
    <n v="43225"/>
    <n v="57"/>
    <s v="#FutureOfDriving"/>
    <s v="no data"/>
    <s v="no data"/>
    <s v="FSDUpdate"/>
    <n v="0.13106060606060607"/>
    <n v="5709"/>
  </r>
  <r>
    <s v="P132"/>
    <x v="2"/>
    <d v="2025-03-04T00:00:00"/>
    <s v="Story"/>
    <s v="Check out our latest story on instagram!"/>
    <n v="1947"/>
    <n v="842"/>
    <n v="101"/>
    <n v="21417"/>
    <n v="20967"/>
    <n v="186"/>
    <s v="#FutureOfDriving"/>
    <s v="no data"/>
    <s v="no data"/>
    <s v="ModelYCampaign"/>
    <n v="0.13493953401503478"/>
    <n v="2890"/>
  </r>
  <r>
    <s v="P133"/>
    <x v="3"/>
    <d v="2025-02-06T00:00:00"/>
    <s v="Image"/>
    <s v="Check out our latest image on facebook!"/>
    <n v="2072"/>
    <n v="532"/>
    <n v="71"/>
    <n v="37296"/>
    <n v="36467"/>
    <n v="25"/>
    <s v="#TeslaCoInnovation"/>
    <s v="no data"/>
    <s v="no data"/>
    <s v="SustainabilityDrive"/>
    <n v="7.172350922350923E-2"/>
    <n v="2675"/>
  </r>
  <r>
    <s v="P134"/>
    <x v="0"/>
    <d v="2025-04-24T00:00:00"/>
    <s v="Reel"/>
    <s v="Check out our latest reel on twitter!"/>
    <n v="3731"/>
    <n v="115"/>
    <n v="135"/>
    <n v="55965"/>
    <n v="55436"/>
    <n v="103"/>
    <s v="#TeslaCoInnovation"/>
    <s v="no data"/>
    <s v="no data"/>
    <s v="CybertruckLaunch"/>
    <n v="7.1133744304476013E-2"/>
    <n v="3981"/>
  </r>
  <r>
    <s v="P135"/>
    <x v="3"/>
    <d v="2024-11-28T00:00:00"/>
    <s v="Text"/>
    <s v="Check out our latest text on facebook!"/>
    <n v="4213"/>
    <n v="253"/>
    <n v="434"/>
    <n v="75834"/>
    <n v="75437"/>
    <n v="272"/>
    <s v="#FutureOfDriving"/>
    <s v="no data"/>
    <s v="no data"/>
    <s v="SustainabilityDrive"/>
    <n v="6.461481657304112E-2"/>
    <n v="4900"/>
  </r>
  <r>
    <s v="P136"/>
    <x v="2"/>
    <d v="2024-07-11T00:00:00"/>
    <s v="Text"/>
    <s v="Check out our latest text on instagram!"/>
    <n v="3134"/>
    <n v="888"/>
    <n v="444"/>
    <n v="21938"/>
    <n v="21337"/>
    <n v="130"/>
    <s v="#EVRevolution"/>
    <s v="no data"/>
    <s v="no data"/>
    <s v="SustainabilityDrive"/>
    <n v="0.20357370772176134"/>
    <n v="4466"/>
  </r>
  <r>
    <s v="P137"/>
    <x v="3"/>
    <d v="2024-07-31T00:00:00"/>
    <s v="Video"/>
    <s v="Check out our latest video on facebook!"/>
    <n v="3008"/>
    <n v="94"/>
    <n v="37"/>
    <n v="15040"/>
    <n v="14639"/>
    <n v="277"/>
    <s v="#FutureOfDriving"/>
    <s v="no data"/>
    <s v="no data"/>
    <s v="unknown"/>
    <n v="0.20871010638297871"/>
    <n v="3139"/>
  </r>
  <r>
    <s v="P138"/>
    <x v="0"/>
    <d v="2025-03-29T00:00:00"/>
    <s v="Image"/>
    <s v="Check out our latest image on twitter!"/>
    <n v="305"/>
    <n v="187"/>
    <n v="243"/>
    <n v="4575"/>
    <n v="3704"/>
    <n v="234"/>
    <s v="#FutureOfDriving"/>
    <s v="no data"/>
    <s v="no data"/>
    <s v="FSDUpdate"/>
    <n v="0.16065573770491803"/>
    <n v="735"/>
  </r>
  <r>
    <s v="P139"/>
    <x v="1"/>
    <d v="2024-10-29T00:00:00"/>
    <s v="Text"/>
    <s v="Check out our latest text on youtube!"/>
    <n v="2746"/>
    <n v="156"/>
    <n v="203"/>
    <n v="32952"/>
    <n v="32147"/>
    <n v="147"/>
    <s v="#EVRevolution"/>
    <s v="no data"/>
    <s v="no data"/>
    <s v="CybertruckLaunch"/>
    <n v="9.422796795338674E-2"/>
    <n v="3105"/>
  </r>
  <r>
    <s v="P140"/>
    <x v="3"/>
    <d v="2024-07-15T00:00:00"/>
    <s v="Image"/>
    <s v="Check out our latest image on facebook!"/>
    <n v="2291"/>
    <n v="78"/>
    <n v="485"/>
    <n v="18328"/>
    <n v="18101"/>
    <n v="10"/>
    <s v="#EVRevolution"/>
    <s v="#SmoothLikeNitroTesla"/>
    <s v="no data"/>
    <s v="ModelYCampaign"/>
    <n v="0.15571802706241816"/>
    <n v="2854"/>
  </r>
  <r>
    <s v="P141"/>
    <x v="0"/>
    <d v="2024-08-31T00:00:00"/>
    <s v="Image"/>
    <s v="Check out our latest image on twitter!"/>
    <n v="3170"/>
    <n v="857"/>
    <n v="379"/>
    <n v="19020"/>
    <n v="18559"/>
    <n v="240"/>
    <s v="#FutureOfDriving"/>
    <s v="no data"/>
    <s v="no data"/>
    <s v="unknown"/>
    <n v="0.2316508937960042"/>
    <n v="4406"/>
  </r>
  <r>
    <s v="P142"/>
    <x v="1"/>
    <d v="2025-03-25T00:00:00"/>
    <s v="Story"/>
    <s v="Check out our latest story on youtube!"/>
    <n v="2070"/>
    <n v="275"/>
    <n v="386"/>
    <n v="39330"/>
    <n v="38627"/>
    <n v="114"/>
    <s v="#FutureOfDriving"/>
    <s v="no data"/>
    <s v="no data"/>
    <s v="SustainabilityDrive"/>
    <n v="6.9438087973557078E-2"/>
    <n v="2731"/>
  </r>
  <r>
    <s v="P143"/>
    <x v="1"/>
    <d v="2024-10-02T00:00:00"/>
    <s v="Carousel"/>
    <s v="Check out our latest carousel on youtube!"/>
    <n v="80"/>
    <n v="362"/>
    <n v="80"/>
    <n v="1040"/>
    <n v="349"/>
    <n v="117"/>
    <s v="#TeslaCoInnovation"/>
    <s v="no data"/>
    <s v="no data"/>
    <s v="FSDUpdate"/>
    <n v="0.50192307692307692"/>
    <n v="522"/>
  </r>
  <r>
    <s v="P144"/>
    <x v="1"/>
    <d v="2024-10-28T00:00:00"/>
    <s v="Story"/>
    <s v="Check out our latest story on youtube!"/>
    <n v="4929"/>
    <n v="749"/>
    <n v="452"/>
    <n v="93651"/>
    <n v="92810"/>
    <n v="66"/>
    <s v="#EVRevolution"/>
    <s v="no data"/>
    <s v="no data"/>
    <s v="SustainabilityDrive"/>
    <n v="6.5455787978772245E-2"/>
    <n v="6130"/>
  </r>
  <r>
    <s v="P145"/>
    <x v="2"/>
    <d v="2024-08-12T00:00:00"/>
    <s v="Carousel"/>
    <s v="Check out our latest carousel on instagram!"/>
    <n v="1878"/>
    <n v="62"/>
    <n v="179"/>
    <n v="37560"/>
    <n v="36874"/>
    <n v="142"/>
    <s v="#TeslaCoInnovation"/>
    <s v="no data"/>
    <s v="no data"/>
    <s v="SustainabilityDrive"/>
    <n v="5.6416400425985093E-2"/>
    <n v="2119"/>
  </r>
  <r>
    <s v="P146"/>
    <x v="1"/>
    <d v="2024-06-05T00:00:00"/>
    <s v="Reel"/>
    <s v="Check out our latest reel on youtube!"/>
    <n v="3065"/>
    <n v="772"/>
    <n v="142"/>
    <n v="18390"/>
    <n v="17875"/>
    <n v="200"/>
    <s v="#EVRevolution"/>
    <s v="#AnytimeIsTeslaTime"/>
    <s v="no data"/>
    <s v="unknown"/>
    <n v="0.21636759108210984"/>
    <n v="3979"/>
  </r>
  <r>
    <s v="P147"/>
    <x v="2"/>
    <d v="2024-10-21T00:00:00"/>
    <s v="Reel"/>
    <s v="Check out our latest reel on instagram!"/>
    <n v="3256"/>
    <n v="459"/>
    <n v="266"/>
    <n v="26048"/>
    <n v="25529"/>
    <n v="143"/>
    <s v="#TeslaCoInnovation"/>
    <s v="no data"/>
    <s v="no data"/>
    <s v="ModelYCampaign"/>
    <n v="0.15283323095823095"/>
    <n v="3981"/>
  </r>
  <r>
    <s v="P148"/>
    <x v="2"/>
    <d v="2025-04-15T00:00:00"/>
    <s v="Video"/>
    <s v="Check out our latest video on instagram!"/>
    <n v="4133"/>
    <n v="466"/>
    <n v="327"/>
    <n v="24798"/>
    <n v="24620"/>
    <n v="176"/>
    <s v="#EVRevolution"/>
    <s v="no data"/>
    <s v="no data"/>
    <s v="SustainabilityDrive"/>
    <n v="0.19864505202032423"/>
    <n v="4926"/>
  </r>
  <r>
    <s v="P149"/>
    <x v="0"/>
    <d v="2024-06-16T00:00:00"/>
    <s v="Video"/>
    <s v="Check out our latest video on twitter!"/>
    <n v="1702"/>
    <n v="750"/>
    <n v="179"/>
    <n v="34040"/>
    <n v="33174"/>
    <n v="76"/>
    <s v="#EVRevolution"/>
    <s v="no data"/>
    <s v="no data"/>
    <s v="CybertruckLaunch"/>
    <n v="7.7291421856639245E-2"/>
    <n v="2631"/>
  </r>
  <r>
    <s v="P150"/>
    <x v="1"/>
    <d v="2024-08-22T00:00:00"/>
    <s v="Carousel"/>
    <s v="Check out our latest carousel on youtube!"/>
    <n v="4295"/>
    <n v="853"/>
    <n v="325"/>
    <n v="85900"/>
    <n v="85788"/>
    <n v="290"/>
    <s v="#TeslaCoInnovation"/>
    <s v="no data"/>
    <s v="no data"/>
    <s v="SustainabilityDrive"/>
    <n v="6.3713620488940623E-2"/>
    <n v="5473"/>
  </r>
  <r>
    <s v="P151"/>
    <x v="2"/>
    <d v="2024-07-26T00:00:00"/>
    <s v="Image"/>
    <s v="Check out our latest image on instagram!"/>
    <n v="3559"/>
    <n v="59"/>
    <n v="289"/>
    <n v="35590"/>
    <n v="35105"/>
    <n v="122"/>
    <s v="#EVRevolution"/>
    <s v="no data"/>
    <s v="no data"/>
    <s v="CybertruckLaunch"/>
    <n v="0.10977802753582468"/>
    <n v="3907"/>
  </r>
  <r>
    <s v="P152"/>
    <x v="3"/>
    <d v="2025-04-22T00:00:00"/>
    <s v="Image"/>
    <s v="Check out our latest image on facebook!"/>
    <n v="4804"/>
    <n v="550"/>
    <n v="270"/>
    <n v="28824"/>
    <n v="28370"/>
    <n v="47"/>
    <s v="#EVRevolution"/>
    <s v="no data"/>
    <s v="no data"/>
    <s v="SustainabilityDrive"/>
    <n v="0.19511518179295032"/>
    <n v="5624"/>
  </r>
  <r>
    <s v="P153"/>
    <x v="0"/>
    <d v="2025-01-01T00:00:00"/>
    <s v="Video"/>
    <s v="Check out our latest video on twitter!"/>
    <n v="754"/>
    <n v="197"/>
    <n v="257"/>
    <n v="6786"/>
    <n v="6221"/>
    <n v="212"/>
    <s v="#TeslaCoInnovation"/>
    <s v="no data"/>
    <s v="no data"/>
    <s v="FSDUpdate"/>
    <n v="0.17801355732390214"/>
    <n v="1208"/>
  </r>
  <r>
    <s v="P154"/>
    <x v="2"/>
    <d v="2024-10-09T00:00:00"/>
    <s v="Carousel"/>
    <s v="Check out our latest carousel on instagram!"/>
    <n v="985"/>
    <n v="932"/>
    <n v="287"/>
    <n v="6895"/>
    <n v="6757"/>
    <n v="64"/>
    <s v="#FutureOfDriving"/>
    <s v="no data"/>
    <s v="no data"/>
    <s v="SustainabilityDrive"/>
    <n v="0.31965192168237855"/>
    <n v="2204"/>
  </r>
  <r>
    <s v="P155"/>
    <x v="1"/>
    <d v="2024-12-21T00:00:00"/>
    <s v="Image"/>
    <s v="Check out our latest image on youtube!"/>
    <n v="2283"/>
    <n v="210"/>
    <n v="130"/>
    <n v="22830"/>
    <n v="22617"/>
    <n v="143"/>
    <s v="#FutureOfDriving"/>
    <s v="no data"/>
    <s v="no data"/>
    <s v="ModelYCampaign"/>
    <n v="0.11489268506351293"/>
    <n v="2623"/>
  </r>
  <r>
    <s v="P156"/>
    <x v="3"/>
    <d v="2024-10-22T00:00:00"/>
    <s v="Carousel"/>
    <s v="Check out our latest carousel on facebook!"/>
    <n v="3352"/>
    <n v="941"/>
    <n v="482"/>
    <n v="43576"/>
    <n v="43338"/>
    <n v="240"/>
    <s v="#FutureOfDriving"/>
    <s v="no data"/>
    <s v="no data"/>
    <s v="ModelYCampaign"/>
    <n v="0.1095786671562328"/>
    <n v="4775"/>
  </r>
  <r>
    <s v="P157"/>
    <x v="1"/>
    <d v="2024-07-23T00:00:00"/>
    <s v="Story"/>
    <s v="Check out our latest story on youtube!"/>
    <n v="4775"/>
    <n v="173"/>
    <n v="206"/>
    <n v="47750"/>
    <n v="47544"/>
    <n v="187"/>
    <s v="#FutureOfDriving"/>
    <s v="no data"/>
    <s v="no data"/>
    <s v="ModelYCampaign"/>
    <n v="0.10793717277486911"/>
    <n v="5154"/>
  </r>
  <r>
    <s v="P158"/>
    <x v="2"/>
    <d v="2024-08-11T00:00:00"/>
    <s v="Story"/>
    <s v="Check out our latest story on instagram!"/>
    <n v="1762"/>
    <n v="405"/>
    <n v="423"/>
    <n v="22906"/>
    <n v="21925"/>
    <n v="25"/>
    <s v="#TeslaCoInnovation"/>
    <s v="no data"/>
    <s v="no data"/>
    <s v="CybertruckLaunch"/>
    <n v="0.11307081114118571"/>
    <n v="2590"/>
  </r>
  <r>
    <s v="P159"/>
    <x v="3"/>
    <d v="2024-11-25T00:00:00"/>
    <s v="Story"/>
    <s v="Check out our latest story on facebook!"/>
    <n v="2120"/>
    <n v="158"/>
    <n v="488"/>
    <n v="12720"/>
    <n v="12085"/>
    <n v="17"/>
    <s v="#FutureOfDriving"/>
    <s v="no data"/>
    <s v="no data"/>
    <s v="ModelYCampaign"/>
    <n v="0.21745283018867925"/>
    <n v="2766"/>
  </r>
  <r>
    <s v="P160"/>
    <x v="0"/>
    <d v="2024-08-24T00:00:00"/>
    <s v="Video"/>
    <s v="Check out our latest video on twitter!"/>
    <n v="1082"/>
    <n v="209"/>
    <n v="484"/>
    <n v="19476"/>
    <n v="18654"/>
    <n v="20"/>
    <s v="#TeslaCoInnovation"/>
    <s v="no data"/>
    <s v="no data"/>
    <s v="unknown"/>
    <n v="9.1137810638734856E-2"/>
    <n v="1775"/>
  </r>
  <r>
    <s v="P161"/>
    <x v="0"/>
    <d v="2025-02-19T00:00:00"/>
    <s v="Text"/>
    <s v="Check out our latest text on twitter!"/>
    <n v="4671"/>
    <n v="876"/>
    <n v="366"/>
    <n v="51381"/>
    <n v="50565"/>
    <n v="245"/>
    <s v="#TeslaCoInnovation"/>
    <s v="no data"/>
    <s v="no data"/>
    <s v="SustainabilityDrive"/>
    <n v="0.11508145034156594"/>
    <n v="5913"/>
  </r>
  <r>
    <s v="P162"/>
    <x v="3"/>
    <d v="2025-04-01T00:00:00"/>
    <s v="Story"/>
    <s v="Check out our latest story on facebook!"/>
    <n v="3430"/>
    <n v="566"/>
    <n v="164"/>
    <n v="48020"/>
    <n v="47305"/>
    <n v="120"/>
    <s v="#FutureOfDriving"/>
    <s v="no data"/>
    <s v="no data"/>
    <s v="unknown"/>
    <n v="8.6630570595585168E-2"/>
    <n v="4160"/>
  </r>
  <r>
    <s v="P163"/>
    <x v="2"/>
    <d v="2025-04-08T00:00:00"/>
    <s v="Image"/>
    <s v="Check out our latest image on instagram!"/>
    <n v="4501"/>
    <n v="375"/>
    <n v="323"/>
    <n v="22505"/>
    <n v="21836"/>
    <n v="132"/>
    <s v="#TeslaCoInnovation"/>
    <s v="no data"/>
    <s v="no data"/>
    <s v="ModelYCampaign"/>
    <n v="0.23101532992668297"/>
    <n v="5199"/>
  </r>
  <r>
    <s v="P164"/>
    <x v="1"/>
    <d v="2025-02-27T00:00:00"/>
    <s v="Text"/>
    <s v="Check out our latest text on youtube!"/>
    <n v="4934"/>
    <n v="971"/>
    <n v="156"/>
    <n v="39472"/>
    <n v="39025"/>
    <n v="169"/>
    <s v="#TeslaCoInnovation"/>
    <s v="#AnytimeIsTeslaTime"/>
    <s v="no data"/>
    <s v="SustainabilityDrive"/>
    <n v="0.15355188488042157"/>
    <n v="6061"/>
  </r>
  <r>
    <s v="P165"/>
    <x v="0"/>
    <d v="2024-12-11T00:00:00"/>
    <s v="Text"/>
    <s v="Check out our latest text on twitter!"/>
    <n v="3239"/>
    <n v="43"/>
    <n v="211"/>
    <n v="22673"/>
    <n v="22171"/>
    <n v="230"/>
    <s v="#TeslaCoInnovation"/>
    <s v="no data"/>
    <s v="no data"/>
    <s v="ModelYCampaign"/>
    <n v="0.15405989502933004"/>
    <n v="3493"/>
  </r>
  <r>
    <s v="P166"/>
    <x v="0"/>
    <d v="2025-02-16T00:00:00"/>
    <s v="Reel"/>
    <s v="Check out our latest reel on twitter!"/>
    <n v="1076"/>
    <n v="313"/>
    <n v="306"/>
    <n v="11836"/>
    <n v="11596"/>
    <n v="104"/>
    <s v="#FutureOfDriving"/>
    <s v="no data"/>
    <s v="no data"/>
    <s v="CybertruckLaunch"/>
    <n v="0.14320716458262928"/>
    <n v="1695"/>
  </r>
  <r>
    <s v="P167"/>
    <x v="2"/>
    <d v="2024-11-28T00:00:00"/>
    <s v="Text"/>
    <s v="Check out our latest text on instagram!"/>
    <n v="4771"/>
    <n v="818"/>
    <n v="56"/>
    <n v="57252"/>
    <n v="56378"/>
    <n v="150"/>
    <s v="#FutureOfDriving"/>
    <s v="no data"/>
    <s v="no data"/>
    <s v="unknown"/>
    <n v="9.859917557465242E-2"/>
    <n v="5645"/>
  </r>
  <r>
    <s v="P168"/>
    <x v="3"/>
    <d v="2024-11-12T00:00:00"/>
    <s v="Text"/>
    <s v="Check out our latest text on facebook!"/>
    <n v="2418"/>
    <n v="754"/>
    <n v="54"/>
    <n v="43524"/>
    <n v="42743"/>
    <n v="182"/>
    <s v="#EVRevolution"/>
    <s v="no data"/>
    <s v="no data"/>
    <s v="CybertruckLaunch"/>
    <n v="7.412002573292896E-2"/>
    <n v="3226"/>
  </r>
  <r>
    <s v="P169"/>
    <x v="1"/>
    <d v="2024-12-03T00:00:00"/>
    <s v="Video"/>
    <s v="Check out our latest video on youtube!"/>
    <n v="3809"/>
    <n v="273"/>
    <n v="200"/>
    <n v="34281"/>
    <n v="33534"/>
    <n v="83"/>
    <s v="#EVRevolution"/>
    <s v="no data"/>
    <s v="no data"/>
    <s v="CybertruckLaunch"/>
    <n v="0.12490884163239112"/>
    <n v="4282"/>
  </r>
  <r>
    <s v="P170"/>
    <x v="0"/>
    <d v="2025-04-28T00:00:00"/>
    <s v="Text"/>
    <s v="Check out our latest text on twitter!"/>
    <n v="3577"/>
    <n v="596"/>
    <n v="493"/>
    <n v="67963"/>
    <n v="67839"/>
    <n v="53"/>
    <s v="#TeslaCoInnovation"/>
    <s v="no data"/>
    <s v="no data"/>
    <s v="FSDUpdate"/>
    <n v="6.8655003457763777E-2"/>
    <n v="4666"/>
  </r>
  <r>
    <s v="P171"/>
    <x v="1"/>
    <d v="2024-12-31T00:00:00"/>
    <s v="Video"/>
    <s v="Check out our latest video on youtube!"/>
    <n v="1018"/>
    <n v="447"/>
    <n v="332"/>
    <n v="18324"/>
    <n v="18164"/>
    <n v="38"/>
    <s v="#FutureOfDriving"/>
    <s v="no data"/>
    <s v="no data"/>
    <s v="ModelYCampaign"/>
    <n v="9.8068107400130972E-2"/>
    <n v="1797"/>
  </r>
  <r>
    <s v="P172"/>
    <x v="3"/>
    <d v="2024-08-14T00:00:00"/>
    <s v="Carousel"/>
    <s v="Check out our latest carousel on facebook!"/>
    <n v="3073"/>
    <n v="553"/>
    <n v="174"/>
    <n v="52241"/>
    <n v="51605"/>
    <n v="246"/>
    <s v="#EVRevolution"/>
    <s v="no data"/>
    <s v="no data"/>
    <s v="FSDUpdate"/>
    <n v="7.2739802071170159E-2"/>
    <n v="3800"/>
  </r>
  <r>
    <s v="P173"/>
    <x v="0"/>
    <d v="2024-12-05T00:00:00"/>
    <s v="Video"/>
    <s v="Check out our latest video on twitter!"/>
    <n v="1330"/>
    <n v="925"/>
    <n v="35"/>
    <n v="15960"/>
    <n v="15379"/>
    <n v="229"/>
    <s v="#FutureOfDriving"/>
    <s v="no data"/>
    <s v="no data"/>
    <s v="FSDUpdate"/>
    <n v="0.14348370927318296"/>
    <n v="2290"/>
  </r>
  <r>
    <s v="P174"/>
    <x v="3"/>
    <d v="2024-06-22T00:00:00"/>
    <s v="Text"/>
    <s v="Check out our latest text on facebook!"/>
    <n v="3828"/>
    <n v="148"/>
    <n v="253"/>
    <n v="30624"/>
    <n v="30229"/>
    <n v="235"/>
    <s v="#EVRevolution"/>
    <s v="no data"/>
    <s v="no data"/>
    <s v="unknown"/>
    <n v="0.13809430512016718"/>
    <n v="4229"/>
  </r>
  <r>
    <s v="P175"/>
    <x v="2"/>
    <d v="2025-01-17T00:00:00"/>
    <s v="Reel"/>
    <s v="Check out our latest reel on instagram!"/>
    <n v="142"/>
    <n v="784"/>
    <n v="183"/>
    <n v="1704"/>
    <n v="995"/>
    <n v="154"/>
    <s v="#FutureOfDriving"/>
    <s v="no data"/>
    <s v="no data"/>
    <s v="SustainabilityDrive"/>
    <n v="0.6508215962441315"/>
    <n v="1109"/>
  </r>
  <r>
    <s v="P176"/>
    <x v="3"/>
    <d v="2024-06-20T00:00:00"/>
    <s v="Video"/>
    <s v="Check out our latest video on facebook!"/>
    <n v="3798"/>
    <n v="31"/>
    <n v="279"/>
    <n v="75960"/>
    <n v="75813"/>
    <n v="266"/>
    <s v="#TeslaCoInnovation"/>
    <s v="no data"/>
    <s v="no data"/>
    <s v="CybertruckLaunch"/>
    <n v="5.4081095313322801E-2"/>
    <n v="4108"/>
  </r>
  <r>
    <s v="P177"/>
    <x v="2"/>
    <d v="2024-07-10T00:00:00"/>
    <s v="Carousel"/>
    <s v="Check out our latest carousel on instagram!"/>
    <n v="3099"/>
    <n v="694"/>
    <n v="171"/>
    <n v="43386"/>
    <n v="42921"/>
    <n v="52"/>
    <s v="#TeslaCoInnovation"/>
    <s v="no data"/>
    <s v="no data"/>
    <s v="FSDUpdate"/>
    <n v="9.1365878393951966E-2"/>
    <n v="3964"/>
  </r>
  <r>
    <s v="P178"/>
    <x v="2"/>
    <d v="2024-11-07T00:00:00"/>
    <s v="Video"/>
    <s v="Check out our latest video on instagram!"/>
    <n v="129"/>
    <n v="643"/>
    <n v="136"/>
    <n v="1290"/>
    <n v="839"/>
    <n v="238"/>
    <s v="#TeslaCoInnovation"/>
    <s v="no data"/>
    <s v="no data"/>
    <s v="SustainabilityDrive"/>
    <n v="0.70387596899224802"/>
    <n v="908"/>
  </r>
  <r>
    <s v="P179"/>
    <x v="3"/>
    <d v="2024-07-15T00:00:00"/>
    <s v="Carousel"/>
    <s v="Check out our latest carousel on facebook!"/>
    <n v="3796"/>
    <n v="667"/>
    <n v="395"/>
    <n v="64532"/>
    <n v="63550"/>
    <n v="292"/>
    <s v="#TeslaCoInnovation"/>
    <s v="no data"/>
    <s v="no data"/>
    <s v="unknown"/>
    <n v="7.5280481001673588E-2"/>
    <n v="4858"/>
  </r>
  <r>
    <s v="P180"/>
    <x v="1"/>
    <d v="2024-12-03T00:00:00"/>
    <s v="Text"/>
    <s v="Check out our latest text on youtube!"/>
    <n v="3711"/>
    <n v="352"/>
    <n v="290"/>
    <n v="48243"/>
    <n v="47579"/>
    <n v="11"/>
    <s v="#TeslaCoInnovation"/>
    <s v="no data"/>
    <s v="no data"/>
    <s v="CybertruckLaunch"/>
    <n v="9.023070704558174E-2"/>
    <n v="4353"/>
  </r>
  <r>
    <s v="P181"/>
    <x v="1"/>
    <d v="2025-03-21T00:00:00"/>
    <s v="Image"/>
    <s v="Check out our latest image on youtube!"/>
    <n v="606"/>
    <n v="789"/>
    <n v="470"/>
    <n v="7878"/>
    <n v="7389"/>
    <n v="239"/>
    <s v="#EVRevolution"/>
    <s v="no data"/>
    <s v="no data"/>
    <s v="FSDUpdate"/>
    <n v="0.23673521198273673"/>
    <n v="1865"/>
  </r>
  <r>
    <s v="P182"/>
    <x v="3"/>
    <d v="2024-07-31T00:00:00"/>
    <s v="Image"/>
    <s v="Check out our latest image on facebook!"/>
    <n v="4689"/>
    <n v="134"/>
    <n v="403"/>
    <n v="51579"/>
    <n v="50924"/>
    <n v="173"/>
    <s v="#TeslaCoInnovation"/>
    <s v="no data"/>
    <s v="no data"/>
    <s v="SustainabilityDrive"/>
    <n v="0.10132030477519921"/>
    <n v="5226"/>
  </r>
  <r>
    <s v="P183"/>
    <x v="2"/>
    <d v="2024-12-17T00:00:00"/>
    <s v="Story"/>
    <s v="Check out our latest story on instagram!"/>
    <n v="360"/>
    <n v="590"/>
    <n v="393"/>
    <n v="4680"/>
    <n v="4322"/>
    <n v="208"/>
    <s v="#FutureOfDriving"/>
    <s v="no data"/>
    <s v="no data"/>
    <s v="ModelYCampaign"/>
    <n v="0.28696581196581195"/>
    <n v="1343"/>
  </r>
  <r>
    <s v="P184"/>
    <x v="0"/>
    <d v="2024-07-28T00:00:00"/>
    <s v="Image"/>
    <s v="Check out our latest image on twitter!"/>
    <n v="3215"/>
    <n v="960"/>
    <n v="202"/>
    <n v="32150"/>
    <n v="31404"/>
    <n v="251"/>
    <s v="#EVRevolution"/>
    <s v="no data"/>
    <s v="no data"/>
    <s v="CybertruckLaunch"/>
    <n v="0.13614307931570763"/>
    <n v="4377"/>
  </r>
  <r>
    <s v="P185"/>
    <x v="2"/>
    <d v="2025-01-11T00:00:00"/>
    <s v="Carousel"/>
    <s v="Check out our latest carousel on instagram!"/>
    <n v="4523"/>
    <n v="61"/>
    <n v="157"/>
    <n v="49753"/>
    <n v="49329"/>
    <n v="71"/>
    <s v="#EVRevolution"/>
    <s v="no data"/>
    <s v="no data"/>
    <s v="unknown"/>
    <n v="9.5290736237010829E-2"/>
    <n v="4741"/>
  </r>
  <r>
    <s v="P186"/>
    <x v="3"/>
    <d v="2024-08-24T00:00:00"/>
    <s v="Carousel"/>
    <s v="Check out our latest carousel on facebook!"/>
    <n v="4292"/>
    <n v="51"/>
    <n v="392"/>
    <n v="55796"/>
    <n v="54826"/>
    <n v="264"/>
    <s v="#EVRevolution"/>
    <s v="no data"/>
    <s v="no data"/>
    <s v="FSDUpdate"/>
    <n v="8.4862714173059003E-2"/>
    <n v="4735"/>
  </r>
  <r>
    <s v="P187"/>
    <x v="0"/>
    <d v="2024-12-22T00:00:00"/>
    <s v="Reel"/>
    <s v="Check out our latest reel on twitter!"/>
    <n v="1644"/>
    <n v="546"/>
    <n v="150"/>
    <n v="27948"/>
    <n v="27184"/>
    <n v="300"/>
    <s v="#EVRevolution"/>
    <s v="no data"/>
    <s v="no data"/>
    <s v="FSDUpdate"/>
    <n v="8.3726921425504502E-2"/>
    <n v="2340"/>
  </r>
  <r>
    <s v="P188"/>
    <x v="1"/>
    <d v="2024-06-06T00:00:00"/>
    <s v="Reel"/>
    <s v="Check out our latest reel on youtube!"/>
    <n v="2728"/>
    <n v="533"/>
    <n v="215"/>
    <n v="40920"/>
    <n v="40816"/>
    <n v="137"/>
    <s v="#FutureOfDriving"/>
    <s v="no data"/>
    <s v="no data"/>
    <s v="ModelYCampaign"/>
    <n v="8.4946236559139784E-2"/>
    <n v="3476"/>
  </r>
  <r>
    <s v="P189"/>
    <x v="3"/>
    <d v="2025-03-24T00:00:00"/>
    <s v="Reel"/>
    <s v="Check out our latest reel on facebook!"/>
    <n v="3360"/>
    <n v="525"/>
    <n v="500"/>
    <n v="60480"/>
    <n v="59610"/>
    <n v="192"/>
    <s v="#TeslaCoInnovation"/>
    <s v="no data"/>
    <s v="no data"/>
    <s v="CybertruckLaunch"/>
    <n v="7.2503306878306875E-2"/>
    <n v="4385"/>
  </r>
  <r>
    <s v="P190"/>
    <x v="1"/>
    <d v="2024-10-04T00:00:00"/>
    <s v="Text"/>
    <s v="Check out our latest text on youtube!"/>
    <n v="1963"/>
    <n v="213"/>
    <n v="19"/>
    <n v="39260"/>
    <n v="38771"/>
    <n v="145"/>
    <s v="#FutureOfDriving"/>
    <s v="no data"/>
    <s v="no data"/>
    <s v="unknown"/>
    <n v="5.5909322465613857E-2"/>
    <n v="2195"/>
  </r>
  <r>
    <s v="P191"/>
    <x v="1"/>
    <d v="2024-12-03T00:00:00"/>
    <s v="Story"/>
    <s v="Check out our latest story on youtube!"/>
    <n v="4285"/>
    <n v="886"/>
    <n v="376"/>
    <n v="55705"/>
    <n v="55556"/>
    <n v="51"/>
    <s v="#FutureOfDriving"/>
    <s v="no data"/>
    <s v="no data"/>
    <s v="FSDUpdate"/>
    <n v="9.9578134817341346E-2"/>
    <n v="5547"/>
  </r>
  <r>
    <s v="P192"/>
    <x v="2"/>
    <d v="2024-11-29T00:00:00"/>
    <s v="Video"/>
    <s v="Check out our latest video on instagram!"/>
    <n v="1176"/>
    <n v="464"/>
    <n v="394"/>
    <n v="14112"/>
    <n v="13588"/>
    <n v="272"/>
    <s v="#EVRevolution"/>
    <s v="no data"/>
    <s v="no data"/>
    <s v="unknown"/>
    <n v="0.1441326530612245"/>
    <n v="2034"/>
  </r>
  <r>
    <s v="P193"/>
    <x v="0"/>
    <d v="2024-09-11T00:00:00"/>
    <s v="Image"/>
    <s v="Check out our latest image on twitter!"/>
    <n v="4858"/>
    <n v="317"/>
    <n v="129"/>
    <n v="53438"/>
    <n v="52687"/>
    <n v="223"/>
    <s v="#EVRevolution"/>
    <s v="no data"/>
    <s v="no data"/>
    <s v="FSDUpdate"/>
    <n v="9.9255211647142488E-2"/>
    <n v="5304"/>
  </r>
  <r>
    <s v="P194"/>
    <x v="1"/>
    <d v="2024-10-02T00:00:00"/>
    <s v="Story"/>
    <s v="Check out our latest story on youtube!"/>
    <n v="4350"/>
    <n v="771"/>
    <n v="7"/>
    <n v="60900"/>
    <n v="60592"/>
    <n v="195"/>
    <s v="#EVRevolution"/>
    <s v="no data"/>
    <s v="no data"/>
    <s v="CybertruckLaunch"/>
    <n v="8.4203612479474554E-2"/>
    <n v="5128"/>
  </r>
  <r>
    <s v="P195"/>
    <x v="2"/>
    <d v="2024-08-15T00:00:00"/>
    <s v="Carousel"/>
    <s v="Check out our latest carousel on instagram!"/>
    <n v="914"/>
    <n v="464"/>
    <n v="246"/>
    <n v="11882"/>
    <n v="11500"/>
    <n v="282"/>
    <s v="#FutureOfDriving"/>
    <s v="#TeslaCoInnovation"/>
    <s v="#AnytimeIsTeslaTime"/>
    <s v="SustainabilityDrive"/>
    <n v="0.13667732704931829"/>
    <n v="1624"/>
  </r>
  <r>
    <s v="P196"/>
    <x v="2"/>
    <d v="2024-12-19T00:00:00"/>
    <s v="Text"/>
    <s v="Check out our latest text on instagram!"/>
    <n v="1813"/>
    <n v="623"/>
    <n v="72"/>
    <n v="19943"/>
    <n v="18959"/>
    <n v="85"/>
    <s v="#EVRevolution"/>
    <s v="no data"/>
    <s v="no data"/>
    <s v="FSDUpdate"/>
    <n v="0.12575841147269717"/>
    <n v="2508"/>
  </r>
  <r>
    <s v="P197"/>
    <x v="0"/>
    <d v="2024-10-22T00:00:00"/>
    <s v="Reel"/>
    <s v="Check out our latest reel on twitter!"/>
    <n v="4782"/>
    <n v="721"/>
    <n v="82"/>
    <n v="86076"/>
    <n v="85339"/>
    <n v="19"/>
    <s v="#EVRevolution"/>
    <s v="no data"/>
    <s v="no data"/>
    <s v="CybertruckLaunch"/>
    <n v="6.4884520656164318E-2"/>
    <n v="5585"/>
  </r>
  <r>
    <s v="P198"/>
    <x v="0"/>
    <d v="2024-09-14T00:00:00"/>
    <s v="Image"/>
    <s v="Check out our latest image on twitter!"/>
    <n v="1048"/>
    <n v="374"/>
    <n v="450"/>
    <n v="9432"/>
    <n v="8882"/>
    <n v="158"/>
    <s v="#TeslaCoInnovation"/>
    <s v="no data"/>
    <s v="no data"/>
    <s v="FSDUpdate"/>
    <n v="0.19847328244274809"/>
    <n v="1872"/>
  </r>
  <r>
    <s v="P199"/>
    <x v="1"/>
    <d v="2024-11-30T00:00:00"/>
    <s v="Carousel"/>
    <s v="Check out our latest carousel on youtube!"/>
    <n v="2509"/>
    <n v="324"/>
    <n v="171"/>
    <n v="35126"/>
    <n v="34685"/>
    <n v="277"/>
    <s v="#TeslaCoInnovation"/>
    <s v="no data"/>
    <s v="no data"/>
    <s v="ModelYCampaign"/>
    <n v="8.5520696919660646E-2"/>
    <n v="3004"/>
  </r>
  <r>
    <s v="P200"/>
    <x v="3"/>
    <d v="2025-04-07T00:00:00"/>
    <s v="Reel"/>
    <s v="Check out our latest reel on facebook!"/>
    <n v="3718"/>
    <n v="385"/>
    <n v="310"/>
    <n v="70642"/>
    <n v="69749"/>
    <n v="233"/>
    <s v="#TeslaCoInnovation"/>
    <s v="no data"/>
    <s v="no data"/>
    <s v="ModelYCampaign"/>
    <n v="6.246991874522239E-2"/>
    <n v="4413"/>
  </r>
  <r>
    <s v="P201"/>
    <x v="0"/>
    <d v="2025-01-15T00:00:00"/>
    <s v="Reel"/>
    <s v="Check out our latest reel on twitter!"/>
    <n v="802"/>
    <n v="262"/>
    <n v="244"/>
    <n v="14436"/>
    <n v="14280"/>
    <n v="49"/>
    <s v="#EVRevolution"/>
    <s v="no data"/>
    <s v="no data"/>
    <s v="CybertruckLaunch"/>
    <n v="9.0606816292601824E-2"/>
    <n v="1308"/>
  </r>
  <r>
    <s v="P202"/>
    <x v="3"/>
    <d v="2024-06-02T00:00:00"/>
    <s v="Image"/>
    <s v="Check out our latest image on facebook!"/>
    <n v="1871"/>
    <n v="252"/>
    <n v="335"/>
    <n v="29936"/>
    <n v="29576"/>
    <n v="288"/>
    <s v="#EVRevolution"/>
    <s v="no data"/>
    <s v="no data"/>
    <s v="FSDUpdate"/>
    <n v="8.2108498129342594E-2"/>
    <n v="2458"/>
  </r>
  <r>
    <s v="P203"/>
    <x v="2"/>
    <d v="2024-11-21T00:00:00"/>
    <s v="Carousel"/>
    <s v="Check out our latest carousel on instagram!"/>
    <n v="3773"/>
    <n v="299"/>
    <n v="38"/>
    <n v="71687"/>
    <n v="71447"/>
    <n v="286"/>
    <s v="#FutureOfDriving"/>
    <s v="no data"/>
    <s v="no data"/>
    <s v="CybertruckLaunch"/>
    <n v="5.7332570758993957E-2"/>
    <n v="4110"/>
  </r>
  <r>
    <s v="P204"/>
    <x v="2"/>
    <d v="2025-01-01T00:00:00"/>
    <s v="Carousel"/>
    <s v="Check out our latest carousel on instagram!"/>
    <n v="2234"/>
    <n v="653"/>
    <n v="432"/>
    <n v="11170"/>
    <n v="10569"/>
    <n v="198"/>
    <s v="#FutureOfDriving"/>
    <s v="no data"/>
    <s v="no data"/>
    <s v="FSDUpdate"/>
    <n v="0.29713518352730528"/>
    <n v="3319"/>
  </r>
  <r>
    <s v="P205"/>
    <x v="0"/>
    <d v="2025-04-24T00:00:00"/>
    <s v="Video"/>
    <s v="Check out our latest video on twitter!"/>
    <n v="3820"/>
    <n v="697"/>
    <n v="268"/>
    <n v="45840"/>
    <n v="45631"/>
    <n v="171"/>
    <s v="#TeslaCoInnovation"/>
    <s v="#SmoothLikeNitroTesla"/>
    <s v="no data"/>
    <s v="SustainabilityDrive"/>
    <n v="0.1043848167539267"/>
    <n v="4785"/>
  </r>
  <r>
    <s v="P206"/>
    <x v="0"/>
    <d v="2024-06-24T00:00:00"/>
    <s v="Text"/>
    <s v="Check out our latest text on twitter!"/>
    <n v="941"/>
    <n v="121"/>
    <n v="458"/>
    <n v="14115"/>
    <n v="13838"/>
    <n v="87"/>
    <s v="#EVRevolution"/>
    <s v="no data"/>
    <s v="no data"/>
    <s v="CybertruckLaunch"/>
    <n v="0.10768685795253277"/>
    <n v="1520"/>
  </r>
  <r>
    <s v="P207"/>
    <x v="0"/>
    <d v="2024-12-29T00:00:00"/>
    <s v="Carousel"/>
    <s v="Check out our latest carousel on twitter!"/>
    <n v="4274"/>
    <n v="340"/>
    <n v="281"/>
    <n v="34192"/>
    <n v="33446"/>
    <n v="129"/>
    <s v="#TeslaCoInnovation"/>
    <s v="#SmoothLikeNitroTesla"/>
    <s v="no data"/>
    <s v="FSDUpdate"/>
    <n v="0.14316214319138981"/>
    <n v="4895"/>
  </r>
  <r>
    <s v="P208"/>
    <x v="1"/>
    <d v="2024-06-24T00:00:00"/>
    <s v="Video"/>
    <s v="Check out our latest video on youtube!"/>
    <n v="2949"/>
    <n v="476"/>
    <n v="403"/>
    <n v="44235"/>
    <n v="43705"/>
    <n v="135"/>
    <s v="#TeslaCoInnovation"/>
    <s v="no data"/>
    <s v="no data"/>
    <s v="ModelYCampaign"/>
    <n v="8.6537809426924378E-2"/>
    <n v="3828"/>
  </r>
  <r>
    <s v="P209"/>
    <x v="0"/>
    <d v="2025-03-19T00:00:00"/>
    <s v="Video"/>
    <s v="Check out our latest video on twitter!"/>
    <n v="3160"/>
    <n v="204"/>
    <n v="297"/>
    <n v="44240"/>
    <n v="43666"/>
    <n v="49"/>
    <s v="#FutureOfDriving"/>
    <s v="#AnytimeIsTeslaTime"/>
    <s v="no data"/>
    <s v="SustainabilityDrive"/>
    <n v="8.2753164556962022E-2"/>
    <n v="3661"/>
  </r>
  <r>
    <s v="P210"/>
    <x v="1"/>
    <d v="2025-02-19T00:00:00"/>
    <s v="Image"/>
    <s v="Check out our latest image on youtube!"/>
    <n v="257"/>
    <n v="966"/>
    <n v="398"/>
    <n v="3341"/>
    <n v="2753"/>
    <n v="287"/>
    <s v="#FutureOfDriving"/>
    <s v="no data"/>
    <s v="no data"/>
    <s v="CybertruckLaunch"/>
    <n v="0.48518407662376534"/>
    <n v="1621"/>
  </r>
  <r>
    <s v="P211"/>
    <x v="0"/>
    <d v="2024-07-18T00:00:00"/>
    <s v="Carousel"/>
    <s v="Check out our latest carousel on twitter!"/>
    <n v="2120"/>
    <n v="38"/>
    <n v="212"/>
    <n v="12720"/>
    <n v="12564"/>
    <n v="21"/>
    <s v="#FutureOfDriving"/>
    <s v="no data"/>
    <s v="no data"/>
    <s v="SustainabilityDrive"/>
    <n v="0.18632075471698112"/>
    <n v="2370"/>
  </r>
  <r>
    <s v="P212"/>
    <x v="1"/>
    <d v="2025-03-03T00:00:00"/>
    <s v="Video"/>
    <s v="Check out our latest video on youtube!"/>
    <n v="3874"/>
    <n v="884"/>
    <n v="19"/>
    <n v="38740"/>
    <n v="38552"/>
    <n v="219"/>
    <s v="#TeslaCoInnovation"/>
    <s v="no data"/>
    <s v="no data"/>
    <s v="ModelYCampaign"/>
    <n v="0.123309241094476"/>
    <n v="4777"/>
  </r>
  <r>
    <s v="P213"/>
    <x v="3"/>
    <d v="2025-05-01T00:00:00"/>
    <s v="Carousel"/>
    <s v="Check out our latest carousel on facebook!"/>
    <n v="2696"/>
    <n v="628"/>
    <n v="443"/>
    <n v="45832"/>
    <n v="45632"/>
    <n v="248"/>
    <s v="#EVRevolution"/>
    <s v="no data"/>
    <s v="no data"/>
    <s v="SustainabilityDrive"/>
    <n v="8.21914819340199E-2"/>
    <n v="3767"/>
  </r>
  <r>
    <s v="P214"/>
    <x v="2"/>
    <d v="2024-12-23T00:00:00"/>
    <s v="Image"/>
    <s v="Check out our latest image on instagram!"/>
    <n v="521"/>
    <n v="746"/>
    <n v="315"/>
    <n v="4168"/>
    <n v="3399"/>
    <n v="282"/>
    <s v="#FutureOfDriving"/>
    <s v="no data"/>
    <s v="no data"/>
    <s v="ModelYCampaign"/>
    <n v="0.37955854126679461"/>
    <n v="1582"/>
  </r>
  <r>
    <s v="P215"/>
    <x v="3"/>
    <d v="2025-05-06T00:00:00"/>
    <s v="Image"/>
    <s v="Check out our latest image on facebook!"/>
    <n v="4872"/>
    <n v="925"/>
    <n v="176"/>
    <n v="82824"/>
    <n v="82543"/>
    <n v="89"/>
    <s v="#EVRevolution"/>
    <s v="no data"/>
    <s v="no data"/>
    <s v="ModelYCampaign"/>
    <n v="7.2116777745580993E-2"/>
    <n v="5973"/>
  </r>
  <r>
    <s v="P216"/>
    <x v="1"/>
    <d v="2024-07-29T00:00:00"/>
    <s v="Story"/>
    <s v="Check out our latest story on youtube!"/>
    <n v="1509"/>
    <n v="88"/>
    <n v="163"/>
    <n v="30180"/>
    <n v="29689"/>
    <n v="119"/>
    <s v="#EVRevolution"/>
    <s v="no data"/>
    <s v="no data"/>
    <s v="ModelYCampaign"/>
    <n v="5.8316766070245198E-2"/>
    <n v="1760"/>
  </r>
  <r>
    <s v="P217"/>
    <x v="3"/>
    <d v="2024-12-03T00:00:00"/>
    <s v="Image"/>
    <s v="Check out our latest image on facebook!"/>
    <n v="4606"/>
    <n v="931"/>
    <n v="230"/>
    <n v="92120"/>
    <n v="91440"/>
    <n v="56"/>
    <s v="#TeslaCoInnovation"/>
    <s v="no data"/>
    <s v="no data"/>
    <s v="unknown"/>
    <n v="6.2603126356925748E-2"/>
    <n v="5767"/>
  </r>
  <r>
    <s v="P218"/>
    <x v="3"/>
    <d v="2024-06-11T00:00:00"/>
    <s v="Carousel"/>
    <s v="Check out our latest carousel on facebook!"/>
    <n v="1869"/>
    <n v="453"/>
    <n v="490"/>
    <n v="14952"/>
    <n v="14309"/>
    <n v="275"/>
    <s v="#TeslaCoInnovation"/>
    <s v="no data"/>
    <s v="no data"/>
    <s v="SustainabilityDrive"/>
    <n v="0.18806848582129482"/>
    <n v="2812"/>
  </r>
  <r>
    <s v="P219"/>
    <x v="0"/>
    <d v="2025-01-28T00:00:00"/>
    <s v="Reel"/>
    <s v="Check out our latest reel on twitter!"/>
    <n v="1188"/>
    <n v="470"/>
    <n v="174"/>
    <n v="7128"/>
    <n v="6145"/>
    <n v="270"/>
    <s v="#TeslaCoInnovation"/>
    <s v="no data"/>
    <s v="no data"/>
    <s v="SustainabilityDrive"/>
    <n v="0.25701459034792368"/>
    <n v="1832"/>
  </r>
  <r>
    <s v="P220"/>
    <x v="2"/>
    <d v="2024-06-02T00:00:00"/>
    <s v="Story"/>
    <s v="Check out our latest story on instagram!"/>
    <n v="84"/>
    <n v="897"/>
    <n v="85"/>
    <n v="588"/>
    <n v="8"/>
    <n v="12"/>
    <s v="#EVRevolution"/>
    <s v="no data"/>
    <s v="no data"/>
    <s v="unknown"/>
    <n v="1.8129251700680271"/>
    <n v="1066"/>
  </r>
  <r>
    <s v="P221"/>
    <x v="3"/>
    <d v="2025-03-23T00:00:00"/>
    <s v="Video"/>
    <s v="Check out our latest video on facebook!"/>
    <n v="4453"/>
    <n v="111"/>
    <n v="420"/>
    <n v="31171"/>
    <n v="30565"/>
    <n v="23"/>
    <s v="#TeslaCoInnovation"/>
    <s v="no data"/>
    <s v="no data"/>
    <s v="unknown"/>
    <n v="0.15989220750056141"/>
    <n v="4984"/>
  </r>
  <r>
    <s v="P222"/>
    <x v="3"/>
    <d v="2024-10-08T00:00:00"/>
    <s v="Reel"/>
    <s v="Check out our latest reel on facebook!"/>
    <n v="1814"/>
    <n v="653"/>
    <n v="363"/>
    <n v="25396"/>
    <n v="25286"/>
    <n v="39"/>
    <s v="#FutureOfDriving"/>
    <s v="#SmoothLikeNitroTesla"/>
    <s v="no data"/>
    <s v="CybertruckLaunch"/>
    <n v="0.11143487163332809"/>
    <n v="2830"/>
  </r>
  <r>
    <s v="P223"/>
    <x v="0"/>
    <d v="2024-11-12T00:00:00"/>
    <s v="Image"/>
    <s v="Check out our latest image on twitter!"/>
    <n v="3338"/>
    <n v="277"/>
    <n v="118"/>
    <n v="60084"/>
    <n v="59842"/>
    <n v="252"/>
    <s v="#TeslaCoInnovation"/>
    <s v="no data"/>
    <s v="no data"/>
    <s v="unknown"/>
    <n v="6.2129685107516146E-2"/>
    <n v="3733"/>
  </r>
  <r>
    <s v="P224"/>
    <x v="3"/>
    <d v="2025-05-13T00:00:00"/>
    <s v="Image"/>
    <s v="Check out our latest image on facebook!"/>
    <n v="602"/>
    <n v="594"/>
    <n v="156"/>
    <n v="4214"/>
    <n v="3363"/>
    <n v="164"/>
    <s v="#TeslaCoInnovation"/>
    <s v="no data"/>
    <s v="no data"/>
    <s v="FSDUpdate"/>
    <n v="0.32083531086853345"/>
    <n v="1352"/>
  </r>
  <r>
    <s v="P225"/>
    <x v="0"/>
    <d v="2024-06-20T00:00:00"/>
    <s v="Carousel"/>
    <s v="Check out our latest carousel on twitter!"/>
    <n v="4672"/>
    <n v="325"/>
    <n v="32"/>
    <n v="88768"/>
    <n v="87833"/>
    <n v="118"/>
    <s v="#EVRevolution"/>
    <s v="no data"/>
    <s v="no data"/>
    <s v="unknown"/>
    <n v="5.6653298485940883E-2"/>
    <n v="5029"/>
  </r>
  <r>
    <s v="P226"/>
    <x v="2"/>
    <d v="2024-08-07T00:00:00"/>
    <s v="Carousel"/>
    <s v="Check out our latest carousel on instagram!"/>
    <n v="1741"/>
    <n v="164"/>
    <n v="318"/>
    <n v="8705"/>
    <n v="8272"/>
    <n v="121"/>
    <s v="#TeslaCoInnovation"/>
    <s v="no data"/>
    <s v="no data"/>
    <s v="unknown"/>
    <n v="0.25537047673750718"/>
    <n v="2223"/>
  </r>
  <r>
    <s v="P227"/>
    <x v="2"/>
    <d v="2024-06-12T00:00:00"/>
    <s v="Text"/>
    <s v="Check out our latest text on instagram!"/>
    <n v="246"/>
    <n v="149"/>
    <n v="130"/>
    <n v="4674"/>
    <n v="4390"/>
    <n v="217"/>
    <s v="#FutureOfDriving"/>
    <s v="no data"/>
    <s v="no data"/>
    <s v="FSDUpdate"/>
    <n v="0.11232349165596919"/>
    <n v="525"/>
  </r>
  <r>
    <s v="P228"/>
    <x v="2"/>
    <d v="2024-07-01T00:00:00"/>
    <s v="Story"/>
    <s v="Check out our latest story on instagram!"/>
    <n v="4808"/>
    <n v="772"/>
    <n v="320"/>
    <n v="72120"/>
    <n v="71696"/>
    <n v="195"/>
    <s v="#EVRevolution"/>
    <s v="no data"/>
    <s v="no data"/>
    <s v="CybertruckLaunch"/>
    <n v="8.1808097615085965E-2"/>
    <n v="5900"/>
  </r>
  <r>
    <s v="P229"/>
    <x v="2"/>
    <d v="2024-07-03T00:00:00"/>
    <s v="Carousel"/>
    <s v="Check out our latest carousel on instagram!"/>
    <n v="4799"/>
    <n v="694"/>
    <n v="289"/>
    <n v="43191"/>
    <n v="42228"/>
    <n v="118"/>
    <s v="#TeslaCoInnovation"/>
    <s v="no data"/>
    <s v="no data"/>
    <s v="unknown"/>
    <n v="0.13387048227640017"/>
    <n v="5782"/>
  </r>
  <r>
    <s v="P230"/>
    <x v="3"/>
    <d v="2024-07-15T00:00:00"/>
    <s v="Reel"/>
    <s v="Check out our latest reel on facebook!"/>
    <n v="3663"/>
    <n v="17"/>
    <n v="295"/>
    <n v="51282"/>
    <n v="50567"/>
    <n v="84"/>
    <s v="#EVRevolution"/>
    <s v="no data"/>
    <s v="no data"/>
    <s v="FSDUpdate"/>
    <n v="7.7512577512577507E-2"/>
    <n v="3975"/>
  </r>
  <r>
    <s v="P231"/>
    <x v="2"/>
    <d v="2025-05-01T00:00:00"/>
    <s v="Text"/>
    <s v="Check out our latest text on instagram!"/>
    <n v="1430"/>
    <n v="376"/>
    <n v="33"/>
    <n v="21450"/>
    <n v="20509"/>
    <n v="251"/>
    <s v="#FutureOfDriving"/>
    <s v="no data"/>
    <s v="no data"/>
    <s v="CybertruckLaunch"/>
    <n v="8.5734265734265735E-2"/>
    <n v="1839"/>
  </r>
  <r>
    <s v="P232"/>
    <x v="0"/>
    <d v="2025-04-29T00:00:00"/>
    <s v="Story"/>
    <s v="Check out our latest story on twitter!"/>
    <n v="249"/>
    <n v="592"/>
    <n v="230"/>
    <n v="1494"/>
    <n v="1044"/>
    <n v="201"/>
    <s v="#EVRevolution"/>
    <s v="no data"/>
    <s v="no data"/>
    <s v="SustainabilityDrive"/>
    <n v="0.7168674698795181"/>
    <n v="1071"/>
  </r>
  <r>
    <s v="P233"/>
    <x v="3"/>
    <d v="2025-03-08T00:00:00"/>
    <s v="Image"/>
    <s v="Check out our latest image on facebook!"/>
    <n v="2382"/>
    <n v="265"/>
    <n v="134"/>
    <n v="38112"/>
    <n v="37437"/>
    <n v="249"/>
    <s v="#FutureOfDriving"/>
    <s v="no data"/>
    <s v="no data"/>
    <s v="SustainabilityDrive"/>
    <n v="7.2969143576826198E-2"/>
    <n v="2781"/>
  </r>
  <r>
    <s v="P234"/>
    <x v="3"/>
    <d v="2024-06-01T00:00:00"/>
    <s v="Text"/>
    <s v="Check out our latest text on facebook!"/>
    <n v="1272"/>
    <n v="465"/>
    <n v="99"/>
    <n v="24168"/>
    <n v="23719"/>
    <n v="42"/>
    <s v="#TeslaCoInnovation"/>
    <s v="no data"/>
    <s v="no data"/>
    <s v="unknown"/>
    <n v="7.5968222442899705E-2"/>
    <n v="1836"/>
  </r>
  <r>
    <s v="P235"/>
    <x v="3"/>
    <d v="2024-12-22T00:00:00"/>
    <s v="Image"/>
    <s v="Check out our latest image on facebook!"/>
    <n v="3196"/>
    <n v="941"/>
    <n v="376"/>
    <n v="35156"/>
    <n v="34444"/>
    <n v="241"/>
    <s v="#TeslaCoInnovation"/>
    <s v="no data"/>
    <s v="no data"/>
    <s v="FSDUpdate"/>
    <n v="0.1283706906360223"/>
    <n v="4513"/>
  </r>
  <r>
    <s v="P236"/>
    <x v="3"/>
    <d v="2024-08-19T00:00:00"/>
    <s v="Text"/>
    <s v="Check out our latest text on facebook!"/>
    <n v="1257"/>
    <n v="19"/>
    <n v="351"/>
    <n v="12570"/>
    <n v="11660"/>
    <n v="194"/>
    <s v="#FutureOfDriving"/>
    <s v="#AnytimeIsTeslaTime"/>
    <s v="#EVRevolution"/>
    <s v="ModelYCampaign"/>
    <n v="0.12943516308671441"/>
    <n v="1627"/>
  </r>
  <r>
    <s v="P237"/>
    <x v="2"/>
    <d v="2024-10-22T00:00:00"/>
    <s v="Story"/>
    <s v="Check out our latest story on instagram!"/>
    <n v="3770"/>
    <n v="917"/>
    <n v="129"/>
    <n v="71630"/>
    <n v="71322"/>
    <n v="76"/>
    <s v="#FutureOfDriving"/>
    <s v="no data"/>
    <s v="no data"/>
    <s v="CybertruckLaunch"/>
    <n v="6.7234398994834563E-2"/>
    <n v="4816"/>
  </r>
  <r>
    <s v="P238"/>
    <x v="0"/>
    <d v="2024-07-16T00:00:00"/>
    <s v="Text"/>
    <s v="Check out our latest text on twitter!"/>
    <n v="4725"/>
    <n v="400"/>
    <n v="362"/>
    <n v="75600"/>
    <n v="74927"/>
    <n v="43"/>
    <s v="#FutureOfDriving"/>
    <s v="no data"/>
    <s v="no data"/>
    <s v="SustainabilityDrive"/>
    <n v="7.2579365079365077E-2"/>
    <n v="5487"/>
  </r>
  <r>
    <s v="P239"/>
    <x v="1"/>
    <d v="2025-02-24T00:00:00"/>
    <s v="Text"/>
    <s v="Check out our latest text on youtube!"/>
    <n v="4188"/>
    <n v="942"/>
    <n v="118"/>
    <n v="20940"/>
    <n v="20471"/>
    <n v="102"/>
    <s v="#FutureOfDriving"/>
    <s v="no data"/>
    <s v="no data"/>
    <s v="unknown"/>
    <n v="0.25062082139446035"/>
    <n v="5248"/>
  </r>
  <r>
    <s v="P240"/>
    <x v="0"/>
    <d v="2024-08-26T00:00:00"/>
    <s v="Carousel"/>
    <s v="Check out our latest carousel on twitter!"/>
    <n v="929"/>
    <n v="192"/>
    <n v="322"/>
    <n v="16722"/>
    <n v="15996"/>
    <n v="145"/>
    <s v="#EVRevolution"/>
    <s v="#TeslaCoInnovation"/>
    <s v="#AnytimeIsTeslaTime"/>
    <s v="FSDUpdate"/>
    <n v="8.6293505561535699E-2"/>
    <n v="1443"/>
  </r>
  <r>
    <s v="P241"/>
    <x v="3"/>
    <d v="2025-01-18T00:00:00"/>
    <s v="Story"/>
    <s v="Check out our latest story on facebook!"/>
    <n v="4321"/>
    <n v="874"/>
    <n v="172"/>
    <n v="30247"/>
    <n v="29254"/>
    <n v="122"/>
    <s v="#TeslaCoInnovation"/>
    <s v="no data"/>
    <s v="no data"/>
    <s v="SustainabilityDrive"/>
    <n v="0.17743908486792079"/>
    <n v="5367"/>
  </r>
  <r>
    <s v="P242"/>
    <x v="3"/>
    <d v="2024-07-07T00:00:00"/>
    <s v="Reel"/>
    <s v="Check out our latest reel on facebook!"/>
    <n v="4767"/>
    <n v="190"/>
    <n v="340"/>
    <n v="28602"/>
    <n v="28044"/>
    <n v="210"/>
    <s v="#EVRevolution"/>
    <s v="no data"/>
    <s v="no data"/>
    <s v="FSDUpdate"/>
    <n v="0.18519683938186141"/>
    <n v="5297"/>
  </r>
  <r>
    <s v="P243"/>
    <x v="0"/>
    <d v="2025-03-06T00:00:00"/>
    <s v="Image"/>
    <s v="Check out our latest image on twitter!"/>
    <n v="3592"/>
    <n v="911"/>
    <n v="375"/>
    <n v="50288"/>
    <n v="49490"/>
    <n v="32"/>
    <s v="#FutureOfDriving"/>
    <s v="no data"/>
    <s v="no data"/>
    <s v="SustainabilityDrive"/>
    <n v="9.7001272669424113E-2"/>
    <n v="4878"/>
  </r>
  <r>
    <s v="P244"/>
    <x v="1"/>
    <d v="2024-10-25T00:00:00"/>
    <s v="Video"/>
    <s v="Check out our latest video on youtube!"/>
    <n v="4661"/>
    <n v="935"/>
    <n v="433"/>
    <n v="23305"/>
    <n v="22583"/>
    <n v="63"/>
    <s v="#FutureOfDriving"/>
    <s v="no data"/>
    <s v="no data"/>
    <s v="FSDUpdate"/>
    <n v="0.25869984981763572"/>
    <n v="6029"/>
  </r>
  <r>
    <s v="P245"/>
    <x v="3"/>
    <d v="2025-01-12T00:00:00"/>
    <s v="Reel"/>
    <s v="Check out our latest reel on facebook!"/>
    <n v="4134"/>
    <n v="824"/>
    <n v="99"/>
    <n v="41340"/>
    <n v="41050"/>
    <n v="177"/>
    <s v="#EVRevolution"/>
    <s v="no data"/>
    <s v="no data"/>
    <s v="CybertruckLaunch"/>
    <n v="0.12232704402515723"/>
    <n v="5057"/>
  </r>
  <r>
    <s v="P246"/>
    <x v="3"/>
    <d v="2024-10-11T00:00:00"/>
    <s v="Image"/>
    <s v="Check out our latest image on facebook!"/>
    <n v="400"/>
    <n v="680"/>
    <n v="434"/>
    <n v="6400"/>
    <n v="5472"/>
    <n v="160"/>
    <s v="#FutureOfDriving"/>
    <s v="no data"/>
    <s v="no data"/>
    <s v="ModelYCampaign"/>
    <n v="0.23656250000000001"/>
    <n v="1514"/>
  </r>
  <r>
    <s v="P247"/>
    <x v="3"/>
    <d v="2024-08-27T00:00:00"/>
    <s v="Reel"/>
    <s v="Check out our latest reel on facebook!"/>
    <n v="3960"/>
    <n v="266"/>
    <n v="8"/>
    <n v="35640"/>
    <n v="34850"/>
    <n v="208"/>
    <s v="#FutureOfDriving"/>
    <s v="#EVRevolution"/>
    <s v="#BetterWithTesla"/>
    <s v="unknown"/>
    <n v="0.11879910213243547"/>
    <n v="4234"/>
  </r>
  <r>
    <s v="P248"/>
    <x v="3"/>
    <d v="2025-02-02T00:00:00"/>
    <s v="Story"/>
    <s v="Check out our latest story on facebook!"/>
    <n v="886"/>
    <n v="126"/>
    <n v="153"/>
    <n v="4430"/>
    <n v="4037"/>
    <n v="212"/>
    <s v="#EVRevolution"/>
    <s v="no data"/>
    <s v="no data"/>
    <s v="unknown"/>
    <n v="0.26297968397291194"/>
    <n v="1165"/>
  </r>
  <r>
    <s v="P249"/>
    <x v="0"/>
    <d v="2024-07-18T00:00:00"/>
    <s v="Image"/>
    <s v="Check out our latest image on twitter!"/>
    <n v="827"/>
    <n v="77"/>
    <n v="402"/>
    <n v="14886"/>
    <n v="14129"/>
    <n v="254"/>
    <s v="#EVRevolution"/>
    <s v="no data"/>
    <s v="no data"/>
    <s v="ModelYCampaign"/>
    <n v="8.7733440816874911E-2"/>
    <n v="1306"/>
  </r>
  <r>
    <s v="P250"/>
    <x v="3"/>
    <d v="2024-06-22T00:00:00"/>
    <s v="Reel"/>
    <s v="Check out our latest reel on facebook!"/>
    <n v="3813"/>
    <n v="935"/>
    <n v="274"/>
    <n v="68634"/>
    <n v="68488"/>
    <n v="251"/>
    <s v="#FutureOfDriving"/>
    <s v="no data"/>
    <s v="no data"/>
    <s v="unknown"/>
    <n v="7.3170731707317069E-2"/>
    <n v="5022"/>
  </r>
  <r>
    <s v="P251"/>
    <x v="2"/>
    <d v="2025-03-27T00:00:00"/>
    <s v="Carousel"/>
    <s v="Check out our latest carousel on instagram!"/>
    <n v="1377"/>
    <n v="796"/>
    <n v="387"/>
    <n v="22032"/>
    <n v="21869"/>
    <n v="189"/>
    <s v="#FutureOfDriving"/>
    <s v="no data"/>
    <s v="no data"/>
    <s v="unknown"/>
    <n v="0.11619462599854757"/>
    <n v="2560"/>
  </r>
  <r>
    <s v="P252"/>
    <x v="3"/>
    <d v="2025-04-28T00:00:00"/>
    <s v="Carousel"/>
    <s v="Check out our latest carousel on facebook!"/>
    <n v="2089"/>
    <n v="476"/>
    <n v="69"/>
    <n v="16712"/>
    <n v="16309"/>
    <n v="64"/>
    <s v="#FutureOfDriving"/>
    <s v="no data"/>
    <s v="no data"/>
    <s v="FSDUpdate"/>
    <n v="0.15761129727142173"/>
    <n v="2634"/>
  </r>
  <r>
    <s v="P253"/>
    <x v="0"/>
    <d v="2024-08-03T00:00:00"/>
    <s v="Reel"/>
    <s v="Check out our latest reel on twitter!"/>
    <n v="3791"/>
    <n v="593"/>
    <n v="228"/>
    <n v="53074"/>
    <n v="52613"/>
    <n v="205"/>
    <s v="#EVRevolution"/>
    <s v="no data"/>
    <s v="no data"/>
    <s v="unknown"/>
    <n v="8.6897539284772202E-2"/>
    <n v="4612"/>
  </r>
  <r>
    <s v="P254"/>
    <x v="0"/>
    <d v="2025-01-14T00:00:00"/>
    <s v="Image"/>
    <s v="Check out our latest image on twitter!"/>
    <n v="2692"/>
    <n v="115"/>
    <n v="64"/>
    <n v="21536"/>
    <n v="21120"/>
    <n v="224"/>
    <s v="#FutureOfDriving"/>
    <s v="no data"/>
    <s v="no data"/>
    <s v="ModelYCampaign"/>
    <n v="0.13331166419019316"/>
    <n v="2871"/>
  </r>
  <r>
    <s v="P255"/>
    <x v="3"/>
    <d v="2025-04-03T00:00:00"/>
    <s v="Story"/>
    <s v="Check out our latest story on facebook!"/>
    <n v="3767"/>
    <n v="514"/>
    <n v="238"/>
    <n v="37670"/>
    <n v="36807"/>
    <n v="226"/>
    <s v="#FutureOfDriving"/>
    <s v="no data"/>
    <s v="no data"/>
    <s v="SustainabilityDrive"/>
    <n v="0.11996283514733209"/>
    <n v="4519"/>
  </r>
  <r>
    <s v="P256"/>
    <x v="1"/>
    <d v="2024-09-18T00:00:00"/>
    <s v="Carousel"/>
    <s v="Check out our latest carousel on youtube!"/>
    <n v="2143"/>
    <n v="12"/>
    <n v="204"/>
    <n v="40717"/>
    <n v="40125"/>
    <n v="248"/>
    <s v="#EVRevolution"/>
    <s v="no data"/>
    <s v="no data"/>
    <s v="ModelYCampaign"/>
    <n v="5.7936488444630008E-2"/>
    <n v="2359"/>
  </r>
  <r>
    <s v="P257"/>
    <x v="3"/>
    <d v="2025-04-06T00:00:00"/>
    <s v="Image"/>
    <s v="Check out our latest image on facebook!"/>
    <n v="3090"/>
    <n v="697"/>
    <n v="164"/>
    <n v="49440"/>
    <n v="48524"/>
    <n v="25"/>
    <s v="#EVRevolution"/>
    <s v="#EVRevolution"/>
    <s v="#BetterWithTesla"/>
    <s v="ModelYCampaign"/>
    <n v="7.9915048543689318E-2"/>
    <n v="3951"/>
  </r>
  <r>
    <s v="P258"/>
    <x v="2"/>
    <d v="2024-08-05T00:00:00"/>
    <s v="Story"/>
    <s v="Check out our latest story on instagram!"/>
    <n v="3601"/>
    <n v="695"/>
    <n v="75"/>
    <n v="21606"/>
    <n v="21454"/>
    <n v="172"/>
    <s v="#EVRevolution"/>
    <s v="no data"/>
    <s v="no data"/>
    <s v="ModelYCampaign"/>
    <n v="0.2023049153013052"/>
    <n v="4371"/>
  </r>
  <r>
    <s v="P259"/>
    <x v="3"/>
    <d v="2025-02-10T00:00:00"/>
    <s v="Text"/>
    <s v="Check out our latest text on facebook!"/>
    <n v="562"/>
    <n v="158"/>
    <n v="149"/>
    <n v="3372"/>
    <n v="2940"/>
    <n v="93"/>
    <s v="#TeslaCoInnovation"/>
    <s v="no data"/>
    <s v="no data"/>
    <s v="CybertruckLaunch"/>
    <n v="0.25771055753262156"/>
    <n v="869"/>
  </r>
  <r>
    <s v="P260"/>
    <x v="2"/>
    <d v="2025-02-12T00:00:00"/>
    <s v="Story"/>
    <s v="Check out our latest story on instagram!"/>
    <n v="4332"/>
    <n v="771"/>
    <n v="219"/>
    <n v="60648"/>
    <n v="60397"/>
    <n v="10"/>
    <s v="#TeslaCoInnovation"/>
    <s v="#EVRevolution"/>
    <s v="#BetterWithTesla"/>
    <s v="FSDUpdate"/>
    <n v="8.7752275425405618E-2"/>
    <n v="5322"/>
  </r>
  <r>
    <s v="P261"/>
    <x v="2"/>
    <d v="2024-10-27T00:00:00"/>
    <s v="Image"/>
    <s v="Check out our latest image on instagram!"/>
    <n v="4853"/>
    <n v="837"/>
    <n v="340"/>
    <n v="72795"/>
    <n v="72237"/>
    <n v="170"/>
    <s v="#EVRevolution"/>
    <s v="no data"/>
    <s v="no data"/>
    <s v="CybertruckLaunch"/>
    <n v="8.2835359571399134E-2"/>
    <n v="6030"/>
  </r>
  <r>
    <s v="P262"/>
    <x v="1"/>
    <d v="2025-01-18T00:00:00"/>
    <s v="Image"/>
    <s v="Check out our latest image on youtube!"/>
    <n v="1206"/>
    <n v="238"/>
    <n v="36"/>
    <n v="9648"/>
    <n v="9417"/>
    <n v="237"/>
    <s v="#TeslaCoInnovation"/>
    <s v="no data"/>
    <s v="no data"/>
    <s v="unknown"/>
    <n v="0.15339966832504145"/>
    <n v="1480"/>
  </r>
  <r>
    <s v="P263"/>
    <x v="2"/>
    <d v="2024-08-20T00:00:00"/>
    <s v="Reel"/>
    <s v="Check out our latest reel on instagram!"/>
    <n v="2603"/>
    <n v="690"/>
    <n v="205"/>
    <n v="13015"/>
    <n v="12130"/>
    <n v="20"/>
    <s v="#FutureOfDriving"/>
    <s v="no data"/>
    <s v="no data"/>
    <s v="ModelYCampaign"/>
    <n v="0.26876680752977333"/>
    <n v="3498"/>
  </r>
  <r>
    <s v="P264"/>
    <x v="0"/>
    <d v="2025-01-30T00:00:00"/>
    <s v="Image"/>
    <s v="Check out our latest image on twitter!"/>
    <n v="59"/>
    <n v="163"/>
    <n v="93"/>
    <n v="590"/>
    <n v="475"/>
    <n v="293"/>
    <s v="#TeslaCoInnovation"/>
    <s v="no data"/>
    <s v="no data"/>
    <s v="ModelYCampaign"/>
    <n v="0.53389830508474578"/>
    <n v="315"/>
  </r>
  <r>
    <s v="P265"/>
    <x v="0"/>
    <d v="2025-02-20T00:00:00"/>
    <s v="Carousel"/>
    <s v="Check out our latest carousel on twitter!"/>
    <n v="1877"/>
    <n v="745"/>
    <n v="225"/>
    <n v="11262"/>
    <n v="10967"/>
    <n v="41"/>
    <s v="#EVRevolution"/>
    <s v="no data"/>
    <s v="no data"/>
    <s v="SustainabilityDrive"/>
    <n v="0.25279701651571657"/>
    <n v="2847"/>
  </r>
  <r>
    <s v="P266"/>
    <x v="3"/>
    <d v="2024-11-25T00:00:00"/>
    <s v="Story"/>
    <s v="Check out our latest story on facebook!"/>
    <n v="4182"/>
    <n v="640"/>
    <n v="240"/>
    <n v="50184"/>
    <n v="49351"/>
    <n v="10"/>
    <s v="#TeslaCoInnovation"/>
    <s v="no data"/>
    <s v="no data"/>
    <s v="FSDUpdate"/>
    <n v="0.10086880280567512"/>
    <n v="5062"/>
  </r>
  <r>
    <s v="P267"/>
    <x v="0"/>
    <d v="2024-10-04T00:00:00"/>
    <s v="Reel"/>
    <s v="Check out our latest reel on twitter!"/>
    <n v="4187"/>
    <n v="66"/>
    <n v="31"/>
    <n v="66992"/>
    <n v="66614"/>
    <n v="62"/>
    <s v="#FutureOfDriving"/>
    <s v="no data"/>
    <s v="no data"/>
    <s v="unknown"/>
    <n v="6.3947934081681396E-2"/>
    <n v="4284"/>
  </r>
  <r>
    <s v="P268"/>
    <x v="2"/>
    <d v="2025-04-13T00:00:00"/>
    <s v="Reel"/>
    <s v="Check out our latest reel on instagram!"/>
    <n v="4579"/>
    <n v="125"/>
    <n v="300"/>
    <n v="59527"/>
    <n v="59400"/>
    <n v="269"/>
    <s v="#EVRevolution"/>
    <s v="no data"/>
    <s v="no data"/>
    <s v="CybertruckLaunch"/>
    <n v="8.4062694239588759E-2"/>
    <n v="5004"/>
  </r>
  <r>
    <s v="P269"/>
    <x v="2"/>
    <d v="2024-11-05T00:00:00"/>
    <s v="Video"/>
    <s v="Check out our latest video on instagram!"/>
    <n v="4561"/>
    <n v="51"/>
    <n v="441"/>
    <n v="22805"/>
    <n v="21890"/>
    <n v="45"/>
    <s v="#TeslaCoInnovation"/>
    <s v="no data"/>
    <s v="no data"/>
    <s v="ModelYCampaign"/>
    <n v="0.22157421618066214"/>
    <n v="5053"/>
  </r>
  <r>
    <s v="P270"/>
    <x v="1"/>
    <d v="2025-01-15T00:00:00"/>
    <s v="Reel"/>
    <s v="Check out our latest reel on youtube!"/>
    <n v="3774"/>
    <n v="239"/>
    <n v="39"/>
    <n v="60384"/>
    <n v="59490"/>
    <n v="241"/>
    <s v="#TeslaCoInnovation"/>
    <s v="no data"/>
    <s v="no data"/>
    <s v="FSDUpdate"/>
    <n v="6.7103868574456813E-2"/>
    <n v="4052"/>
  </r>
  <r>
    <s v="P271"/>
    <x v="2"/>
    <d v="2024-10-17T00:00:00"/>
    <s v="Video"/>
    <s v="Check out our latest video on instagram!"/>
    <n v="3575"/>
    <n v="749"/>
    <n v="111"/>
    <n v="21450"/>
    <n v="20785"/>
    <n v="195"/>
    <s v="#EVRevolution"/>
    <s v="no data"/>
    <s v="no data"/>
    <s v="ModelYCampaign"/>
    <n v="0.20675990675990677"/>
    <n v="4435"/>
  </r>
  <r>
    <s v="P272"/>
    <x v="2"/>
    <d v="2025-03-27T00:00:00"/>
    <s v="Text"/>
    <s v="Check out our latest text on instagram!"/>
    <n v="4941"/>
    <n v="414"/>
    <n v="266"/>
    <n v="39528"/>
    <n v="39154"/>
    <n v="217"/>
    <s v="#TeslaCoInnovation"/>
    <s v="no data"/>
    <s v="no data"/>
    <s v="FSDUpdate"/>
    <n v="0.14220299534507186"/>
    <n v="5621"/>
  </r>
  <r>
    <s v="P273"/>
    <x v="1"/>
    <d v="2024-10-12T00:00:00"/>
    <s v="Story"/>
    <s v="Check out our latest story on youtube!"/>
    <n v="3641"/>
    <n v="226"/>
    <n v="46"/>
    <n v="40051"/>
    <n v="39319"/>
    <n v="296"/>
    <s v="#EVRevolution"/>
    <s v="no data"/>
    <s v="no data"/>
    <s v="SustainabilityDrive"/>
    <n v="9.7700431949264685E-2"/>
    <n v="3913"/>
  </r>
  <r>
    <s v="P274"/>
    <x v="0"/>
    <d v="2025-01-01T00:00:00"/>
    <s v="Carousel"/>
    <s v="Check out our latest carousel on twitter!"/>
    <n v="3535"/>
    <n v="494"/>
    <n v="152"/>
    <n v="53025"/>
    <n v="52791"/>
    <n v="44"/>
    <s v="#TeslaCoInnovation"/>
    <s v="no data"/>
    <s v="no data"/>
    <s v="SustainabilityDrive"/>
    <n v="7.8849599245638849E-2"/>
    <n v="4181"/>
  </r>
  <r>
    <s v="P275"/>
    <x v="3"/>
    <d v="2024-08-05T00:00:00"/>
    <s v="Reel"/>
    <s v="Check out our latest reel on facebook!"/>
    <n v="1741"/>
    <n v="831"/>
    <n v="345"/>
    <n v="17410"/>
    <n v="16844"/>
    <n v="58"/>
    <s v="#EVRevolution"/>
    <s v="no data"/>
    <s v="no data"/>
    <s v="FSDUpdate"/>
    <n v="0.16754738655944859"/>
    <n v="2917"/>
  </r>
  <r>
    <s v="P276"/>
    <x v="0"/>
    <d v="2024-06-07T00:00:00"/>
    <s v="Carousel"/>
    <s v="Check out our latest carousel on twitter!"/>
    <n v="1556"/>
    <n v="195"/>
    <n v="131"/>
    <n v="9336"/>
    <n v="8875"/>
    <n v="137"/>
    <s v="#TeslaCoInnovation"/>
    <s v="no data"/>
    <s v="no data"/>
    <s v="ModelYCampaign"/>
    <n v="0.2015852613538989"/>
    <n v="1882"/>
  </r>
  <r>
    <s v="P277"/>
    <x v="3"/>
    <d v="2025-04-06T00:00:00"/>
    <s v="Image"/>
    <s v="Check out our latest image on facebook!"/>
    <n v="4236"/>
    <n v="711"/>
    <n v="298"/>
    <n v="21180"/>
    <n v="20516"/>
    <n v="238"/>
    <s v="#FutureOfDriving"/>
    <s v="no data"/>
    <s v="no data"/>
    <s v="CybertruckLaunch"/>
    <n v="0.24763928234183191"/>
    <n v="5245"/>
  </r>
  <r>
    <s v="P278"/>
    <x v="0"/>
    <d v="2024-11-26T00:00:00"/>
    <s v="Text"/>
    <s v="Check out our latest text on twitter!"/>
    <n v="4516"/>
    <n v="836"/>
    <n v="169"/>
    <n v="49676"/>
    <n v="49257"/>
    <n v="282"/>
    <s v="#EVRevolution"/>
    <s v="no data"/>
    <s v="no data"/>
    <s v="SustainabilityDrive"/>
    <n v="0.11114018842096787"/>
    <n v="5521"/>
  </r>
  <r>
    <s v="P279"/>
    <x v="1"/>
    <d v="2024-09-02T00:00:00"/>
    <s v="Image"/>
    <s v="Check out our latest image on youtube!"/>
    <n v="4905"/>
    <n v="845"/>
    <n v="129"/>
    <n v="98100"/>
    <n v="97772"/>
    <n v="279"/>
    <s v="#TeslaCoInnovation"/>
    <s v="no data"/>
    <s v="no data"/>
    <s v="ModelYCampaign"/>
    <n v="5.9928644240570844E-2"/>
    <n v="5879"/>
  </r>
  <r>
    <s v="P280"/>
    <x v="1"/>
    <d v="2024-10-21T00:00:00"/>
    <s v="Video"/>
    <s v="Check out our latest video on youtube!"/>
    <n v="4275"/>
    <n v="680"/>
    <n v="385"/>
    <n v="64125"/>
    <n v="63650"/>
    <n v="104"/>
    <s v="#EVRevolution"/>
    <s v="#TeslaCoInnovation"/>
    <s v="#AnytimeIsTeslaTime"/>
    <s v="SustainabilityDrive"/>
    <n v="8.3274853801169585E-2"/>
    <n v="5340"/>
  </r>
  <r>
    <s v="P281"/>
    <x v="1"/>
    <d v="2025-03-22T00:00:00"/>
    <s v="Image"/>
    <s v="Check out our latest image on youtube!"/>
    <n v="3166"/>
    <n v="90"/>
    <n v="341"/>
    <n v="56988"/>
    <n v="56125"/>
    <n v="135"/>
    <s v="#EVRevolution"/>
    <s v="no data"/>
    <s v="no data"/>
    <s v="ModelYCampaign"/>
    <n v="6.3118551273952411E-2"/>
    <n v="3597"/>
  </r>
  <r>
    <s v="P282"/>
    <x v="2"/>
    <d v="2024-10-03T00:00:00"/>
    <s v="Video"/>
    <s v="Check out our latest video on instagram!"/>
    <n v="1488"/>
    <n v="417"/>
    <n v="168"/>
    <n v="19344"/>
    <n v="18395"/>
    <n v="30"/>
    <s v="#FutureOfDriving"/>
    <s v="no data"/>
    <s v="no data"/>
    <s v="FSDUpdate"/>
    <n v="0.1071650124069479"/>
    <n v="2073"/>
  </r>
  <r>
    <s v="P283"/>
    <x v="0"/>
    <d v="2025-05-09T00:00:00"/>
    <s v="Reel"/>
    <s v="Check out our latest reel on twitter!"/>
    <n v="3367"/>
    <n v="302"/>
    <n v="57"/>
    <n v="63973"/>
    <n v="63789"/>
    <n v="157"/>
    <s v="#FutureOfDriving"/>
    <s v="no data"/>
    <s v="no data"/>
    <s v="ModelYCampaign"/>
    <n v="5.8243321401216137E-2"/>
    <n v="3726"/>
  </r>
  <r>
    <s v="P284"/>
    <x v="0"/>
    <d v="2024-09-17T00:00:00"/>
    <s v="Text"/>
    <s v="Check out our latest text on twitter!"/>
    <n v="571"/>
    <n v="190"/>
    <n v="352"/>
    <n v="9707"/>
    <n v="9418"/>
    <n v="231"/>
    <s v="#TeslaCoInnovation"/>
    <s v="no data"/>
    <s v="no data"/>
    <s v="SustainabilityDrive"/>
    <n v="0.11465952405480581"/>
    <n v="1113"/>
  </r>
  <r>
    <s v="P285"/>
    <x v="1"/>
    <d v="2024-07-18T00:00:00"/>
    <s v="Text"/>
    <s v="Check out our latest text on youtube!"/>
    <n v="4021"/>
    <n v="794"/>
    <n v="77"/>
    <n v="36189"/>
    <n v="35505"/>
    <n v="174"/>
    <s v="#EVRevolution"/>
    <s v="no data"/>
    <s v="no data"/>
    <s v="unknown"/>
    <n v="0.13517919809886983"/>
    <n v="4892"/>
  </r>
  <r>
    <s v="P286"/>
    <x v="1"/>
    <d v="2024-09-25T00:00:00"/>
    <s v="Video"/>
    <s v="Check out our latest video on youtube!"/>
    <n v="3389"/>
    <n v="344"/>
    <n v="229"/>
    <n v="20334"/>
    <n v="19443"/>
    <n v="228"/>
    <s v="#FutureOfDriving"/>
    <s v="no data"/>
    <s v="no data"/>
    <s v="FSDUpdate"/>
    <n v="0.19484607062063539"/>
    <n v="3962"/>
  </r>
  <r>
    <s v="P287"/>
    <x v="2"/>
    <d v="2024-08-15T00:00:00"/>
    <s v="Reel"/>
    <s v="Check out our latest reel on instagram!"/>
    <n v="1164"/>
    <n v="616"/>
    <n v="324"/>
    <n v="6984"/>
    <n v="6636"/>
    <n v="82"/>
    <s v="#EVRevolution"/>
    <s v="no data"/>
    <s v="no data"/>
    <s v="CybertruckLaunch"/>
    <n v="0.30126002290950743"/>
    <n v="2104"/>
  </r>
  <r>
    <s v="P288"/>
    <x v="1"/>
    <d v="2025-04-17T00:00:00"/>
    <s v="Carousel"/>
    <s v="Check out our latest carousel on youtube!"/>
    <n v="4780"/>
    <n v="691"/>
    <n v="380"/>
    <n v="86040"/>
    <n v="85743"/>
    <n v="262"/>
    <s v="#FutureOfDriving"/>
    <s v="no data"/>
    <s v="no data"/>
    <s v="FSDUpdate"/>
    <n v="6.800325430032543E-2"/>
    <n v="5851"/>
  </r>
  <r>
    <s v="P289"/>
    <x v="3"/>
    <d v="2024-11-28T00:00:00"/>
    <s v="Carousel"/>
    <s v="Check out our latest carousel on facebook!"/>
    <n v="2751"/>
    <n v="33"/>
    <n v="430"/>
    <n v="44016"/>
    <n v="43415"/>
    <n v="129"/>
    <s v="#FutureOfDriving"/>
    <s v="no data"/>
    <s v="no data"/>
    <s v="unknown"/>
    <n v="7.3018902217375503E-2"/>
    <n v="3214"/>
  </r>
  <r>
    <s v="P290"/>
    <x v="2"/>
    <d v="2024-12-20T00:00:00"/>
    <s v="Carousel"/>
    <s v="Check out our latest carousel on instagram!"/>
    <n v="2107"/>
    <n v="550"/>
    <n v="349"/>
    <n v="35819"/>
    <n v="35340"/>
    <n v="191"/>
    <s v="#EVRevolution"/>
    <s v="no data"/>
    <s v="no data"/>
    <s v="SustainabilityDrive"/>
    <n v="8.3921940869371006E-2"/>
    <n v="3006"/>
  </r>
  <r>
    <s v="P291"/>
    <x v="3"/>
    <d v="2024-11-06T00:00:00"/>
    <s v="Video"/>
    <s v="Check out our latest video on facebook!"/>
    <n v="4663"/>
    <n v="145"/>
    <n v="225"/>
    <n v="69945"/>
    <n v="69596"/>
    <n v="35"/>
    <s v="#EVRevolution"/>
    <s v="no data"/>
    <s v="no data"/>
    <s v="SustainabilityDrive"/>
    <n v="7.1956537279290869E-2"/>
    <n v="5033"/>
  </r>
  <r>
    <s v="P292"/>
    <x v="3"/>
    <d v="2024-11-17T00:00:00"/>
    <s v="Text"/>
    <s v="Check out our latest text on facebook!"/>
    <n v="880"/>
    <n v="297"/>
    <n v="345"/>
    <n v="12320"/>
    <n v="11978"/>
    <n v="238"/>
    <s v="#TeslaCoInnovation"/>
    <s v="#AnytimeIsTeslaTime"/>
    <s v="no data"/>
    <s v="unknown"/>
    <n v="0.12353896103896105"/>
    <n v="1522"/>
  </r>
  <r>
    <s v="P293"/>
    <x v="3"/>
    <d v="2025-05-14T00:00:00"/>
    <s v="Text"/>
    <s v="Check out our latest text on facebook!"/>
    <n v="2634"/>
    <n v="726"/>
    <n v="241"/>
    <n v="28974"/>
    <n v="28102"/>
    <n v="277"/>
    <s v="#EVRevolution"/>
    <s v="no data"/>
    <s v="no data"/>
    <s v="CybertruckLaunch"/>
    <n v="0.12428384068475185"/>
    <n v="3601"/>
  </r>
  <r>
    <s v="P294"/>
    <x v="3"/>
    <d v="2024-06-19T00:00:00"/>
    <s v="Carousel"/>
    <s v="Check out our latest carousel on facebook!"/>
    <n v="4731"/>
    <n v="173"/>
    <n v="276"/>
    <n v="28386"/>
    <n v="28185"/>
    <n v="89"/>
    <s v="#EVRevolution"/>
    <s v="no data"/>
    <s v="no data"/>
    <s v="FSDUpdate"/>
    <n v="0.18248432325794406"/>
    <n v="5180"/>
  </r>
  <r>
    <s v="P295"/>
    <x v="0"/>
    <d v="2025-05-06T00:00:00"/>
    <s v="Image"/>
    <s v="Check out our latest image on twitter!"/>
    <n v="1952"/>
    <n v="344"/>
    <n v="287"/>
    <n v="15616"/>
    <n v="15403"/>
    <n v="235"/>
    <s v="#FutureOfDriving"/>
    <s v="#TeslaCoInnovation"/>
    <s v="#AnytimeIsTeslaTime"/>
    <s v="ModelYCampaign"/>
    <n v="0.16540727459016394"/>
    <n v="2583"/>
  </r>
  <r>
    <s v="P296"/>
    <x v="0"/>
    <d v="2025-02-11T00:00:00"/>
    <s v="Video"/>
    <s v="Check out our latest video on twitter!"/>
    <n v="3440"/>
    <n v="13"/>
    <n v="20"/>
    <n v="58480"/>
    <n v="58146"/>
    <n v="210"/>
    <s v="#TeslaCoInnovation"/>
    <s v="#SmoothLikeNitroTesla"/>
    <s v="no data"/>
    <s v="SustainabilityDrive"/>
    <n v="5.9387824897400819E-2"/>
    <n v="3473"/>
  </r>
  <r>
    <s v="P297"/>
    <x v="0"/>
    <d v="2024-12-24T00:00:00"/>
    <s v="Text"/>
    <s v="Check out our latest text on twitter!"/>
    <n v="2166"/>
    <n v="354"/>
    <n v="117"/>
    <n v="10830"/>
    <n v="10245"/>
    <n v="24"/>
    <s v="#EVRevolution"/>
    <s v="no data"/>
    <s v="no data"/>
    <s v="SustainabilityDrive"/>
    <n v="0.24349030470914126"/>
    <n v="2637"/>
  </r>
  <r>
    <s v="P298"/>
    <x v="3"/>
    <d v="2024-10-24T00:00:00"/>
    <s v="Image"/>
    <s v="Check out our latest image on facebook!"/>
    <n v="4303"/>
    <n v="451"/>
    <n v="286"/>
    <n v="86060"/>
    <n v="85823"/>
    <n v="14"/>
    <s v="#TeslaCoInnovation"/>
    <s v="no data"/>
    <s v="no data"/>
    <s v="FSDUpdate"/>
    <n v="5.8563792702765516E-2"/>
    <n v="5040"/>
  </r>
  <r>
    <s v="P299"/>
    <x v="3"/>
    <d v="2024-08-26T00:00:00"/>
    <s v="Image"/>
    <s v="Check out our latest image on facebook!"/>
    <n v="2581"/>
    <n v="517"/>
    <n v="117"/>
    <n v="23229"/>
    <n v="22331"/>
    <n v="70"/>
    <s v="#FutureOfDriving"/>
    <s v="no data"/>
    <s v="no data"/>
    <s v="FSDUpdate"/>
    <n v="0.13840458048129492"/>
    <n v="3215"/>
  </r>
  <r>
    <s v="P300"/>
    <x v="0"/>
    <d v="2024-08-31T00:00:00"/>
    <s v="Carousel"/>
    <s v="Check out our latest carousel on twitter!"/>
    <n v="4494"/>
    <n v="717"/>
    <n v="45"/>
    <n v="62916"/>
    <n v="62688"/>
    <n v="191"/>
    <s v="#TeslaCoInnovation"/>
    <s v="#EVRevolution"/>
    <s v="#BetterWithTesla"/>
    <s v="CybertruckLaunch"/>
    <n v="8.3539958039290485E-2"/>
    <n v="5256"/>
  </r>
  <r>
    <m/>
    <x v="4"/>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2024-06-03"/>
    <x v="0"/>
    <n v="1135"/>
    <n v="88"/>
    <n v="344084"/>
    <n v="8.06"/>
    <n v="5904"/>
    <n v="1047"/>
    <n v="3.0428616268120576E-3"/>
  </r>
  <r>
    <s v="2024-06-03"/>
    <x v="1"/>
    <n v="1312"/>
    <n v="310"/>
    <n v="42654"/>
    <n v="4.9800000000000004"/>
    <n v="9566"/>
    <n v="1002"/>
    <n v="2.3491348994232664E-2"/>
  </r>
  <r>
    <s v="2024-06-03"/>
    <x v="2"/>
    <n v="584"/>
    <n v="169"/>
    <n v="146834"/>
    <n v="8.31"/>
    <n v="26752"/>
    <n v="415"/>
    <n v="2.826320879360366E-3"/>
  </r>
  <r>
    <s v="2024-06-03"/>
    <x v="3"/>
    <n v="1535"/>
    <n v="445"/>
    <n v="395536"/>
    <n v="4.1100000000000003"/>
    <n v="30671"/>
    <n v="1090"/>
    <n v="2.7557542170624167E-3"/>
  </r>
  <r>
    <s v="2024-06-10"/>
    <x v="0"/>
    <n v="656"/>
    <n v="139"/>
    <n v="49157"/>
    <n v="9.0500000000000007"/>
    <n v="9920"/>
    <n v="517"/>
    <n v="1.0517322049758936E-2"/>
  </r>
  <r>
    <s v="2024-06-10"/>
    <x v="1"/>
    <n v="1697"/>
    <n v="414"/>
    <n v="316555"/>
    <n v="2.37"/>
    <n v="7924"/>
    <n v="1283"/>
    <n v="4.0530081660374974E-3"/>
  </r>
  <r>
    <s v="2024-06-10"/>
    <x v="2"/>
    <n v="436"/>
    <n v="250"/>
    <n v="254347"/>
    <n v="4.01"/>
    <n v="8912"/>
    <n v="186"/>
    <n v="7.3128442639386348E-4"/>
  </r>
  <r>
    <s v="2024-06-10"/>
    <x v="3"/>
    <n v="1197"/>
    <n v="203"/>
    <n v="413878"/>
    <n v="3.16"/>
    <n v="21205"/>
    <n v="994"/>
    <n v="2.4016739232334168E-3"/>
  </r>
  <r>
    <s v="2024-06-17"/>
    <x v="0"/>
    <n v="1048"/>
    <n v="155"/>
    <n v="456946"/>
    <n v="2.46"/>
    <n v="11329"/>
    <n v="893"/>
    <n v="1.9542790614208243E-3"/>
  </r>
  <r>
    <s v="2024-06-17"/>
    <x v="1"/>
    <n v="1753"/>
    <n v="371"/>
    <n v="169496"/>
    <n v="8.11"/>
    <n v="46670"/>
    <n v="1382"/>
    <n v="8.1535847453627231E-3"/>
  </r>
  <r>
    <s v="2024-06-17"/>
    <x v="2"/>
    <n v="1335"/>
    <n v="40"/>
    <n v="122732"/>
    <n v="8.19"/>
    <n v="22482"/>
    <n v="1295"/>
    <n v="1.0551445425805821E-2"/>
  </r>
  <r>
    <s v="2024-06-17"/>
    <x v="3"/>
    <n v="403"/>
    <n v="66"/>
    <n v="382851"/>
    <n v="3.49"/>
    <n v="24313"/>
    <n v="337"/>
    <n v="8.80238003818718E-4"/>
  </r>
  <r>
    <s v="2024-06-24"/>
    <x v="0"/>
    <n v="911"/>
    <n v="282"/>
    <n v="35664"/>
    <n v="6.92"/>
    <n v="18050"/>
    <n v="629"/>
    <n v="1.7636832660385824E-2"/>
  </r>
  <r>
    <s v="2024-06-24"/>
    <x v="1"/>
    <n v="1779"/>
    <n v="109"/>
    <n v="26295"/>
    <n v="9.1199999999999992"/>
    <n v="30635"/>
    <n v="1670"/>
    <n v="6.3510173036698994E-2"/>
  </r>
  <r>
    <s v="2024-06-24"/>
    <x v="2"/>
    <n v="1238"/>
    <n v="403"/>
    <n v="298421"/>
    <n v="3.5"/>
    <n v="31280"/>
    <n v="835"/>
    <n v="2.798060458211721E-3"/>
  </r>
  <r>
    <s v="2024-06-24"/>
    <x v="3"/>
    <n v="308"/>
    <n v="431"/>
    <n v="426184"/>
    <n v="2.62"/>
    <n v="1783"/>
    <n v="-123"/>
    <n v="-2.8860773750305035E-4"/>
  </r>
  <r>
    <s v="2024-07-01"/>
    <x v="0"/>
    <n v="226"/>
    <n v="445"/>
    <n v="419447"/>
    <n v="9.36"/>
    <n v="9566"/>
    <n v="-219"/>
    <n v="-5.2211602419375983E-4"/>
  </r>
  <r>
    <s v="2024-07-01"/>
    <x v="1"/>
    <n v="505"/>
    <n v="441"/>
    <n v="220020"/>
    <n v="4.4800000000000004"/>
    <n v="42307"/>
    <n v="64"/>
    <n v="2.9088264703208797E-4"/>
  </r>
  <r>
    <s v="2024-07-01"/>
    <x v="2"/>
    <n v="1420"/>
    <n v="63"/>
    <n v="315305"/>
    <n v="6.19"/>
    <n v="5914"/>
    <n v="1357"/>
    <n v="4.3037693661692649E-3"/>
  </r>
  <r>
    <s v="2024-07-01"/>
    <x v="3"/>
    <n v="144"/>
    <n v="53"/>
    <n v="113678"/>
    <n v="8.7200000000000006"/>
    <n v="30060"/>
    <n v="91"/>
    <n v="8.0050669434719116E-4"/>
  </r>
  <r>
    <s v="2024-07-08"/>
    <x v="0"/>
    <n v="1757"/>
    <n v="85"/>
    <n v="58223"/>
    <n v="8.74"/>
    <n v="22728"/>
    <n v="1672"/>
    <n v="2.8717173625543171E-2"/>
  </r>
  <r>
    <s v="2024-07-08"/>
    <x v="1"/>
    <n v="350"/>
    <n v="41"/>
    <n v="251694"/>
    <n v="1.91"/>
    <n v="38610"/>
    <n v="309"/>
    <n v="1.2276812319721568E-3"/>
  </r>
  <r>
    <s v="2024-07-08"/>
    <x v="2"/>
    <n v="987"/>
    <n v="440"/>
    <n v="389810"/>
    <n v="4.66"/>
    <n v="2932"/>
    <n v="547"/>
    <n v="1.40324773607655E-3"/>
  </r>
  <r>
    <s v="2024-07-08"/>
    <x v="3"/>
    <n v="883"/>
    <n v="369"/>
    <n v="233694"/>
    <n v="2.88"/>
    <n v="15071"/>
    <n v="514"/>
    <n v="2.1994574101175039E-3"/>
  </r>
  <r>
    <s v="2024-07-15"/>
    <x v="0"/>
    <n v="1960"/>
    <n v="115"/>
    <n v="154169"/>
    <n v="3.74"/>
    <n v="10740"/>
    <n v="1845"/>
    <n v="1.1967386439556591E-2"/>
  </r>
  <r>
    <s v="2024-07-15"/>
    <x v="1"/>
    <n v="170"/>
    <n v="334"/>
    <n v="334626"/>
    <n v="6.44"/>
    <n v="43420"/>
    <n v="-164"/>
    <n v="-4.9009939454794306E-4"/>
  </r>
  <r>
    <s v="2024-07-15"/>
    <x v="2"/>
    <n v="704"/>
    <n v="275"/>
    <n v="226002"/>
    <n v="8.56"/>
    <n v="32393"/>
    <n v="429"/>
    <n v="1.8982132901478749E-3"/>
  </r>
  <r>
    <s v="2024-07-15"/>
    <x v="3"/>
    <n v="224"/>
    <n v="64"/>
    <n v="156683"/>
    <n v="4.5599999999999996"/>
    <n v="28474"/>
    <n v="160"/>
    <n v="1.0211701333265254E-3"/>
  </r>
  <r>
    <s v="2024-07-22"/>
    <x v="0"/>
    <n v="508"/>
    <n v="349"/>
    <n v="473812"/>
    <n v="7.88"/>
    <n v="17328"/>
    <n v="159"/>
    <n v="3.3557613568250698E-4"/>
  </r>
  <r>
    <s v="2024-07-22"/>
    <x v="1"/>
    <n v="1391"/>
    <n v="430"/>
    <n v="295032"/>
    <n v="7.86"/>
    <n v="26067"/>
    <n v="961"/>
    <n v="3.2572737872501967E-3"/>
  </r>
  <r>
    <s v="2024-07-22"/>
    <x v="2"/>
    <n v="1701"/>
    <n v="385"/>
    <n v="198278"/>
    <n v="5.34"/>
    <n v="32763"/>
    <n v="1316"/>
    <n v="6.6371458255580548E-3"/>
  </r>
  <r>
    <s v="2024-07-22"/>
    <x v="3"/>
    <n v="804"/>
    <n v="487"/>
    <n v="306564"/>
    <n v="5.52"/>
    <n v="26452"/>
    <n v="317"/>
    <n v="1.0340418313957282E-3"/>
  </r>
  <r>
    <s v="2024-07-29"/>
    <x v="0"/>
    <n v="653"/>
    <n v="112"/>
    <n v="23664"/>
    <n v="4.05"/>
    <n v="15353"/>
    <n v="541"/>
    <n v="2.2861730899256253E-2"/>
  </r>
  <r>
    <s v="2024-07-29"/>
    <x v="1"/>
    <n v="160"/>
    <n v="478"/>
    <n v="435034"/>
    <n v="7.73"/>
    <n v="4839"/>
    <n v="-318"/>
    <n v="-7.3097734889686784E-4"/>
  </r>
  <r>
    <s v="2024-07-29"/>
    <x v="2"/>
    <n v="1756"/>
    <n v="261"/>
    <n v="287574"/>
    <n v="4.3600000000000003"/>
    <n v="39272"/>
    <n v="1495"/>
    <n v="5.1986619096302169E-3"/>
  </r>
  <r>
    <s v="2024-07-29"/>
    <x v="3"/>
    <n v="576"/>
    <n v="101"/>
    <n v="62499"/>
    <n v="3.48"/>
    <n v="16804"/>
    <n v="475"/>
    <n v="7.600121601945631E-3"/>
  </r>
  <r>
    <s v="2024-08-05"/>
    <x v="0"/>
    <n v="645"/>
    <n v="293"/>
    <n v="437968"/>
    <n v="7.83"/>
    <n v="49303"/>
    <n v="352"/>
    <n v="8.0371168669857163E-4"/>
  </r>
  <r>
    <s v="2024-08-05"/>
    <x v="1"/>
    <n v="214"/>
    <n v="411"/>
    <n v="125034"/>
    <n v="6.11"/>
    <n v="26455"/>
    <n v="-197"/>
    <n v="-1.5755714445670778E-3"/>
  </r>
  <r>
    <s v="2024-08-05"/>
    <x v="2"/>
    <n v="826"/>
    <n v="498"/>
    <n v="449994"/>
    <n v="9.43"/>
    <n v="12384"/>
    <n v="328"/>
    <n v="7.2889860753698943E-4"/>
  </r>
  <r>
    <s v="2024-08-05"/>
    <x v="3"/>
    <n v="460"/>
    <n v="141"/>
    <n v="320650"/>
    <n v="4.04"/>
    <n v="49372"/>
    <n v="319"/>
    <n v="9.9485420240137223E-4"/>
  </r>
  <r>
    <s v="2024-08-12"/>
    <x v="0"/>
    <n v="1528"/>
    <n v="203"/>
    <n v="489188"/>
    <n v="6.23"/>
    <n v="47101"/>
    <n v="1325"/>
    <n v="2.7085701202809553E-3"/>
  </r>
  <r>
    <s v="2024-08-12"/>
    <x v="1"/>
    <n v="1534"/>
    <n v="200"/>
    <n v="307612"/>
    <n v="6.01"/>
    <n v="37903"/>
    <n v="1334"/>
    <n v="4.3366318609156986E-3"/>
  </r>
  <r>
    <s v="2024-08-12"/>
    <x v="2"/>
    <n v="485"/>
    <n v="448"/>
    <n v="434883"/>
    <n v="8.5500000000000007"/>
    <n v="33258"/>
    <n v="37"/>
    <n v="8.5080354946042954E-5"/>
  </r>
  <r>
    <s v="2024-08-12"/>
    <x v="3"/>
    <n v="1210"/>
    <n v="178"/>
    <n v="102042"/>
    <n v="5.42"/>
    <n v="6915"/>
    <n v="1032"/>
    <n v="1.011348268360087E-2"/>
  </r>
  <r>
    <s v="2024-08-19"/>
    <x v="0"/>
    <n v="215"/>
    <n v="139"/>
    <n v="325444"/>
    <n v="3.25"/>
    <n v="35501"/>
    <n v="76"/>
    <n v="2.335271198731579E-4"/>
  </r>
  <r>
    <s v="2024-08-19"/>
    <x v="1"/>
    <n v="1078"/>
    <n v="20"/>
    <n v="183924"/>
    <n v="8.84"/>
    <n v="14203"/>
    <n v="1058"/>
    <n v="5.7523759813836147E-3"/>
  </r>
  <r>
    <s v="2024-08-19"/>
    <x v="2"/>
    <n v="1751"/>
    <n v="86"/>
    <n v="188655"/>
    <n v="7.24"/>
    <n v="22206"/>
    <n v="1665"/>
    <n v="8.825634093981077E-3"/>
  </r>
  <r>
    <s v="2024-08-19"/>
    <x v="3"/>
    <n v="221"/>
    <n v="31"/>
    <n v="87443"/>
    <n v="6.19"/>
    <n v="10283"/>
    <n v="190"/>
    <n v="2.1728440241071327E-3"/>
  </r>
  <r>
    <s v="2024-08-26"/>
    <x v="0"/>
    <n v="1685"/>
    <n v="76"/>
    <n v="453799"/>
    <n v="5.71"/>
    <n v="24913"/>
    <n v="1609"/>
    <n v="3.5456226214689766E-3"/>
  </r>
  <r>
    <s v="2024-08-26"/>
    <x v="1"/>
    <n v="248"/>
    <n v="211"/>
    <n v="379380"/>
    <n v="9.0399999999999991"/>
    <n v="26925"/>
    <n v="37"/>
    <n v="9.7527544941747058E-5"/>
  </r>
  <r>
    <s v="2024-08-26"/>
    <x v="2"/>
    <n v="1300"/>
    <n v="71"/>
    <n v="186454"/>
    <n v="3.91"/>
    <n v="9942"/>
    <n v="1229"/>
    <n v="6.5914381026955706E-3"/>
  </r>
  <r>
    <s v="2024-08-26"/>
    <x v="3"/>
    <n v="422"/>
    <n v="394"/>
    <n v="239044"/>
    <n v="7.83"/>
    <n v="32929"/>
    <n v="28"/>
    <n v="1.1713324743561855E-4"/>
  </r>
  <r>
    <s v="2024-09-02"/>
    <x v="0"/>
    <n v="1429"/>
    <n v="182"/>
    <n v="101332"/>
    <n v="7.16"/>
    <n v="37829"/>
    <n v="1247"/>
    <n v="1.2306082974775983E-2"/>
  </r>
  <r>
    <s v="2024-09-02"/>
    <x v="1"/>
    <n v="1520"/>
    <n v="475"/>
    <n v="496982"/>
    <n v="6.41"/>
    <n v="24384"/>
    <n v="1045"/>
    <n v="2.1026918479944948E-3"/>
  </r>
  <r>
    <s v="2024-09-02"/>
    <x v="2"/>
    <n v="557"/>
    <n v="360"/>
    <n v="318779"/>
    <n v="8.02"/>
    <n v="25797"/>
    <n v="197"/>
    <n v="6.1798299135137512E-4"/>
  </r>
  <r>
    <s v="2024-09-02"/>
    <x v="3"/>
    <n v="728"/>
    <n v="395"/>
    <n v="370971"/>
    <n v="3.86"/>
    <n v="12646"/>
    <n v="333"/>
    <n v="8.9764429025449434E-4"/>
  </r>
  <r>
    <s v="2024-09-09"/>
    <x v="0"/>
    <n v="1592"/>
    <n v="20"/>
    <n v="378054"/>
    <n v="9.09"/>
    <n v="26663"/>
    <n v="1572"/>
    <n v="4.1581361392816901E-3"/>
  </r>
  <r>
    <s v="2024-09-09"/>
    <x v="1"/>
    <n v="1842"/>
    <n v="414"/>
    <n v="307524"/>
    <n v="1.76"/>
    <n v="40478"/>
    <n v="1428"/>
    <n v="4.6435400163889647E-3"/>
  </r>
  <r>
    <s v="2024-09-09"/>
    <x v="2"/>
    <n v="751"/>
    <n v="491"/>
    <n v="434047"/>
    <n v="9.24"/>
    <n v="15476"/>
    <n v="260"/>
    <n v="5.990134708914012E-4"/>
  </r>
  <r>
    <s v="2024-09-09"/>
    <x v="3"/>
    <n v="1409"/>
    <n v="309"/>
    <n v="64583"/>
    <n v="8.99"/>
    <n v="10217"/>
    <n v="1100"/>
    <n v="1.7032345973398571E-2"/>
  </r>
  <r>
    <s v="2024-09-16"/>
    <x v="0"/>
    <n v="778"/>
    <n v="401"/>
    <n v="50793"/>
    <n v="3.4"/>
    <n v="21939"/>
    <n v="377"/>
    <n v="7.4222825979957871E-3"/>
  </r>
  <r>
    <s v="2024-09-16"/>
    <x v="1"/>
    <n v="443"/>
    <n v="345"/>
    <n v="474162"/>
    <n v="9.1999999999999993"/>
    <n v="47462"/>
    <n v="98"/>
    <n v="2.0668041724136477E-4"/>
  </r>
  <r>
    <s v="2024-09-16"/>
    <x v="2"/>
    <n v="1472"/>
    <n v="347"/>
    <n v="392355"/>
    <n v="8.59"/>
    <n v="30270"/>
    <n v="1125"/>
    <n v="2.8673012960201858E-3"/>
  </r>
  <r>
    <s v="2024-09-16"/>
    <x v="3"/>
    <n v="123"/>
    <n v="155"/>
    <n v="119934"/>
    <n v="3.5"/>
    <n v="5442"/>
    <n v="-32"/>
    <n v="-2.6681341404439108E-4"/>
  </r>
  <r>
    <s v="2024-09-23"/>
    <x v="0"/>
    <n v="817"/>
    <n v="151"/>
    <n v="422625"/>
    <n v="2.36"/>
    <n v="1083"/>
    <n v="666"/>
    <n v="1.5758651286601596E-3"/>
  </r>
  <r>
    <s v="2024-09-23"/>
    <x v="1"/>
    <n v="198"/>
    <n v="217"/>
    <n v="239753"/>
    <n v="7.36"/>
    <n v="11901"/>
    <n v="-19"/>
    <n v="-7.9248226299566635E-5"/>
  </r>
  <r>
    <s v="2024-09-23"/>
    <x v="2"/>
    <n v="1911"/>
    <n v="231"/>
    <n v="268516"/>
    <n v="8.5500000000000007"/>
    <n v="24018"/>
    <n v="1680"/>
    <n v="6.2566104068286429E-3"/>
  </r>
  <r>
    <s v="2024-09-23"/>
    <x v="3"/>
    <n v="1218"/>
    <n v="212"/>
    <n v="63177"/>
    <n v="8.1300000000000008"/>
    <n v="38883"/>
    <n v="1006"/>
    <n v="1.592351646960128E-2"/>
  </r>
  <r>
    <s v="2024-09-30"/>
    <x v="0"/>
    <n v="1433"/>
    <n v="408"/>
    <n v="370269"/>
    <n v="3.3"/>
    <n v="30575"/>
    <n v="1025"/>
    <n v="2.7682576721248606E-3"/>
  </r>
  <r>
    <s v="2024-09-30"/>
    <x v="1"/>
    <n v="250"/>
    <n v="429"/>
    <n v="453423"/>
    <n v="1.77"/>
    <n v="2315"/>
    <n v="-179"/>
    <n v="-3.9477485703195471E-4"/>
  </r>
  <r>
    <s v="2024-09-30"/>
    <x v="2"/>
    <n v="752"/>
    <n v="153"/>
    <n v="64906"/>
    <n v="2.09"/>
    <n v="12148"/>
    <n v="599"/>
    <n v="9.2287307798970819E-3"/>
  </r>
  <r>
    <s v="2024-09-30"/>
    <x v="3"/>
    <n v="1918"/>
    <n v="212"/>
    <n v="94360"/>
    <n v="7.36"/>
    <n v="36851"/>
    <n v="1706"/>
    <n v="1.8079694785926241E-2"/>
  </r>
  <r>
    <s v="2024-10-07"/>
    <x v="0"/>
    <n v="1939"/>
    <n v="67"/>
    <n v="187183"/>
    <n v="6.25"/>
    <n v="41215"/>
    <n v="1872"/>
    <n v="1.0000908202133741E-2"/>
  </r>
  <r>
    <s v="2024-10-07"/>
    <x v="1"/>
    <n v="1929"/>
    <n v="267"/>
    <n v="379363"/>
    <n v="1.75"/>
    <n v="43836"/>
    <n v="1662"/>
    <n v="4.3810281972675247E-3"/>
  </r>
  <r>
    <s v="2024-10-07"/>
    <x v="2"/>
    <n v="437"/>
    <n v="330"/>
    <n v="476486"/>
    <n v="4.97"/>
    <n v="4509"/>
    <n v="107"/>
    <n v="2.2456063766826309E-4"/>
  </r>
  <r>
    <s v="2024-10-07"/>
    <x v="3"/>
    <n v="307"/>
    <n v="189"/>
    <n v="117767"/>
    <n v="9.3000000000000007"/>
    <n v="27822"/>
    <n v="118"/>
    <n v="1.0019784829366461E-3"/>
  </r>
  <r>
    <s v="2024-10-14"/>
    <x v="0"/>
    <n v="1527"/>
    <n v="303"/>
    <n v="388555"/>
    <n v="8.9"/>
    <n v="36397"/>
    <n v="1224"/>
    <n v="3.1501331857780751E-3"/>
  </r>
  <r>
    <s v="2024-10-14"/>
    <x v="1"/>
    <n v="643"/>
    <n v="358"/>
    <n v="157599"/>
    <n v="3.88"/>
    <n v="7285"/>
    <n v="285"/>
    <n v="1.8083871090552605E-3"/>
  </r>
  <r>
    <s v="2024-10-14"/>
    <x v="2"/>
    <n v="201"/>
    <n v="221"/>
    <n v="309772"/>
    <n v="5.9"/>
    <n v="33174"/>
    <n v="-20"/>
    <n v="-6.456361452939582E-5"/>
  </r>
  <r>
    <s v="2024-10-14"/>
    <x v="3"/>
    <n v="414"/>
    <n v="47"/>
    <n v="199178"/>
    <n v="1.53"/>
    <n v="6742"/>
    <n v="367"/>
    <n v="1.8425729749269497E-3"/>
  </r>
  <r>
    <s v="2024-10-21"/>
    <x v="0"/>
    <n v="703"/>
    <n v="441"/>
    <n v="357089"/>
    <n v="6.5"/>
    <n v="32478"/>
    <n v="262"/>
    <n v="7.3371064356504961E-4"/>
  </r>
  <r>
    <s v="2024-10-21"/>
    <x v="1"/>
    <n v="508"/>
    <n v="69"/>
    <n v="23492"/>
    <n v="3.16"/>
    <n v="42824"/>
    <n v="439"/>
    <n v="1.8687212668142345E-2"/>
  </r>
  <r>
    <s v="2024-10-21"/>
    <x v="2"/>
    <n v="697"/>
    <n v="61"/>
    <n v="258287"/>
    <n v="8.25"/>
    <n v="21208"/>
    <n v="636"/>
    <n v="2.4623771231227277E-3"/>
  </r>
  <r>
    <s v="2024-10-21"/>
    <x v="3"/>
    <n v="1707"/>
    <n v="223"/>
    <n v="256910"/>
    <n v="5.41"/>
    <n v="44321"/>
    <n v="1484"/>
    <n v="5.7763419096181542E-3"/>
  </r>
  <r>
    <s v="2024-10-28"/>
    <x v="0"/>
    <n v="642"/>
    <n v="66"/>
    <n v="346522"/>
    <n v="5.85"/>
    <n v="13116"/>
    <n v="576"/>
    <n v="1.6622321237901201E-3"/>
  </r>
  <r>
    <s v="2024-10-28"/>
    <x v="1"/>
    <n v="859"/>
    <n v="473"/>
    <n v="209987"/>
    <n v="4.46"/>
    <n v="30214"/>
    <n v="386"/>
    <n v="1.8382090319876945E-3"/>
  </r>
  <r>
    <s v="2024-10-28"/>
    <x v="2"/>
    <n v="191"/>
    <n v="154"/>
    <n v="240550"/>
    <n v="5.22"/>
    <n v="15827"/>
    <n v="37"/>
    <n v="1.5381417584701726E-4"/>
  </r>
  <r>
    <s v="2024-10-28"/>
    <x v="3"/>
    <n v="1814"/>
    <n v="157"/>
    <n v="305827"/>
    <n v="1.99"/>
    <n v="46643"/>
    <n v="1657"/>
    <n v="5.4180958515762179E-3"/>
  </r>
  <r>
    <s v="2024-11-04"/>
    <x v="0"/>
    <n v="1466"/>
    <n v="69"/>
    <n v="54935"/>
    <n v="6.85"/>
    <n v="36484"/>
    <n v="1397"/>
    <n v="2.5430053699827069E-2"/>
  </r>
  <r>
    <s v="2024-11-04"/>
    <x v="1"/>
    <n v="947"/>
    <n v="407"/>
    <n v="319186"/>
    <n v="3.32"/>
    <n v="4996"/>
    <n v="540"/>
    <n v="1.6918035252172713E-3"/>
  </r>
  <r>
    <s v="2024-11-04"/>
    <x v="2"/>
    <n v="1821"/>
    <n v="218"/>
    <n v="439080"/>
    <n v="5.68"/>
    <n v="36095"/>
    <n v="1603"/>
    <n v="3.6508153411678964E-3"/>
  </r>
  <r>
    <s v="2024-11-04"/>
    <x v="3"/>
    <n v="1507"/>
    <n v="463"/>
    <n v="258944"/>
    <n v="6.08"/>
    <n v="16443"/>
    <n v="1044"/>
    <n v="4.0317597627286209E-3"/>
  </r>
  <r>
    <s v="2024-11-11"/>
    <x v="0"/>
    <n v="1075"/>
    <n v="173"/>
    <n v="51395"/>
    <n v="4.66"/>
    <n v="47812"/>
    <n v="902"/>
    <n v="1.7550345364335054E-2"/>
  </r>
  <r>
    <s v="2024-11-11"/>
    <x v="1"/>
    <n v="171"/>
    <n v="277"/>
    <n v="309483"/>
    <n v="8.6999999999999993"/>
    <n v="38452"/>
    <n v="-106"/>
    <n v="-3.4250669665215861E-4"/>
  </r>
  <r>
    <s v="2024-11-11"/>
    <x v="2"/>
    <n v="1487"/>
    <n v="337"/>
    <n v="87305"/>
    <n v="2.46"/>
    <n v="30428"/>
    <n v="1150"/>
    <n v="1.3172212358971423E-2"/>
  </r>
  <r>
    <s v="2024-11-11"/>
    <x v="3"/>
    <n v="454"/>
    <n v="105"/>
    <n v="121091"/>
    <n v="7.97"/>
    <n v="9269"/>
    <n v="349"/>
    <n v="2.8821299683708945E-3"/>
  </r>
  <r>
    <s v="2024-11-18"/>
    <x v="0"/>
    <n v="187"/>
    <n v="236"/>
    <n v="51087"/>
    <n v="9.41"/>
    <n v="29533"/>
    <n v="-49"/>
    <n v="-9.5914811987394058E-4"/>
  </r>
  <r>
    <s v="2024-11-18"/>
    <x v="1"/>
    <n v="513"/>
    <n v="441"/>
    <n v="338847"/>
    <n v="2.68"/>
    <n v="39997"/>
    <n v="72"/>
    <n v="2.1248528096751631E-4"/>
  </r>
  <r>
    <s v="2024-11-18"/>
    <x v="2"/>
    <n v="628"/>
    <n v="183"/>
    <n v="487523"/>
    <n v="7.32"/>
    <n v="5391"/>
    <n v="445"/>
    <n v="9.1277744844858602E-4"/>
  </r>
  <r>
    <s v="2024-11-18"/>
    <x v="3"/>
    <n v="278"/>
    <n v="218"/>
    <n v="301695"/>
    <n v="4.68"/>
    <n v="22373"/>
    <n v="60"/>
    <n v="1.9887634863023914E-4"/>
  </r>
  <r>
    <s v="2024-11-25"/>
    <x v="0"/>
    <n v="1854"/>
    <n v="161"/>
    <n v="282466"/>
    <n v="5.17"/>
    <n v="1810"/>
    <n v="1693"/>
    <n v="5.9936417126309005E-3"/>
  </r>
  <r>
    <s v="2024-11-25"/>
    <x v="1"/>
    <n v="1710"/>
    <n v="378"/>
    <n v="336661"/>
    <n v="6.2"/>
    <n v="28498"/>
    <n v="1332"/>
    <n v="3.9565022381564839E-3"/>
  </r>
  <r>
    <s v="2024-11-25"/>
    <x v="2"/>
    <n v="330"/>
    <n v="232"/>
    <n v="88455"/>
    <n v="2.69"/>
    <n v="39530"/>
    <n v="98"/>
    <n v="1.1079079758069075E-3"/>
  </r>
  <r>
    <s v="2024-11-25"/>
    <x v="3"/>
    <n v="1293"/>
    <n v="408"/>
    <n v="62535"/>
    <n v="8.9"/>
    <n v="37876"/>
    <n v="885"/>
    <n v="1.4152074838090669E-2"/>
  </r>
  <r>
    <s v="2024-12-02"/>
    <x v="0"/>
    <n v="1696"/>
    <n v="71"/>
    <n v="421957"/>
    <n v="3.79"/>
    <n v="36103"/>
    <n v="1625"/>
    <n v="3.8511033114748661E-3"/>
  </r>
  <r>
    <s v="2024-12-02"/>
    <x v="1"/>
    <n v="1902"/>
    <n v="196"/>
    <n v="470269"/>
    <n v="4.79"/>
    <n v="26103"/>
    <n v="1706"/>
    <n v="3.6277109484146308E-3"/>
  </r>
  <r>
    <s v="2024-12-02"/>
    <x v="2"/>
    <n v="1441"/>
    <n v="268"/>
    <n v="309904"/>
    <n v="6.37"/>
    <n v="3455"/>
    <n v="1173"/>
    <n v="3.7850431101244257E-3"/>
  </r>
  <r>
    <s v="2024-12-02"/>
    <x v="3"/>
    <n v="452"/>
    <n v="161"/>
    <n v="221274"/>
    <n v="2.65"/>
    <n v="40888"/>
    <n v="291"/>
    <n v="1.3151115811166245E-3"/>
  </r>
  <r>
    <s v="2024-12-09"/>
    <x v="0"/>
    <n v="1494"/>
    <n v="375"/>
    <n v="220616"/>
    <n v="1.81"/>
    <n v="22724"/>
    <n v="1119"/>
    <n v="5.0721615839286359E-3"/>
  </r>
  <r>
    <s v="2024-12-09"/>
    <x v="1"/>
    <n v="1514"/>
    <n v="141"/>
    <n v="35842"/>
    <n v="7.47"/>
    <n v="18601"/>
    <n v="1373"/>
    <n v="3.8307014117515761E-2"/>
  </r>
  <r>
    <s v="2024-12-09"/>
    <x v="2"/>
    <n v="1937"/>
    <n v="210"/>
    <n v="20607"/>
    <n v="4.2"/>
    <n v="20861"/>
    <n v="1727"/>
    <n v="8.3806473528412681E-2"/>
  </r>
  <r>
    <s v="2024-12-09"/>
    <x v="3"/>
    <n v="736"/>
    <n v="163"/>
    <n v="451894"/>
    <n v="5.43"/>
    <n v="46625"/>
    <n v="573"/>
    <n v="1.2679964770499277E-3"/>
  </r>
  <r>
    <s v="2024-12-16"/>
    <x v="0"/>
    <n v="1502"/>
    <n v="70"/>
    <n v="465553"/>
    <n v="3.32"/>
    <n v="20692"/>
    <n v="1432"/>
    <n v="3.0759118725472716E-3"/>
  </r>
  <r>
    <s v="2024-12-16"/>
    <x v="1"/>
    <n v="1623"/>
    <n v="246"/>
    <n v="415815"/>
    <n v="8.11"/>
    <n v="18656"/>
    <n v="1377"/>
    <n v="3.311568846722701E-3"/>
  </r>
  <r>
    <s v="2024-12-16"/>
    <x v="2"/>
    <n v="1592"/>
    <n v="233"/>
    <n v="327183"/>
    <n v="6.66"/>
    <n v="13316"/>
    <n v="1359"/>
    <n v="4.1536387893013997E-3"/>
  </r>
  <r>
    <s v="2024-12-16"/>
    <x v="3"/>
    <n v="1004"/>
    <n v="128"/>
    <n v="488901"/>
    <n v="8.09"/>
    <n v="49558"/>
    <n v="876"/>
    <n v="1.7917737946946315E-3"/>
  </r>
  <r>
    <s v="2024-12-23"/>
    <x v="0"/>
    <n v="1092"/>
    <n v="408"/>
    <n v="280795"/>
    <n v="8.44"/>
    <n v="4683"/>
    <n v="684"/>
    <n v="2.4359408109118751E-3"/>
  </r>
  <r>
    <s v="2024-12-23"/>
    <x v="1"/>
    <n v="1155"/>
    <n v="425"/>
    <n v="93347"/>
    <n v="2.02"/>
    <n v="47502"/>
    <n v="730"/>
    <n v="7.8202834584935772E-3"/>
  </r>
  <r>
    <s v="2024-12-23"/>
    <x v="2"/>
    <n v="1137"/>
    <n v="226"/>
    <n v="81119"/>
    <n v="7.74"/>
    <n v="35359"/>
    <n v="911"/>
    <n v="1.1230414576116569E-2"/>
  </r>
  <r>
    <s v="2024-12-23"/>
    <x v="3"/>
    <n v="1900"/>
    <n v="311"/>
    <n v="25177"/>
    <n v="2.89"/>
    <n v="14154"/>
    <n v="1589"/>
    <n v="6.3113158835445049E-2"/>
  </r>
  <r>
    <s v="2024-12-30"/>
    <x v="0"/>
    <n v="1814"/>
    <n v="49"/>
    <n v="140804"/>
    <n v="1.76"/>
    <n v="4313"/>
    <n v="1765"/>
    <n v="1.253515525127127E-2"/>
  </r>
  <r>
    <s v="2024-12-30"/>
    <x v="1"/>
    <n v="1980"/>
    <n v="204"/>
    <n v="379431"/>
    <n v="3.09"/>
    <n v="25140"/>
    <n v="1776"/>
    <n v="4.6806929323118035E-3"/>
  </r>
  <r>
    <s v="2024-12-30"/>
    <x v="2"/>
    <n v="1786"/>
    <n v="257"/>
    <n v="274831"/>
    <n v="4.68"/>
    <n v="9118"/>
    <n v="1529"/>
    <n v="5.5634189738421064E-3"/>
  </r>
  <r>
    <s v="2024-12-30"/>
    <x v="3"/>
    <n v="1495"/>
    <n v="35"/>
    <n v="136845"/>
    <n v="4.4800000000000004"/>
    <n v="39931"/>
    <n v="1460"/>
    <n v="1.0669005078738719E-2"/>
  </r>
  <r>
    <s v="2025-01-06"/>
    <x v="0"/>
    <n v="1013"/>
    <n v="110"/>
    <n v="466382"/>
    <n v="5.3"/>
    <n v="37132"/>
    <n v="903"/>
    <n v="1.9361810704529763E-3"/>
  </r>
  <r>
    <s v="2025-01-06"/>
    <x v="1"/>
    <n v="816"/>
    <n v="196"/>
    <n v="95728"/>
    <n v="8.1999999999999993"/>
    <n v="17951"/>
    <n v="620"/>
    <n v="6.4766839378238338E-3"/>
  </r>
  <r>
    <s v="2025-01-06"/>
    <x v="2"/>
    <n v="1633"/>
    <n v="445"/>
    <n v="371156"/>
    <n v="2.2200000000000002"/>
    <n v="2798"/>
    <n v="1188"/>
    <n v="3.2008104408927781E-3"/>
  </r>
  <r>
    <s v="2025-01-06"/>
    <x v="3"/>
    <n v="891"/>
    <n v="45"/>
    <n v="95410"/>
    <n v="8.33"/>
    <n v="15045"/>
    <n v="846"/>
    <n v="8.8669950738916262E-3"/>
  </r>
  <r>
    <s v="2025-01-13"/>
    <x v="0"/>
    <n v="1855"/>
    <n v="133"/>
    <n v="349413"/>
    <n v="3.3"/>
    <n v="14548"/>
    <n v="1722"/>
    <n v="4.9282654051223049E-3"/>
  </r>
  <r>
    <s v="2025-01-13"/>
    <x v="1"/>
    <n v="651"/>
    <n v="353"/>
    <n v="224699"/>
    <n v="5.61"/>
    <n v="45708"/>
    <n v="298"/>
    <n v="1.3262186302564765E-3"/>
  </r>
  <r>
    <s v="2025-01-13"/>
    <x v="2"/>
    <n v="118"/>
    <n v="262"/>
    <n v="487896"/>
    <n v="2.56"/>
    <n v="12350"/>
    <n v="-144"/>
    <n v="-2.9514486693885583E-4"/>
  </r>
  <r>
    <s v="2025-01-13"/>
    <x v="3"/>
    <n v="1331"/>
    <n v="430"/>
    <n v="14437"/>
    <n v="3.29"/>
    <n v="40868"/>
    <n v="901"/>
    <n v="6.2409087760615087E-2"/>
  </r>
  <r>
    <s v="2025-01-20"/>
    <x v="0"/>
    <n v="1748"/>
    <n v="176"/>
    <n v="383681"/>
    <n v="9.24"/>
    <n v="43122"/>
    <n v="1572"/>
    <n v="4.0971536250166149E-3"/>
  </r>
  <r>
    <s v="2025-01-20"/>
    <x v="1"/>
    <n v="663"/>
    <n v="236"/>
    <n v="479490"/>
    <n v="4.51"/>
    <n v="23853"/>
    <n v="427"/>
    <n v="8.9052952094934197E-4"/>
  </r>
  <r>
    <s v="2025-01-20"/>
    <x v="2"/>
    <n v="1040"/>
    <n v="149"/>
    <n v="124404"/>
    <n v="5.23"/>
    <n v="45380"/>
    <n v="891"/>
    <n v="7.1621491270377159E-3"/>
  </r>
  <r>
    <s v="2025-01-20"/>
    <x v="3"/>
    <n v="1166"/>
    <n v="442"/>
    <n v="336949"/>
    <n v="4.68"/>
    <n v="7705"/>
    <n v="724"/>
    <n v="2.1486931256659019E-3"/>
  </r>
  <r>
    <s v="2025-01-27"/>
    <x v="0"/>
    <n v="115"/>
    <n v="281"/>
    <n v="357265"/>
    <n v="9.23"/>
    <n v="25525"/>
    <n v="-166"/>
    <n v="-4.6464109274628077E-4"/>
  </r>
  <r>
    <s v="2025-01-27"/>
    <x v="1"/>
    <n v="1249"/>
    <n v="351"/>
    <n v="321307"/>
    <n v="6.37"/>
    <n v="20560"/>
    <n v="898"/>
    <n v="2.7948348464241365E-3"/>
  </r>
  <r>
    <s v="2025-01-27"/>
    <x v="2"/>
    <n v="1501"/>
    <n v="75"/>
    <n v="262569"/>
    <n v="2.0099999999999998"/>
    <n v="19119"/>
    <n v="1426"/>
    <n v="5.4309533874905263E-3"/>
  </r>
  <r>
    <s v="2025-01-27"/>
    <x v="3"/>
    <n v="1411"/>
    <n v="186"/>
    <n v="461669"/>
    <n v="3.72"/>
    <n v="43999"/>
    <n v="1225"/>
    <n v="2.6534161921203288E-3"/>
  </r>
  <r>
    <s v="2025-02-03"/>
    <x v="0"/>
    <n v="1556"/>
    <n v="476"/>
    <n v="351556"/>
    <n v="3.89"/>
    <n v="10825"/>
    <n v="1080"/>
    <n v="3.0720567989168156E-3"/>
  </r>
  <r>
    <s v="2025-02-03"/>
    <x v="1"/>
    <n v="1159"/>
    <n v="411"/>
    <n v="135987"/>
    <n v="8.6999999999999993"/>
    <n v="40323"/>
    <n v="748"/>
    <n v="5.5005257855530306E-3"/>
  </r>
  <r>
    <s v="2025-02-03"/>
    <x v="2"/>
    <n v="927"/>
    <n v="358"/>
    <n v="177554"/>
    <n v="6.95"/>
    <n v="48270"/>
    <n v="569"/>
    <n v="3.2046588643454949E-3"/>
  </r>
  <r>
    <s v="2025-02-03"/>
    <x v="3"/>
    <n v="152"/>
    <n v="355"/>
    <n v="270766"/>
    <n v="9.48"/>
    <n v="18001"/>
    <n v="-203"/>
    <n v="-7.4972485467156139E-4"/>
  </r>
  <r>
    <s v="2025-02-10"/>
    <x v="0"/>
    <n v="1957"/>
    <n v="234"/>
    <n v="222126"/>
    <n v="4.6100000000000003"/>
    <n v="3314"/>
    <n v="1723"/>
    <n v="7.7568587198256845E-3"/>
  </r>
  <r>
    <s v="2025-02-10"/>
    <x v="1"/>
    <n v="1294"/>
    <n v="382"/>
    <n v="309914"/>
    <n v="8.0299999999999994"/>
    <n v="23489"/>
    <n v="912"/>
    <n v="2.9427518601934728E-3"/>
  </r>
  <r>
    <s v="2025-02-10"/>
    <x v="2"/>
    <n v="1587"/>
    <n v="385"/>
    <n v="126582"/>
    <n v="6.99"/>
    <n v="42832"/>
    <n v="1202"/>
    <n v="9.4958208908059605E-3"/>
  </r>
  <r>
    <s v="2025-02-10"/>
    <x v="3"/>
    <n v="1707"/>
    <n v="263"/>
    <n v="485280"/>
    <n v="9.0299999999999994"/>
    <n v="24494"/>
    <n v="1444"/>
    <n v="2.9756017144741179E-3"/>
  </r>
  <r>
    <s v="2025-02-17"/>
    <x v="0"/>
    <n v="1138"/>
    <n v="173"/>
    <n v="453243"/>
    <n v="2.86"/>
    <n v="44097"/>
    <n v="965"/>
    <n v="2.1291007252180398E-3"/>
  </r>
  <r>
    <s v="2025-02-17"/>
    <x v="1"/>
    <n v="1895"/>
    <n v="305"/>
    <n v="104967"/>
    <n v="3.85"/>
    <n v="31853"/>
    <n v="1590"/>
    <n v="1.5147617822744291E-2"/>
  </r>
  <r>
    <s v="2025-02-17"/>
    <x v="2"/>
    <n v="362"/>
    <n v="399"/>
    <n v="145608"/>
    <n v="7.3"/>
    <n v="37636"/>
    <n v="-37"/>
    <n v="-2.5410691720235154E-4"/>
  </r>
  <r>
    <s v="2025-02-17"/>
    <x v="3"/>
    <n v="1662"/>
    <n v="487"/>
    <n v="105980"/>
    <n v="9.08"/>
    <n v="22996"/>
    <n v="1175"/>
    <n v="1.1086997546706926E-2"/>
  </r>
  <r>
    <s v="2025-02-24"/>
    <x v="0"/>
    <n v="1440"/>
    <n v="65"/>
    <n v="126524"/>
    <n v="4.34"/>
    <n v="49772"/>
    <n v="1375"/>
    <n v="1.0867503398564699E-2"/>
  </r>
  <r>
    <s v="2025-02-24"/>
    <x v="1"/>
    <n v="1884"/>
    <n v="177"/>
    <n v="230448"/>
    <n v="7.8"/>
    <n v="22713"/>
    <n v="1707"/>
    <n v="7.4073109768798169E-3"/>
  </r>
  <r>
    <s v="2025-02-24"/>
    <x v="2"/>
    <n v="861"/>
    <n v="153"/>
    <n v="317007"/>
    <n v="3.85"/>
    <n v="8718"/>
    <n v="708"/>
    <n v="2.2333891680625349E-3"/>
  </r>
  <r>
    <s v="2025-02-24"/>
    <x v="3"/>
    <n v="1063"/>
    <n v="47"/>
    <n v="464239"/>
    <n v="6.58"/>
    <n v="39031"/>
    <n v="1016"/>
    <n v="2.1885278918832756E-3"/>
  </r>
  <r>
    <s v="2025-03-03"/>
    <x v="0"/>
    <n v="1371"/>
    <n v="56"/>
    <n v="257579"/>
    <n v="8.6199999999999992"/>
    <n v="33799"/>
    <n v="1315"/>
    <n v="5.1052298518124532E-3"/>
  </r>
  <r>
    <s v="2025-03-03"/>
    <x v="1"/>
    <n v="345"/>
    <n v="464"/>
    <n v="366881"/>
    <n v="4.55"/>
    <n v="20553"/>
    <n v="-119"/>
    <n v="-3.2435585380545735E-4"/>
  </r>
  <r>
    <s v="2025-03-03"/>
    <x v="2"/>
    <n v="946"/>
    <n v="47"/>
    <n v="466575"/>
    <n v="8.33"/>
    <n v="10002"/>
    <n v="899"/>
    <n v="1.9268070513850934E-3"/>
  </r>
  <r>
    <s v="2025-03-03"/>
    <x v="3"/>
    <n v="510"/>
    <n v="195"/>
    <n v="224534"/>
    <n v="9.4"/>
    <n v="30987"/>
    <n v="315"/>
    <n v="1.4029055733207443E-3"/>
  </r>
  <r>
    <s v="2025-03-10"/>
    <x v="0"/>
    <n v="393"/>
    <n v="181"/>
    <n v="462142"/>
    <n v="7.23"/>
    <n v="6296"/>
    <n v="212"/>
    <n v="4.5873346287504706E-4"/>
  </r>
  <r>
    <s v="2025-03-10"/>
    <x v="1"/>
    <n v="1098"/>
    <n v="190"/>
    <n v="340842"/>
    <n v="9.39"/>
    <n v="21539"/>
    <n v="908"/>
    <n v="2.6639909400836752E-3"/>
  </r>
  <r>
    <s v="2025-03-10"/>
    <x v="2"/>
    <n v="1399"/>
    <n v="49"/>
    <n v="12471"/>
    <n v="5.12"/>
    <n v="14722"/>
    <n v="1350"/>
    <n v="0.10825114265095021"/>
  </r>
  <r>
    <s v="2025-03-10"/>
    <x v="3"/>
    <n v="1658"/>
    <n v="416"/>
    <n v="98397"/>
    <n v="6.11"/>
    <n v="11383"/>
    <n v="1242"/>
    <n v="1.2622336046830695E-2"/>
  </r>
  <r>
    <s v="2025-03-17"/>
    <x v="0"/>
    <n v="1102"/>
    <n v="422"/>
    <n v="410330"/>
    <n v="7.74"/>
    <n v="9480"/>
    <n v="680"/>
    <n v="1.6572027392586454E-3"/>
  </r>
  <r>
    <s v="2025-03-17"/>
    <x v="1"/>
    <n v="1358"/>
    <n v="242"/>
    <n v="342129"/>
    <n v="4.9400000000000004"/>
    <n v="29116"/>
    <n v="1116"/>
    <n v="3.2619275185675578E-3"/>
  </r>
  <r>
    <s v="2025-03-17"/>
    <x v="2"/>
    <n v="1077"/>
    <n v="216"/>
    <n v="12447"/>
    <n v="1.8"/>
    <n v="14068"/>
    <n v="861"/>
    <n v="6.9173294769824048E-2"/>
  </r>
  <r>
    <s v="2025-03-17"/>
    <x v="3"/>
    <n v="1596"/>
    <n v="211"/>
    <n v="17380"/>
    <n v="8.64"/>
    <n v="35801"/>
    <n v="1385"/>
    <n v="7.9689298043728429E-2"/>
  </r>
  <r>
    <s v="2025-03-24"/>
    <x v="0"/>
    <n v="490"/>
    <n v="29"/>
    <n v="364810"/>
    <n v="1.53"/>
    <n v="49077"/>
    <n v="461"/>
    <n v="1.2636715002329981E-3"/>
  </r>
  <r>
    <s v="2025-03-24"/>
    <x v="1"/>
    <n v="609"/>
    <n v="135"/>
    <n v="373606"/>
    <n v="8.52"/>
    <n v="21453"/>
    <n v="474"/>
    <n v="1.268716241173857E-3"/>
  </r>
  <r>
    <s v="2025-03-24"/>
    <x v="2"/>
    <n v="364"/>
    <n v="72"/>
    <n v="211090"/>
    <n v="5.53"/>
    <n v="21061"/>
    <n v="292"/>
    <n v="1.3832962243592781E-3"/>
  </r>
  <r>
    <s v="2025-03-24"/>
    <x v="3"/>
    <n v="442"/>
    <n v="53"/>
    <n v="441931"/>
    <n v="1.87"/>
    <n v="20059"/>
    <n v="389"/>
    <n v="8.8022790888170322E-4"/>
  </r>
  <r>
    <s v="2025-03-31"/>
    <x v="0"/>
    <n v="1033"/>
    <n v="392"/>
    <n v="282780"/>
    <n v="6.27"/>
    <n v="23140"/>
    <n v="641"/>
    <n v="2.2667798288422093E-3"/>
  </r>
  <r>
    <s v="2025-03-31"/>
    <x v="1"/>
    <n v="988"/>
    <n v="474"/>
    <n v="370070"/>
    <n v="9.4600000000000009"/>
    <n v="23461"/>
    <n v="514"/>
    <n v="1.3889264193260734E-3"/>
  </r>
  <r>
    <s v="2025-03-31"/>
    <x v="2"/>
    <n v="1946"/>
    <n v="270"/>
    <n v="198350"/>
    <n v="7.5"/>
    <n v="11805"/>
    <n v="1676"/>
    <n v="8.4497101083942528E-3"/>
  </r>
  <r>
    <s v="2025-03-31"/>
    <x v="3"/>
    <n v="1957"/>
    <n v="490"/>
    <n v="435726"/>
    <n v="4.7300000000000004"/>
    <n v="15969"/>
    <n v="1467"/>
    <n v="3.3667947287974553E-3"/>
  </r>
  <r>
    <s v="2025-04-07"/>
    <x v="0"/>
    <n v="559"/>
    <n v="392"/>
    <n v="78789"/>
    <n v="3.19"/>
    <n v="2436"/>
    <n v="167"/>
    <n v="2.1195852212872357E-3"/>
  </r>
  <r>
    <s v="2025-04-07"/>
    <x v="1"/>
    <n v="1307"/>
    <n v="278"/>
    <n v="98596"/>
    <n v="2.4900000000000002"/>
    <n v="47603"/>
    <n v="1029"/>
    <n v="1.0436528865268368E-2"/>
  </r>
  <r>
    <s v="2025-04-07"/>
    <x v="2"/>
    <n v="1432"/>
    <n v="425"/>
    <n v="29589"/>
    <n v="4.5"/>
    <n v="42964"/>
    <n v="1007"/>
    <n v="3.4032917638311531E-2"/>
  </r>
  <r>
    <s v="2025-04-07"/>
    <x v="3"/>
    <n v="623"/>
    <n v="414"/>
    <n v="290354"/>
    <n v="6.49"/>
    <n v="39923"/>
    <n v="209"/>
    <n v="7.1981098934404211E-4"/>
  </r>
  <r>
    <s v="2025-04-14"/>
    <x v="0"/>
    <n v="198"/>
    <n v="358"/>
    <n v="66682"/>
    <n v="6.73"/>
    <n v="2293"/>
    <n v="-160"/>
    <n v="-2.3994481269308059E-3"/>
  </r>
  <r>
    <s v="2025-04-14"/>
    <x v="1"/>
    <n v="198"/>
    <n v="373"/>
    <n v="70707"/>
    <n v="4.83"/>
    <n v="25920"/>
    <n v="-175"/>
    <n v="-2.4750024750024749E-3"/>
  </r>
  <r>
    <s v="2025-04-14"/>
    <x v="2"/>
    <n v="353"/>
    <n v="300"/>
    <n v="142507"/>
    <n v="5.3"/>
    <n v="11035"/>
    <n v="53"/>
    <n v="3.7191155522184875E-4"/>
  </r>
  <r>
    <s v="2025-04-14"/>
    <x v="3"/>
    <n v="520"/>
    <n v="375"/>
    <n v="369525"/>
    <n v="6.54"/>
    <n v="20733"/>
    <n v="145"/>
    <n v="3.9239564305527366E-4"/>
  </r>
  <r>
    <s v="2025-04-21"/>
    <x v="0"/>
    <n v="961"/>
    <n v="358"/>
    <n v="62942"/>
    <n v="6.8"/>
    <n v="18693"/>
    <n v="603"/>
    <n v="9.5802484827301332E-3"/>
  </r>
  <r>
    <s v="2025-04-21"/>
    <x v="1"/>
    <n v="1375"/>
    <n v="330"/>
    <n v="377382"/>
    <n v="2.6"/>
    <n v="7875"/>
    <n v="1045"/>
    <n v="2.7690774864725927E-3"/>
  </r>
  <r>
    <s v="2025-04-21"/>
    <x v="2"/>
    <n v="1147"/>
    <n v="388"/>
    <n v="333851"/>
    <n v="2.44"/>
    <n v="8471"/>
    <n v="759"/>
    <n v="2.2734693021737242E-3"/>
  </r>
  <r>
    <s v="2025-04-21"/>
    <x v="3"/>
    <n v="1707"/>
    <n v="74"/>
    <n v="270958"/>
    <n v="3.09"/>
    <n v="14090"/>
    <n v="1633"/>
    <n v="6.0267642955734836E-3"/>
  </r>
  <r>
    <s v="2025-04-28"/>
    <x v="0"/>
    <n v="1693"/>
    <n v="154"/>
    <n v="445944"/>
    <n v="5.69"/>
    <n v="14216"/>
    <n v="1539"/>
    <n v="3.4511059684624078E-3"/>
  </r>
  <r>
    <s v="2025-04-28"/>
    <x v="1"/>
    <n v="833"/>
    <n v="380"/>
    <n v="224830"/>
    <n v="3.86"/>
    <n v="3582"/>
    <n v="453"/>
    <n v="2.014855668727483E-3"/>
  </r>
  <r>
    <s v="2025-04-28"/>
    <x v="2"/>
    <n v="1222"/>
    <n v="274"/>
    <n v="487289"/>
    <n v="3.16"/>
    <n v="32500"/>
    <n v="948"/>
    <n v="1.9454574184929272E-3"/>
  </r>
  <r>
    <s v="2025-04-28"/>
    <x v="3"/>
    <n v="777"/>
    <n v="140"/>
    <n v="11435"/>
    <n v="1.6"/>
    <n v="6832"/>
    <n v="637"/>
    <n v="5.5706165282028861E-2"/>
  </r>
  <r>
    <s v="2025-05-05"/>
    <x v="0"/>
    <n v="1957"/>
    <n v="76"/>
    <n v="447902"/>
    <n v="6.09"/>
    <n v="33381"/>
    <n v="1881"/>
    <n v="4.1995793722733989E-3"/>
  </r>
  <r>
    <s v="2025-05-05"/>
    <x v="1"/>
    <n v="405"/>
    <n v="66"/>
    <n v="418696"/>
    <n v="5.59"/>
    <n v="48419"/>
    <n v="339"/>
    <n v="8.0965664826031301E-4"/>
  </r>
  <r>
    <s v="2025-05-05"/>
    <x v="2"/>
    <n v="1581"/>
    <n v="71"/>
    <n v="484364"/>
    <n v="3.55"/>
    <n v="16149"/>
    <n v="1510"/>
    <n v="3.1174901520344203E-3"/>
  </r>
  <r>
    <s v="2025-05-05"/>
    <x v="3"/>
    <n v="1035"/>
    <n v="171"/>
    <n v="148477"/>
    <n v="5.21"/>
    <n v="7541"/>
    <n v="864"/>
    <n v="5.8190830903102836E-3"/>
  </r>
  <r>
    <s v="2025-05-12"/>
    <x v="0"/>
    <n v="1765"/>
    <n v="109"/>
    <n v="468301"/>
    <n v="1.82"/>
    <n v="20042"/>
    <n v="1656"/>
    <n v="3.5361871958419907E-3"/>
  </r>
  <r>
    <s v="2025-05-12"/>
    <x v="1"/>
    <n v="837"/>
    <n v="430"/>
    <n v="364820"/>
    <n v="4"/>
    <n v="49400"/>
    <n v="407"/>
    <n v="1.1156186612576065E-3"/>
  </r>
  <r>
    <s v="2025-05-12"/>
    <x v="2"/>
    <n v="337"/>
    <n v="68"/>
    <n v="456298"/>
    <n v="7.57"/>
    <n v="4007"/>
    <n v="269"/>
    <n v="5.8952701962314107E-4"/>
  </r>
  <r>
    <s v="2025-05-12"/>
    <x v="3"/>
    <n v="119"/>
    <n v="456"/>
    <n v="82558"/>
    <n v="6.81"/>
    <n v="12174"/>
    <n v="-337"/>
    <n v="-4.0819787301048958E-3"/>
  </r>
  <r>
    <m/>
    <x v="4"/>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s v="Twitter"/>
    <d v="2024-12-23T00:00:00"/>
    <s v="Reel"/>
    <s v="Check out our latest reel on twitter!"/>
    <n v="1461"/>
    <n v="184"/>
    <n v="344"/>
    <n v="21915"/>
    <n v="21675"/>
    <n v="15"/>
    <s v="#FutureOfDriving"/>
    <s v="#AnytimeIsTeslaTime"/>
    <s v="no data"/>
    <x v="0"/>
    <n v="9.0759753593429152E-2"/>
  </r>
  <r>
    <s v="P002"/>
    <s v="Twitter"/>
    <d v="2025-04-03T00:00:00"/>
    <s v="Text"/>
    <s v="Check out our latest text on twitter!"/>
    <n v="4054"/>
    <n v="389"/>
    <n v="493"/>
    <n v="64864"/>
    <n v="64383"/>
    <n v="117"/>
    <s v="#TeslaCoInnovation"/>
    <s v="#BetterWithTesla"/>
    <s v="no data"/>
    <x v="1"/>
    <n v="7.6097681302417369E-2"/>
  </r>
  <r>
    <s v="P003"/>
    <s v="YouTube"/>
    <d v="2025-05-12T00:00:00"/>
    <s v="Reel"/>
    <s v="Check out our latest reel on youtube!"/>
    <n v="2795"/>
    <n v="105"/>
    <n v="49"/>
    <n v="53105"/>
    <n v="52307"/>
    <n v="204"/>
    <s v="#TeslaCoInnovation"/>
    <s v="no data"/>
    <s v="no data"/>
    <x v="2"/>
    <n v="5.5531494209584788E-2"/>
  </r>
  <r>
    <s v="P004"/>
    <s v="Instagram"/>
    <d v="2024-08-12T00:00:00"/>
    <s v="Story"/>
    <s v="Check out our latest story on instagram!"/>
    <n v="2404"/>
    <n v="363"/>
    <n v="138"/>
    <n v="19232"/>
    <n v="18636"/>
    <n v="128"/>
    <s v="#EVRevolution"/>
    <s v="no data"/>
    <s v="no data"/>
    <x v="3"/>
    <n v="0.15105033277870217"/>
  </r>
  <r>
    <s v="P005"/>
    <s v="YouTube"/>
    <d v="2024-06-26T00:00:00"/>
    <s v="Reel"/>
    <s v="Check out our latest reel on youtube!"/>
    <n v="3557"/>
    <n v="687"/>
    <n v="424"/>
    <n v="71140"/>
    <n v="70701"/>
    <n v="224"/>
    <s v="#EVRevolution"/>
    <s v="#TeslaCoInnovation"/>
    <s v="no data"/>
    <x v="0"/>
    <n v="6.5617093055946027E-2"/>
  </r>
  <r>
    <s v="P006"/>
    <s v="Facebook"/>
    <d v="2024-10-31T00:00:00"/>
    <s v="Carousel"/>
    <s v="Check out our latest carousel on facebook!"/>
    <n v="2945"/>
    <n v="930"/>
    <n v="355"/>
    <n v="23560"/>
    <n v="23275"/>
    <n v="256"/>
    <s v="#TeslaCoInnovation"/>
    <s v="no data"/>
    <s v="no data"/>
    <x v="1"/>
    <n v="0.17954159592529711"/>
  </r>
  <r>
    <s v="P007"/>
    <s v="Twitter"/>
    <d v="2024-06-24T00:00:00"/>
    <s v="Carousel"/>
    <s v="Check out our latest carousel on twitter!"/>
    <n v="3860"/>
    <n v="201"/>
    <n v="279"/>
    <n v="61760"/>
    <n v="61660"/>
    <n v="235"/>
    <s v="#TeslaCoInnovation"/>
    <s v="no data"/>
    <s v="no data"/>
    <x v="1"/>
    <n v="7.0272020725388601E-2"/>
  </r>
  <r>
    <s v="P008"/>
    <s v="YouTube"/>
    <d v="2024-07-13T00:00:00"/>
    <s v="Image"/>
    <s v="Check out our latest image on youtube!"/>
    <n v="3929"/>
    <n v="262"/>
    <n v="278"/>
    <n v="43219"/>
    <n v="42841"/>
    <n v="39"/>
    <s v="#EVRevolution"/>
    <s v="no data"/>
    <s v="no data"/>
    <x v="3"/>
    <n v="0.10340359564080613"/>
  </r>
  <r>
    <s v="P009"/>
    <s v="Facebook"/>
    <d v="2024-08-30T00:00:00"/>
    <s v="Text"/>
    <s v="Check out our latest text on facebook!"/>
    <n v="3784"/>
    <n v="808"/>
    <n v="404"/>
    <n v="56760"/>
    <n v="56343"/>
    <n v="131"/>
    <s v="#TeslaCoInnovation"/>
    <s v="no data"/>
    <s v="no data"/>
    <x v="1"/>
    <n v="8.8019732205778717E-2"/>
  </r>
  <r>
    <s v="P010"/>
    <s v="Facebook"/>
    <d v="2025-03-11T00:00:00"/>
    <s v="Image"/>
    <s v="Check out our latest image on facebook!"/>
    <n v="4241"/>
    <n v="902"/>
    <n v="47"/>
    <n v="72097"/>
    <n v="71598"/>
    <n v="167"/>
    <s v="#TeslaCoInnovation"/>
    <s v="no data"/>
    <s v="no data"/>
    <x v="1"/>
    <n v="7.198635172059864E-2"/>
  </r>
  <r>
    <s v="P011"/>
    <s v="Instagram"/>
    <d v="2025-02-02T00:00:00"/>
    <s v="Story"/>
    <s v="Check out our latest story on instagram!"/>
    <n v="1792"/>
    <n v="614"/>
    <n v="497"/>
    <n v="25088"/>
    <n v="24675"/>
    <n v="65"/>
    <s v="#FutureOfDriving"/>
    <s v="no data"/>
    <s v="no data"/>
    <x v="3"/>
    <n v="0.11571269132653061"/>
  </r>
  <r>
    <s v="P012"/>
    <s v="Facebook"/>
    <d v="2024-07-21T00:00:00"/>
    <s v="Reel"/>
    <s v="Check out our latest reel on facebook!"/>
    <n v="1946"/>
    <n v="686"/>
    <n v="377"/>
    <n v="23352"/>
    <n v="22982"/>
    <n v="213"/>
    <s v="#FutureOfDriving"/>
    <s v="no data"/>
    <s v="no data"/>
    <x v="2"/>
    <n v="0.12885405960945528"/>
  </r>
  <r>
    <s v="P013"/>
    <s v="YouTube"/>
    <d v="2024-11-18T00:00:00"/>
    <s v="Carousel"/>
    <s v="Check out our latest carousel on youtube!"/>
    <n v="1171"/>
    <n v="286"/>
    <n v="231"/>
    <n v="22249"/>
    <n v="21282"/>
    <n v="114"/>
    <s v="#EVRevolution"/>
    <s v="no data"/>
    <s v="no data"/>
    <x v="0"/>
    <n v="7.5868578363072495E-2"/>
  </r>
  <r>
    <s v="P014"/>
    <s v="Facebook"/>
    <d v="2025-02-16T00:00:00"/>
    <s v="Story"/>
    <s v="Check out our latest story on facebook!"/>
    <n v="4242"/>
    <n v="555"/>
    <n v="131"/>
    <n v="33936"/>
    <n v="33802"/>
    <n v="265"/>
    <s v="#FutureOfDriving"/>
    <s v="no data"/>
    <s v="no data"/>
    <x v="4"/>
    <n v="0.14521452145214522"/>
  </r>
  <r>
    <s v="P015"/>
    <s v="Facebook"/>
    <d v="2024-10-24T00:00:00"/>
    <s v="Video"/>
    <s v="Check out our latest video on facebook!"/>
    <n v="3888"/>
    <n v="604"/>
    <n v="128"/>
    <n v="77760"/>
    <n v="77167"/>
    <n v="20"/>
    <s v="#FutureOfDriving"/>
    <s v="no data"/>
    <s v="no data"/>
    <x v="0"/>
    <n v="5.941358024691358E-2"/>
  </r>
  <r>
    <s v="P016"/>
    <s v="Facebook"/>
    <d v="2024-08-26T00:00:00"/>
    <s v="Text"/>
    <s v="Check out our latest text on facebook!"/>
    <n v="3452"/>
    <n v="377"/>
    <n v="360"/>
    <n v="55232"/>
    <n v="55075"/>
    <n v="87"/>
    <s v="#FutureOfDriving"/>
    <s v="no data"/>
    <s v="no data"/>
    <x v="2"/>
    <n v="7.5843713789107758E-2"/>
  </r>
  <r>
    <s v="P017"/>
    <s v="Facebook"/>
    <d v="2025-05-05T00:00:00"/>
    <s v="Text"/>
    <s v="Check out our latest text on facebook!"/>
    <n v="4441"/>
    <n v="511"/>
    <n v="70"/>
    <n v="53292"/>
    <n v="53082"/>
    <n v="159"/>
    <s v="#EVRevolution"/>
    <s v="no data"/>
    <s v="no data"/>
    <x v="3"/>
    <n v="9.4235532537716729E-2"/>
  </r>
  <r>
    <s v="P018"/>
    <s v="Instagram"/>
    <d v="2024-08-19T00:00:00"/>
    <s v="Reel"/>
    <s v="Check out our latest reel on instagram!"/>
    <n v="3000"/>
    <n v="382"/>
    <n v="325"/>
    <n v="36000"/>
    <n v="35819"/>
    <n v="19"/>
    <s v="#FutureOfDriving"/>
    <s v="no data"/>
    <s v="no data"/>
    <x v="0"/>
    <n v="0.10297222222222223"/>
  </r>
  <r>
    <s v="P019"/>
    <s v="Instagram"/>
    <d v="2024-06-23T00:00:00"/>
    <s v="Video"/>
    <s v="Check out our latest video on instagram!"/>
    <n v="1071"/>
    <n v="519"/>
    <n v="22"/>
    <n v="16065"/>
    <n v="15865"/>
    <n v="103"/>
    <s v="#TeslaCoInnovation"/>
    <s v="no data"/>
    <s v="no data"/>
    <x v="3"/>
    <n v="0.10034235916588857"/>
  </r>
  <r>
    <s v="P020"/>
    <s v="Instagram"/>
    <d v="2024-09-09T00:00:00"/>
    <s v="Carousel"/>
    <s v="Check out our latest carousel on instagram!"/>
    <n v="4054"/>
    <n v="488"/>
    <n v="373"/>
    <n v="77026"/>
    <n v="76881"/>
    <n v="25"/>
    <s v="#TeslaCoInnovation"/>
    <s v="no data"/>
    <s v="no data"/>
    <x v="0"/>
    <n v="6.3809622724794221E-2"/>
  </r>
  <r>
    <s v="P021"/>
    <s v="Instagram"/>
    <d v="2025-01-04T00:00:00"/>
    <s v="Reel"/>
    <s v="Check out our latest reel on instagram!"/>
    <n v="4838"/>
    <n v="640"/>
    <n v="128"/>
    <n v="72570"/>
    <n v="72396"/>
    <n v="83"/>
    <s v="#FutureOfDriving"/>
    <s v="no data"/>
    <s v="no data"/>
    <x v="3"/>
    <n v="7.7249552156538517E-2"/>
  </r>
  <r>
    <s v="P022"/>
    <s v="Facebook"/>
    <d v="2025-02-27T00:00:00"/>
    <s v="Text"/>
    <s v="Check out our latest text on facebook!"/>
    <n v="1570"/>
    <n v="187"/>
    <n v="260"/>
    <n v="25120"/>
    <n v="24613"/>
    <n v="133"/>
    <s v="#TeslaCoInnovation"/>
    <s v="no data"/>
    <s v="no data"/>
    <x v="3"/>
    <n v="8.0294585987261149E-2"/>
  </r>
  <r>
    <s v="P023"/>
    <s v="Facebook"/>
    <d v="2024-11-06T00:00:00"/>
    <s v="Video"/>
    <s v="Check out our latest video on facebook!"/>
    <n v="1606"/>
    <n v="547"/>
    <n v="316"/>
    <n v="32120"/>
    <n v="31736"/>
    <n v="225"/>
    <s v="#TeslaCoInnovation"/>
    <s v="#AnytimeIsTeslaTime"/>
    <s v="no data"/>
    <x v="1"/>
    <n v="7.6867995018679955E-2"/>
  </r>
  <r>
    <s v="P024"/>
    <s v="Facebook"/>
    <d v="2025-01-23T00:00:00"/>
    <s v="Video"/>
    <s v="Check out our latest video on facebook!"/>
    <n v="3961"/>
    <n v="761"/>
    <n v="131"/>
    <n v="67337"/>
    <n v="66615"/>
    <n v="161"/>
    <s v="#FutureOfDriving"/>
    <s v="no data"/>
    <s v="no data"/>
    <x v="2"/>
    <n v="7.2070332803659209E-2"/>
  </r>
  <r>
    <s v="P025"/>
    <s v="Twitter"/>
    <d v="2025-04-10T00:00:00"/>
    <s v="Carousel"/>
    <s v="Check out our latest carousel on twitter!"/>
    <n v="3128"/>
    <n v="211"/>
    <n v="197"/>
    <n v="59432"/>
    <n v="59182"/>
    <n v="238"/>
    <s v="#EVRevolution"/>
    <s v="no data"/>
    <s v="no data"/>
    <x v="4"/>
    <n v="5.9496567505720827E-2"/>
  </r>
  <r>
    <s v="P026"/>
    <s v="YouTube"/>
    <d v="2025-04-05T00:00:00"/>
    <s v="Reel"/>
    <s v="Check out our latest reel on youtube!"/>
    <n v="3009"/>
    <n v="413"/>
    <n v="358"/>
    <n v="42126"/>
    <n v="41309"/>
    <n v="211"/>
    <s v="#FutureOfDriving"/>
    <s v="no data"/>
    <s v="no data"/>
    <x v="1"/>
    <n v="8.9730807577268201E-2"/>
  </r>
  <r>
    <s v="P027"/>
    <s v="YouTube"/>
    <d v="2024-09-17T00:00:00"/>
    <s v="Text"/>
    <s v="Check out our latest text on youtube!"/>
    <n v="2076"/>
    <n v="195"/>
    <n v="104"/>
    <n v="33216"/>
    <n v="32244"/>
    <n v="51"/>
    <s v="#FutureOfDriving"/>
    <s v="no data"/>
    <s v="no data"/>
    <x v="3"/>
    <n v="7.1501685934489398E-2"/>
  </r>
  <r>
    <s v="P028"/>
    <s v="Instagram"/>
    <d v="2025-03-04T00:00:00"/>
    <s v="Video"/>
    <s v="Check out our latest video on instagram!"/>
    <n v="432"/>
    <n v="624"/>
    <n v="123"/>
    <n v="6912"/>
    <n v="6259"/>
    <n v="79"/>
    <s v="#FutureOfDriving"/>
    <s v="no data"/>
    <s v="no data"/>
    <x v="3"/>
    <n v="0.17057291666666666"/>
  </r>
  <r>
    <s v="P029"/>
    <s v="Instagram"/>
    <d v="2025-01-31T00:00:00"/>
    <s v="Carousel"/>
    <s v="Check out our latest carousel on instagram!"/>
    <n v="2566"/>
    <n v="118"/>
    <n v="37"/>
    <n v="12830"/>
    <n v="12264"/>
    <n v="221"/>
    <s v="#FutureOfDriving"/>
    <s v="no data"/>
    <s v="no data"/>
    <x v="2"/>
    <n v="0.21208106001558846"/>
  </r>
  <r>
    <s v="P030"/>
    <s v="Instagram"/>
    <d v="2025-02-25T00:00:00"/>
    <s v="Video"/>
    <s v="Check out our latest video on instagram!"/>
    <n v="3095"/>
    <n v="39"/>
    <n v="78"/>
    <n v="55710"/>
    <n v="54808"/>
    <n v="93"/>
    <s v="#EVRevolution"/>
    <s v="no data"/>
    <s v="no data"/>
    <x v="4"/>
    <n v="5.7655717106444085E-2"/>
  </r>
  <r>
    <s v="P031"/>
    <s v="Instagram"/>
    <d v="2024-12-16T00:00:00"/>
    <s v="Text"/>
    <s v="Check out our latest text on instagram!"/>
    <n v="438"/>
    <n v="153"/>
    <n v="275"/>
    <n v="3066"/>
    <n v="2701"/>
    <n v="282"/>
    <s v="#TeslaCoInnovation"/>
    <s v="no data"/>
    <s v="no data"/>
    <x v="1"/>
    <n v="0.28245270711024134"/>
  </r>
  <r>
    <s v="P032"/>
    <s v="Twitter"/>
    <d v="2024-07-31T00:00:00"/>
    <s v="Carousel"/>
    <s v="Check out our latest carousel on twitter!"/>
    <n v="2278"/>
    <n v="10"/>
    <n v="321"/>
    <n v="13668"/>
    <n v="12676"/>
    <n v="275"/>
    <s v="#EVRevolution"/>
    <s v="no data"/>
    <s v="no data"/>
    <x v="0"/>
    <n v="0.19088381621305239"/>
  </r>
  <r>
    <s v="P033"/>
    <s v="Facebook"/>
    <d v="2024-08-21T00:00:00"/>
    <s v="Image"/>
    <s v="Check out our latest image on facebook!"/>
    <n v="1407"/>
    <n v="400"/>
    <n v="351"/>
    <n v="16884"/>
    <n v="15954"/>
    <n v="113"/>
    <s v="#TeslaCoInnovation"/>
    <s v="no data"/>
    <s v="no data"/>
    <x v="0"/>
    <n v="0.12781331438047855"/>
  </r>
  <r>
    <s v="P034"/>
    <s v="Facebook"/>
    <d v="2025-03-26T00:00:00"/>
    <s v="Text"/>
    <s v="Check out our latest text on facebook!"/>
    <n v="1652"/>
    <n v="89"/>
    <n v="357"/>
    <n v="29736"/>
    <n v="28771"/>
    <n v="215"/>
    <s v="#TeslaCoInnovation"/>
    <s v="no data"/>
    <s v="no data"/>
    <x v="2"/>
    <n v="7.055421038471886E-2"/>
  </r>
  <r>
    <s v="P035"/>
    <s v="Instagram"/>
    <d v="2024-11-30T00:00:00"/>
    <s v="Video"/>
    <s v="Check out our latest video on instagram!"/>
    <n v="3775"/>
    <n v="16"/>
    <n v="239"/>
    <n v="33975"/>
    <n v="33310"/>
    <n v="271"/>
    <s v="#FutureOfDriving"/>
    <s v="no data"/>
    <s v="no data"/>
    <x v="1"/>
    <n v="0.11861662987490802"/>
  </r>
  <r>
    <s v="P036"/>
    <s v="Instagram"/>
    <d v="2025-04-19T00:00:00"/>
    <s v="Story"/>
    <s v="Check out our latest story on instagram!"/>
    <n v="4518"/>
    <n v="285"/>
    <n v="383"/>
    <n v="67770"/>
    <n v="67621"/>
    <n v="31"/>
    <s v="#EVRevolution"/>
    <s v="no data"/>
    <s v="no data"/>
    <x v="1"/>
    <n v="7.6523535487678915E-2"/>
  </r>
  <r>
    <s v="P037"/>
    <s v="Facebook"/>
    <d v="2025-01-06T00:00:00"/>
    <s v="Carousel"/>
    <s v="Check out our latest carousel on facebook!"/>
    <n v="3024"/>
    <n v="925"/>
    <n v="350"/>
    <n v="24192"/>
    <n v="23518"/>
    <n v="36"/>
    <s v="#EVRevolution"/>
    <s v="no data"/>
    <s v="no data"/>
    <x v="1"/>
    <n v="0.17770337301587302"/>
  </r>
  <r>
    <s v="P038"/>
    <s v="YouTube"/>
    <d v="2025-02-17T00:00:00"/>
    <s v="Reel"/>
    <s v="Check out our latest reel on youtube!"/>
    <n v="3138"/>
    <n v="123"/>
    <n v="291"/>
    <n v="28242"/>
    <n v="27550"/>
    <n v="87"/>
    <s v="#TeslaCoInnovation"/>
    <s v="no data"/>
    <s v="no data"/>
    <x v="3"/>
    <n v="0.12577012959422137"/>
  </r>
  <r>
    <s v="P039"/>
    <s v="Facebook"/>
    <d v="2024-11-25T00:00:00"/>
    <s v="Image"/>
    <s v="Check out our latest image on facebook!"/>
    <n v="3564"/>
    <n v="629"/>
    <n v="177"/>
    <n v="60588"/>
    <n v="59627"/>
    <n v="92"/>
    <s v="#TeslaCoInnovation"/>
    <s v="no data"/>
    <s v="no data"/>
    <x v="4"/>
    <n v="7.2126493695121141E-2"/>
  </r>
  <r>
    <s v="P040"/>
    <s v="Twitter"/>
    <d v="2025-03-07T00:00:00"/>
    <s v="Image"/>
    <s v="Check out our latest image on twitter!"/>
    <n v="4750"/>
    <n v="151"/>
    <n v="415"/>
    <n v="38000"/>
    <n v="37792"/>
    <n v="299"/>
    <s v="#EVRevolution"/>
    <s v="no data"/>
    <s v="no data"/>
    <x v="3"/>
    <n v="0.13989473684210527"/>
  </r>
  <r>
    <s v="P041"/>
    <s v="Instagram"/>
    <d v="2025-03-08T00:00:00"/>
    <s v="Reel"/>
    <s v="Check out our latest reel on instagram!"/>
    <n v="456"/>
    <n v="629"/>
    <n v="428"/>
    <n v="8208"/>
    <n v="7377"/>
    <n v="205"/>
    <s v="#FutureOfDriving"/>
    <s v="no data"/>
    <s v="no data"/>
    <x v="3"/>
    <n v="0.18433235867446393"/>
  </r>
  <r>
    <s v="P042"/>
    <s v="YouTube"/>
    <d v="2025-03-05T00:00:00"/>
    <s v="Reel"/>
    <s v="Check out our latest reel on youtube!"/>
    <n v="1543"/>
    <n v="820"/>
    <n v="333"/>
    <n v="12344"/>
    <n v="11496"/>
    <n v="241"/>
    <s v="#EVRevolution"/>
    <s v="no data"/>
    <s v="no data"/>
    <x v="4"/>
    <n v="0.21840570317563188"/>
  </r>
  <r>
    <s v="P043"/>
    <s v="Instagram"/>
    <d v="2024-12-14T00:00:00"/>
    <s v="Carousel"/>
    <s v="Check out our latest carousel on instagram!"/>
    <n v="2174"/>
    <n v="658"/>
    <n v="15"/>
    <n v="13044"/>
    <n v="12206"/>
    <n v="137"/>
    <s v="#TeslaCoInnovation"/>
    <s v="no data"/>
    <s v="no data"/>
    <x v="2"/>
    <n v="0.21826126954921804"/>
  </r>
  <r>
    <s v="P044"/>
    <s v="Twitter"/>
    <d v="2025-03-02T00:00:00"/>
    <s v="Image"/>
    <s v="Check out our latest image on twitter!"/>
    <n v="2358"/>
    <n v="784"/>
    <n v="344"/>
    <n v="35370"/>
    <n v="34475"/>
    <n v="216"/>
    <s v="#TeslaCoInnovation"/>
    <s v="no data"/>
    <s v="no data"/>
    <x v="4"/>
    <n v="9.8558100084817649E-2"/>
  </r>
  <r>
    <s v="P045"/>
    <s v="Facebook"/>
    <d v="2024-11-01T00:00:00"/>
    <s v="Video"/>
    <s v="Check out our latest video on facebook!"/>
    <n v="3371"/>
    <n v="106"/>
    <n v="327"/>
    <n v="50565"/>
    <n v="49816"/>
    <n v="176"/>
    <s v="#FutureOfDriving"/>
    <s v="no data"/>
    <s v="no data"/>
    <x v="0"/>
    <n v="7.5229902106199939E-2"/>
  </r>
  <r>
    <s v="P046"/>
    <s v="Twitter"/>
    <d v="2025-05-02T00:00:00"/>
    <s v="Video"/>
    <s v="Check out our latest video on twitter!"/>
    <n v="1108"/>
    <n v="177"/>
    <n v="212"/>
    <n v="8864"/>
    <n v="8710"/>
    <n v="97"/>
    <s v="#TeslaCoInnovation"/>
    <s v="no data"/>
    <s v="no data"/>
    <x v="3"/>
    <n v="0.16888537906137185"/>
  </r>
  <r>
    <s v="P047"/>
    <s v="Twitter"/>
    <d v="2025-02-24T00:00:00"/>
    <s v="Carousel"/>
    <s v="Check out our latest carousel on twitter!"/>
    <n v="2704"/>
    <n v="752"/>
    <n v="153"/>
    <n v="21632"/>
    <n v="20792"/>
    <n v="127"/>
    <s v="#FutureOfDriving"/>
    <s v="no data"/>
    <s v="no data"/>
    <x v="4"/>
    <n v="0.16683616863905326"/>
  </r>
  <r>
    <s v="P048"/>
    <s v="Twitter"/>
    <d v="2025-03-11T00:00:00"/>
    <s v="Story"/>
    <s v="Check out our latest story on twitter!"/>
    <n v="1950"/>
    <n v="295"/>
    <n v="478"/>
    <n v="37050"/>
    <n v="36272"/>
    <n v="119"/>
    <s v="#TeslaCoInnovation"/>
    <s v="no data"/>
    <s v="no data"/>
    <x v="4"/>
    <n v="7.349527665317139E-2"/>
  </r>
  <r>
    <s v="P049"/>
    <s v="Twitter"/>
    <d v="2024-06-10T00:00:00"/>
    <s v="Story"/>
    <s v="Check out our latest story on twitter!"/>
    <n v="2164"/>
    <n v="549"/>
    <n v="274"/>
    <n v="28132"/>
    <n v="27361"/>
    <n v="177"/>
    <s v="#TeslaCoInnovation"/>
    <s v="no data"/>
    <s v="no data"/>
    <x v="3"/>
    <n v="0.10617801791554102"/>
  </r>
  <r>
    <s v="P050"/>
    <s v="YouTube"/>
    <d v="2024-07-03T00:00:00"/>
    <s v="Story"/>
    <s v="Check out our latest story on youtube!"/>
    <n v="2754"/>
    <n v="130"/>
    <n v="90"/>
    <n v="22032"/>
    <n v="21288"/>
    <n v="112"/>
    <s v="#TeslaCoInnovation"/>
    <s v="no data"/>
    <s v="no data"/>
    <x v="2"/>
    <n v="0.13498547567175018"/>
  </r>
  <r>
    <s v="P051"/>
    <s v="Facebook"/>
    <d v="2024-06-13T00:00:00"/>
    <s v="Carousel"/>
    <s v="Check out our latest carousel on facebook!"/>
    <n v="2200"/>
    <n v="504"/>
    <n v="239"/>
    <n v="37400"/>
    <n v="36938"/>
    <n v="225"/>
    <s v="#FutureOfDriving"/>
    <s v="no data"/>
    <s v="no data"/>
    <x v="1"/>
    <n v="7.8689839572192513E-2"/>
  </r>
  <r>
    <s v="P052"/>
    <s v="Facebook"/>
    <d v="2025-01-03T00:00:00"/>
    <s v="Image"/>
    <s v="Check out our latest image on facebook!"/>
    <n v="947"/>
    <n v="338"/>
    <n v="350"/>
    <n v="10417"/>
    <n v="9730"/>
    <n v="34"/>
    <s v="#TeslaCoInnovation"/>
    <s v="no data"/>
    <s v="no data"/>
    <x v="3"/>
    <n v="0.1569549774407219"/>
  </r>
  <r>
    <s v="P053"/>
    <s v="YouTube"/>
    <d v="2025-02-24T00:00:00"/>
    <s v="Carousel"/>
    <s v="Check out our latest carousel on youtube!"/>
    <n v="804"/>
    <n v="639"/>
    <n v="43"/>
    <n v="4020"/>
    <n v="3144"/>
    <n v="11"/>
    <s v="#EVRevolution"/>
    <s v="#BetterWithTesla"/>
    <s v="no data"/>
    <x v="4"/>
    <n v="0.36965174129353234"/>
  </r>
  <r>
    <s v="P054"/>
    <s v="YouTube"/>
    <d v="2025-03-13T00:00:00"/>
    <s v="Carousel"/>
    <s v="Check out our latest carousel on youtube!"/>
    <n v="1686"/>
    <n v="904"/>
    <n v="472"/>
    <n v="18546"/>
    <n v="18171"/>
    <n v="52"/>
    <s v="#FutureOfDriving"/>
    <s v="no data"/>
    <s v="no data"/>
    <x v="1"/>
    <n v="0.16510298716704411"/>
  </r>
  <r>
    <s v="P055"/>
    <s v="Facebook"/>
    <d v="2024-06-17T00:00:00"/>
    <s v="Image"/>
    <s v="Check out our latest image on facebook!"/>
    <n v="1226"/>
    <n v="119"/>
    <n v="7"/>
    <n v="14712"/>
    <n v="14049"/>
    <n v="123"/>
    <s v="#EVRevolution"/>
    <s v="no data"/>
    <s v="no data"/>
    <x v="3"/>
    <n v="9.1897770527460579E-2"/>
  </r>
  <r>
    <s v="P056"/>
    <s v="Facebook"/>
    <d v="2024-12-18T00:00:00"/>
    <s v="Carousel"/>
    <s v="Check out our latest carousel on facebook!"/>
    <n v="2946"/>
    <n v="498"/>
    <n v="367"/>
    <n v="29460"/>
    <n v="28527"/>
    <n v="60"/>
    <s v="#FutureOfDriving"/>
    <s v="no data"/>
    <s v="no data"/>
    <x v="2"/>
    <n v="0.12936184657162253"/>
  </r>
  <r>
    <s v="P057"/>
    <s v="Twitter"/>
    <d v="2024-10-21T00:00:00"/>
    <s v="Video"/>
    <s v="Check out our latest video on twitter!"/>
    <n v="2825"/>
    <n v="535"/>
    <n v="295"/>
    <n v="45200"/>
    <n v="44739"/>
    <n v="169"/>
    <s v="#TeslaCoInnovation"/>
    <s v="no data"/>
    <s v="no data"/>
    <x v="0"/>
    <n v="8.0862831858407078E-2"/>
  </r>
  <r>
    <s v="P058"/>
    <s v="Instagram"/>
    <d v="2025-04-15T00:00:00"/>
    <s v="Reel"/>
    <s v="Check out our latest reel on instagram!"/>
    <n v="103"/>
    <n v="770"/>
    <n v="19"/>
    <n v="1030"/>
    <n v="410"/>
    <n v="262"/>
    <s v="#TeslaCoInnovation"/>
    <s v="no data"/>
    <s v="no data"/>
    <x v="3"/>
    <n v="0.86601941747572819"/>
  </r>
  <r>
    <s v="P059"/>
    <s v="Instagram"/>
    <d v="2024-06-22T00:00:00"/>
    <s v="Text"/>
    <s v="Check out our latest text on instagram!"/>
    <n v="2180"/>
    <n v="263"/>
    <n v="387"/>
    <n v="30520"/>
    <n v="30059"/>
    <n v="174"/>
    <s v="#EVRevolution"/>
    <s v="no data"/>
    <s v="no data"/>
    <x v="4"/>
    <n v="9.2726081258191345E-2"/>
  </r>
  <r>
    <s v="P060"/>
    <s v="Instagram"/>
    <d v="2025-01-28T00:00:00"/>
    <s v="Video"/>
    <s v="Check out our latest video on instagram!"/>
    <n v="904"/>
    <n v="973"/>
    <n v="63"/>
    <n v="11752"/>
    <n v="11580"/>
    <n v="84"/>
    <s v="#EVRevolution"/>
    <s v="#TeslaCoInnovation"/>
    <s v="#AnytimeIsTeslaTime"/>
    <x v="2"/>
    <n v="0.1650782845473111"/>
  </r>
  <r>
    <s v="P061"/>
    <s v="Twitter"/>
    <d v="2024-09-05T00:00:00"/>
    <s v="Video"/>
    <s v="Check out our latest video on twitter!"/>
    <n v="4886"/>
    <n v="983"/>
    <n v="409"/>
    <n v="43974"/>
    <n v="43239"/>
    <n v="65"/>
    <s v="#TeslaCoInnovation"/>
    <s v="no data"/>
    <s v="no data"/>
    <x v="0"/>
    <n v="0.14276618001546368"/>
  </r>
  <r>
    <s v="P062"/>
    <s v="Twitter"/>
    <d v="2024-11-22T00:00:00"/>
    <s v="Carousel"/>
    <s v="Check out our latest carousel on twitter!"/>
    <n v="53"/>
    <n v="81"/>
    <n v="379"/>
    <n v="954"/>
    <n v="7"/>
    <n v="148"/>
    <s v="#TeslaCoInnovation"/>
    <s v="no data"/>
    <s v="no data"/>
    <x v="2"/>
    <n v="0.53773584905660377"/>
  </r>
  <r>
    <s v="P063"/>
    <s v="Twitter"/>
    <d v="2024-07-31T00:00:00"/>
    <s v="Carousel"/>
    <s v="Check out our latest carousel on twitter!"/>
    <n v="4507"/>
    <n v="217"/>
    <n v="13"/>
    <n v="90140"/>
    <n v="89591"/>
    <n v="125"/>
    <s v="#FutureOfDriving"/>
    <s v="no data"/>
    <s v="no data"/>
    <x v="2"/>
    <n v="5.2551586421122697E-2"/>
  </r>
  <r>
    <s v="P064"/>
    <s v="Facebook"/>
    <d v="2024-08-17T00:00:00"/>
    <s v="Image"/>
    <s v="Check out our latest image on facebook!"/>
    <n v="2878"/>
    <n v="248"/>
    <n v="416"/>
    <n v="43170"/>
    <n v="42667"/>
    <n v="75"/>
    <s v="#FutureOfDriving"/>
    <s v="no data"/>
    <s v="no data"/>
    <x v="2"/>
    <n v="8.2047718322909427E-2"/>
  </r>
  <r>
    <s v="P065"/>
    <s v="Instagram"/>
    <d v="2025-03-28T00:00:00"/>
    <s v="Story"/>
    <s v="Check out our latest story on instagram!"/>
    <n v="1881"/>
    <n v="501"/>
    <n v="99"/>
    <n v="20691"/>
    <n v="19987"/>
    <n v="289"/>
    <s v="#EVRevolution"/>
    <s v="no data"/>
    <s v="no data"/>
    <x v="4"/>
    <n v="0.11990720603160794"/>
  </r>
  <r>
    <s v="P066"/>
    <s v="Twitter"/>
    <d v="2024-07-26T00:00:00"/>
    <s v="Carousel"/>
    <s v="Check out our latest carousel on twitter!"/>
    <n v="432"/>
    <n v="171"/>
    <n v="280"/>
    <n v="3024"/>
    <n v="2285"/>
    <n v="184"/>
    <s v="#EVRevolution"/>
    <s v="no data"/>
    <s v="no data"/>
    <x v="0"/>
    <n v="0.29199735449735448"/>
  </r>
  <r>
    <s v="P067"/>
    <s v="Facebook"/>
    <d v="2025-03-29T00:00:00"/>
    <s v="Carousel"/>
    <s v="Check out our latest carousel on facebook!"/>
    <n v="4712"/>
    <n v="568"/>
    <n v="127"/>
    <n v="84816"/>
    <n v="84691"/>
    <n v="100"/>
    <s v="#EVRevolution"/>
    <s v="no data"/>
    <s v="no data"/>
    <x v="2"/>
    <n v="6.3749764195434822E-2"/>
  </r>
  <r>
    <s v="P068"/>
    <s v="Instagram"/>
    <d v="2024-12-08T00:00:00"/>
    <s v="Story"/>
    <s v="Check out our latest story on instagram!"/>
    <n v="2610"/>
    <n v="126"/>
    <n v="288"/>
    <n v="15660"/>
    <n v="15145"/>
    <n v="73"/>
    <s v="#EVRevolution"/>
    <s v="no data"/>
    <s v="no data"/>
    <x v="4"/>
    <n v="0.19310344827586207"/>
  </r>
  <r>
    <s v="P069"/>
    <s v="Twitter"/>
    <d v="2025-03-08T00:00:00"/>
    <s v="Text"/>
    <s v="Check out our latest text on twitter!"/>
    <n v="1292"/>
    <n v="626"/>
    <n v="496"/>
    <n v="25840"/>
    <n v="24916"/>
    <n v="149"/>
    <s v="#FutureOfDriving"/>
    <s v="no data"/>
    <s v="no data"/>
    <x v="2"/>
    <n v="9.3421052631578946E-2"/>
  </r>
  <r>
    <s v="P070"/>
    <s v="Facebook"/>
    <d v="2025-04-02T00:00:00"/>
    <s v="Video"/>
    <s v="Check out our latest video on facebook!"/>
    <n v="199"/>
    <n v="772"/>
    <n v="400"/>
    <n v="3582"/>
    <n v="2988"/>
    <n v="43"/>
    <s v="#TeslaCoInnovation"/>
    <s v="no data"/>
    <s v="no data"/>
    <x v="4"/>
    <n v="0.38274706867671693"/>
  </r>
  <r>
    <s v="P071"/>
    <s v="YouTube"/>
    <d v="2024-09-02T00:00:00"/>
    <s v="Carousel"/>
    <s v="Check out our latest carousel on youtube!"/>
    <n v="2551"/>
    <n v="915"/>
    <n v="205"/>
    <n v="30612"/>
    <n v="30360"/>
    <n v="227"/>
    <s v="#TeslaCoInnovation"/>
    <s v="no data"/>
    <s v="no data"/>
    <x v="1"/>
    <n v="0.1199202926956749"/>
  </r>
  <r>
    <s v="P072"/>
    <s v="YouTube"/>
    <d v="2025-03-03T00:00:00"/>
    <s v="Reel"/>
    <s v="Check out our latest reel on youtube!"/>
    <n v="296"/>
    <n v="60"/>
    <n v="141"/>
    <n v="5624"/>
    <n v="5239"/>
    <n v="88"/>
    <s v="#EVRevolution"/>
    <s v="no data"/>
    <s v="no data"/>
    <x v="1"/>
    <n v="8.837126600284495E-2"/>
  </r>
  <r>
    <s v="P073"/>
    <s v="Facebook"/>
    <d v="2024-10-18T00:00:00"/>
    <s v="Story"/>
    <s v="Check out our latest story on facebook!"/>
    <n v="4126"/>
    <n v="426"/>
    <n v="486"/>
    <n v="78394"/>
    <n v="77798"/>
    <n v="88"/>
    <s v="#FutureOfDriving"/>
    <s v="no data"/>
    <s v="no data"/>
    <x v="3"/>
    <n v="6.4265122330790625E-2"/>
  </r>
  <r>
    <s v="P074"/>
    <s v="YouTube"/>
    <d v="2024-10-28T00:00:00"/>
    <s v="Reel"/>
    <s v="Check out our latest reel on youtube!"/>
    <n v="1855"/>
    <n v="200"/>
    <n v="174"/>
    <n v="16695"/>
    <n v="16330"/>
    <n v="123"/>
    <s v="#TeslaCoInnovation"/>
    <s v="no data"/>
    <s v="no data"/>
    <x v="2"/>
    <n v="0.13351302785265048"/>
  </r>
  <r>
    <s v="P075"/>
    <s v="Instagram"/>
    <d v="2024-08-01T00:00:00"/>
    <s v="Reel"/>
    <s v="Check out our latest reel on instagram!"/>
    <n v="1674"/>
    <n v="929"/>
    <n v="37"/>
    <n v="21762"/>
    <n v="20998"/>
    <n v="255"/>
    <s v="#TeslaCoInnovation"/>
    <s v="no data"/>
    <s v="no data"/>
    <x v="3"/>
    <n v="0.12131237937689551"/>
  </r>
  <r>
    <s v="P076"/>
    <s v="Twitter"/>
    <d v="2024-11-07T00:00:00"/>
    <s v="Story"/>
    <s v="Check out our latest story on twitter!"/>
    <n v="1121"/>
    <n v="135"/>
    <n v="18"/>
    <n v="15694"/>
    <n v="14957"/>
    <n v="99"/>
    <s v="#TeslaCoInnovation"/>
    <s v="no data"/>
    <s v="no data"/>
    <x v="3"/>
    <n v="8.1177520071364848E-2"/>
  </r>
  <r>
    <s v="P077"/>
    <s v="Facebook"/>
    <d v="2025-03-04T00:00:00"/>
    <s v="Story"/>
    <s v="Check out our latest story on facebook!"/>
    <n v="1249"/>
    <n v="116"/>
    <n v="420"/>
    <n v="8743"/>
    <n v="8538"/>
    <n v="63"/>
    <s v="#TeslaCoInnovation"/>
    <s v="no data"/>
    <s v="no data"/>
    <x v="4"/>
    <n v="0.20416333066453163"/>
  </r>
  <r>
    <s v="P078"/>
    <s v="Twitter"/>
    <d v="2024-06-17T00:00:00"/>
    <s v="Image"/>
    <s v="Check out our latest image on twitter!"/>
    <n v="954"/>
    <n v="324"/>
    <n v="288"/>
    <n v="19080"/>
    <n v="18859"/>
    <n v="21"/>
    <s v="#FutureOfDriving"/>
    <s v="no data"/>
    <s v="no data"/>
    <x v="3"/>
    <n v="8.2075471698113203E-2"/>
  </r>
  <r>
    <s v="P079"/>
    <s v="Instagram"/>
    <d v="2024-10-09T00:00:00"/>
    <s v="Carousel"/>
    <s v="Check out our latest carousel on instagram!"/>
    <n v="3068"/>
    <n v="137"/>
    <n v="329"/>
    <n v="39884"/>
    <n v="39404"/>
    <n v="266"/>
    <s v="#EVRevolution"/>
    <s v="no data"/>
    <s v="no data"/>
    <x v="1"/>
    <n v="8.860696018453515E-2"/>
  </r>
  <r>
    <s v="P080"/>
    <s v="Instagram"/>
    <d v="2024-06-13T00:00:00"/>
    <s v="Story"/>
    <s v="Check out our latest story on instagram!"/>
    <n v="2103"/>
    <n v="892"/>
    <n v="103"/>
    <n v="39957"/>
    <n v="39466"/>
    <n v="28"/>
    <s v="#FutureOfDriving"/>
    <s v="no data"/>
    <s v="no data"/>
    <x v="4"/>
    <n v="7.7533348349475686E-2"/>
  </r>
  <r>
    <s v="P081"/>
    <s v="Instagram"/>
    <d v="2024-10-19T00:00:00"/>
    <s v="Story"/>
    <s v="Check out our latest story on instagram!"/>
    <n v="1816"/>
    <n v="29"/>
    <n v="41"/>
    <n v="19976"/>
    <n v="19262"/>
    <n v="283"/>
    <s v="#TeslaCoInnovation"/>
    <s v="no data"/>
    <s v="no data"/>
    <x v="2"/>
    <n v="9.4413295955146179E-2"/>
  </r>
  <r>
    <s v="P082"/>
    <s v="Instagram"/>
    <d v="2024-07-24T00:00:00"/>
    <s v="Image"/>
    <s v="Check out our latest image on instagram!"/>
    <n v="725"/>
    <n v="88"/>
    <n v="428"/>
    <n v="14500"/>
    <n v="13637"/>
    <n v="200"/>
    <s v="#FutureOfDriving"/>
    <s v="#TeslaCoInnovation"/>
    <s v="#AnytimeIsTeslaTime"/>
    <x v="2"/>
    <n v="8.558620689655172E-2"/>
  </r>
  <r>
    <s v="P083"/>
    <s v="YouTube"/>
    <d v="2024-10-15T00:00:00"/>
    <s v="Video"/>
    <s v="Check out our latest video on youtube!"/>
    <n v="1094"/>
    <n v="472"/>
    <n v="21"/>
    <n v="9846"/>
    <n v="9609"/>
    <n v="112"/>
    <s v="#EVRevolution"/>
    <s v="no data"/>
    <s v="no data"/>
    <x v="4"/>
    <n v="0.16118220597196831"/>
  </r>
  <r>
    <s v="P084"/>
    <s v="Facebook"/>
    <d v="2024-12-09T00:00:00"/>
    <s v="Image"/>
    <s v="Check out our latest image on facebook!"/>
    <n v="1841"/>
    <n v="851"/>
    <n v="342"/>
    <n v="34979"/>
    <n v="34154"/>
    <n v="255"/>
    <s v="#FutureOfDriving"/>
    <s v="no data"/>
    <s v="no data"/>
    <x v="3"/>
    <n v="8.6737756939878216E-2"/>
  </r>
  <r>
    <s v="P085"/>
    <s v="Instagram"/>
    <d v="2025-04-19T00:00:00"/>
    <s v="Image"/>
    <s v="Check out our latest image on instagram!"/>
    <n v="4177"/>
    <n v="569"/>
    <n v="55"/>
    <n v="25062"/>
    <n v="24847"/>
    <n v="230"/>
    <s v="#FutureOfDriving"/>
    <s v="no data"/>
    <s v="no data"/>
    <x v="0"/>
    <n v="0.19156491900087783"/>
  </r>
  <r>
    <s v="P086"/>
    <s v="YouTube"/>
    <d v="2025-01-27T00:00:00"/>
    <s v="Text"/>
    <s v="Check out our latest text on youtube!"/>
    <n v="3428"/>
    <n v="305"/>
    <n v="85"/>
    <n v="58276"/>
    <n v="58052"/>
    <n v="242"/>
    <s v="#EVRevolution"/>
    <s v="#BetterWithTesla"/>
    <s v="no data"/>
    <x v="3"/>
    <n v="6.5515821264328367E-2"/>
  </r>
  <r>
    <s v="P087"/>
    <s v="Twitter"/>
    <d v="2024-06-06T00:00:00"/>
    <s v="Video"/>
    <s v="Check out our latest video on twitter!"/>
    <n v="1436"/>
    <n v="765"/>
    <n v="496"/>
    <n v="12924"/>
    <n v="12701"/>
    <n v="197"/>
    <s v="#FutureOfDriving"/>
    <s v="no data"/>
    <s v="no data"/>
    <x v="2"/>
    <n v="0.20868152274837512"/>
  </r>
  <r>
    <s v="P088"/>
    <s v="Facebook"/>
    <d v="2024-07-07T00:00:00"/>
    <s v="Story"/>
    <s v="Check out our latest story on facebook!"/>
    <n v="302"/>
    <n v="47"/>
    <n v="430"/>
    <n v="5738"/>
    <n v="4890"/>
    <n v="25"/>
    <s v="#TeslaCoInnovation"/>
    <s v="no data"/>
    <s v="no data"/>
    <x v="3"/>
    <n v="0.13576158940397351"/>
  </r>
  <r>
    <s v="P089"/>
    <s v="Twitter"/>
    <d v="2025-01-10T00:00:00"/>
    <s v="Image"/>
    <s v="Check out our latest image on twitter!"/>
    <n v="2214"/>
    <n v="249"/>
    <n v="152"/>
    <n v="15498"/>
    <n v="14800"/>
    <n v="180"/>
    <s v="#EVRevolution"/>
    <s v="no data"/>
    <s v="no data"/>
    <x v="4"/>
    <n v="0.16873144921925409"/>
  </r>
  <r>
    <s v="P090"/>
    <s v="Instagram"/>
    <d v="2024-06-03T00:00:00"/>
    <s v="Image"/>
    <s v="Check out our latest image on instagram!"/>
    <n v="3861"/>
    <n v="960"/>
    <n v="101"/>
    <n v="69498"/>
    <n v="68817"/>
    <n v="297"/>
    <s v="#TeslaCoInnovation"/>
    <s v="no data"/>
    <s v="no data"/>
    <x v="3"/>
    <n v="7.0822181933293038E-2"/>
  </r>
  <r>
    <s v="P091"/>
    <s v="Facebook"/>
    <d v="2025-03-24T00:00:00"/>
    <s v="Image"/>
    <s v="Check out our latest image on facebook!"/>
    <n v="1263"/>
    <n v="397"/>
    <n v="357"/>
    <n v="25260"/>
    <n v="24615"/>
    <n v="137"/>
    <s v="#EVRevolution"/>
    <s v="no data"/>
    <s v="no data"/>
    <x v="3"/>
    <n v="7.984956452889945E-2"/>
  </r>
  <r>
    <s v="P092"/>
    <s v="Twitter"/>
    <d v="2024-10-21T00:00:00"/>
    <s v="Story"/>
    <s v="Check out our latest story on twitter!"/>
    <n v="3801"/>
    <n v="967"/>
    <n v="401"/>
    <n v="38010"/>
    <n v="37625"/>
    <n v="236"/>
    <s v="#FutureOfDriving"/>
    <s v="no data"/>
    <s v="no data"/>
    <x v="2"/>
    <n v="0.13599052880820836"/>
  </r>
  <r>
    <s v="P093"/>
    <s v="Instagram"/>
    <d v="2024-12-11T00:00:00"/>
    <s v="Video"/>
    <s v="Check out our latest video on instagram!"/>
    <n v="1431"/>
    <n v="951"/>
    <n v="26"/>
    <n v="8586"/>
    <n v="8396"/>
    <n v="150"/>
    <s v="#EVRevolution"/>
    <s v="no data"/>
    <s v="no data"/>
    <x v="2"/>
    <n v="0.28045655718611695"/>
  </r>
  <r>
    <s v="P094"/>
    <s v="Instagram"/>
    <d v="2024-11-07T00:00:00"/>
    <s v="Image"/>
    <s v="Check out our latest image on instagram!"/>
    <n v="2647"/>
    <n v="304"/>
    <n v="170"/>
    <n v="18529"/>
    <n v="17841"/>
    <n v="46"/>
    <s v="#FutureOfDriving"/>
    <s v="no data"/>
    <s v="no data"/>
    <x v="2"/>
    <n v="0.16843866371633656"/>
  </r>
  <r>
    <s v="P095"/>
    <s v="Instagram"/>
    <d v="2024-11-08T00:00:00"/>
    <s v="Text"/>
    <s v="Check out our latest text on instagram!"/>
    <n v="3182"/>
    <n v="559"/>
    <n v="160"/>
    <n v="57276"/>
    <n v="56890"/>
    <n v="163"/>
    <s v="#FutureOfDriving"/>
    <s v="no data"/>
    <s v="no data"/>
    <x v="3"/>
    <n v="6.8108806480899509E-2"/>
  </r>
  <r>
    <s v="P096"/>
    <s v="Twitter"/>
    <d v="2024-09-10T00:00:00"/>
    <s v="Image"/>
    <s v="Check out our latest image on twitter!"/>
    <n v="1238"/>
    <n v="366"/>
    <n v="444"/>
    <n v="19808"/>
    <n v="19334"/>
    <n v="123"/>
    <s v="#FutureOfDriving"/>
    <s v="no data"/>
    <s v="no data"/>
    <x v="4"/>
    <n v="0.10339256865912763"/>
  </r>
  <r>
    <s v="P097"/>
    <s v="Instagram"/>
    <d v="2024-08-13T00:00:00"/>
    <s v="Image"/>
    <s v="Check out our latest image on instagram!"/>
    <n v="4739"/>
    <n v="527"/>
    <n v="135"/>
    <n v="61607"/>
    <n v="61333"/>
    <n v="36"/>
    <s v="#TeslaCoInnovation"/>
    <s v="#AnytimeIsTeslaTime"/>
    <s v="no data"/>
    <x v="1"/>
    <n v="8.7668609086629767E-2"/>
  </r>
  <r>
    <s v="P098"/>
    <s v="Twitter"/>
    <d v="2024-06-10T00:00:00"/>
    <s v="Story"/>
    <s v="Check out our latest story on twitter!"/>
    <n v="1575"/>
    <n v="771"/>
    <n v="486"/>
    <n v="25200"/>
    <n v="24826"/>
    <n v="17"/>
    <s v="#FutureOfDriving"/>
    <s v="no data"/>
    <s v="no data"/>
    <x v="3"/>
    <n v="0.11238095238095239"/>
  </r>
  <r>
    <s v="P099"/>
    <s v="YouTube"/>
    <d v="2024-07-02T00:00:00"/>
    <s v="Carousel"/>
    <s v="Check out our latest carousel on youtube!"/>
    <n v="4171"/>
    <n v="548"/>
    <n v="86"/>
    <n v="66736"/>
    <n v="66634"/>
    <n v="173"/>
    <s v="#FutureOfDriving"/>
    <s v="no data"/>
    <s v="no data"/>
    <x v="2"/>
    <n v="7.2000119875329657E-2"/>
  </r>
  <r>
    <s v="P100"/>
    <s v="YouTube"/>
    <d v="2025-02-10T00:00:00"/>
    <s v="Video"/>
    <s v="Check out our latest video on youtube!"/>
    <n v="1766"/>
    <n v="92"/>
    <n v="424"/>
    <n v="24724"/>
    <n v="24333"/>
    <n v="52"/>
    <s v="#EVRevolution"/>
    <s v="no data"/>
    <s v="no data"/>
    <x v="4"/>
    <n v="9.2298980747451867E-2"/>
  </r>
  <r>
    <s v="P101"/>
    <s v="YouTube"/>
    <d v="2024-10-18T00:00:00"/>
    <s v="Video"/>
    <s v="Check out our latest video on youtube!"/>
    <n v="4450"/>
    <n v="983"/>
    <n v="143"/>
    <n v="75650"/>
    <n v="75008"/>
    <n v="12"/>
    <s v="#FutureOfDriving"/>
    <s v="no data"/>
    <s v="no data"/>
    <x v="2"/>
    <n v="7.3707865168539333E-2"/>
  </r>
  <r>
    <s v="P102"/>
    <s v="Twitter"/>
    <d v="2024-09-18T00:00:00"/>
    <s v="Reel"/>
    <s v="Check out our latest reel on twitter!"/>
    <n v="1000"/>
    <n v="978"/>
    <n v="162"/>
    <n v="6000"/>
    <n v="5221"/>
    <n v="223"/>
    <s v="#EVRevolution"/>
    <s v="no data"/>
    <s v="no data"/>
    <x v="1"/>
    <n v="0.35666666666666669"/>
  </r>
  <r>
    <s v="P103"/>
    <s v="Facebook"/>
    <d v="2024-06-11T00:00:00"/>
    <s v="Image"/>
    <s v="Check out our latest image on facebook!"/>
    <n v="3689"/>
    <n v="48"/>
    <n v="306"/>
    <n v="40579"/>
    <n v="39588"/>
    <n v="212"/>
    <s v="#EVRevolution"/>
    <s v="no data"/>
    <s v="no data"/>
    <x v="1"/>
    <n v="9.9632815002833983E-2"/>
  </r>
  <r>
    <s v="P104"/>
    <s v="YouTube"/>
    <d v="2025-03-23T00:00:00"/>
    <s v="Story"/>
    <s v="Check out our latest story on youtube!"/>
    <n v="3655"/>
    <n v="568"/>
    <n v="286"/>
    <n v="32895"/>
    <n v="32015"/>
    <n v="199"/>
    <s v="#TeslaCoInnovation"/>
    <s v="no data"/>
    <s v="no data"/>
    <x v="2"/>
    <n v="0.13707250341997265"/>
  </r>
  <r>
    <s v="P105"/>
    <s v="Instagram"/>
    <d v="2024-06-14T00:00:00"/>
    <s v="Carousel"/>
    <s v="Check out our latest carousel on instagram!"/>
    <n v="498"/>
    <n v="38"/>
    <n v="42"/>
    <n v="4482"/>
    <n v="3647"/>
    <n v="32"/>
    <s v="#FutureOfDriving"/>
    <s v="no data"/>
    <s v="no data"/>
    <x v="0"/>
    <n v="0.12896028558679162"/>
  </r>
  <r>
    <s v="P106"/>
    <s v="Instagram"/>
    <d v="2025-02-04T00:00:00"/>
    <s v="Image"/>
    <s v="Check out our latest image on instagram!"/>
    <n v="4619"/>
    <n v="821"/>
    <n v="499"/>
    <n v="69285"/>
    <n v="69141"/>
    <n v="298"/>
    <s v="#TeslaCoInnovation"/>
    <s v="no data"/>
    <s v="no data"/>
    <x v="3"/>
    <n v="8.5718409468138843E-2"/>
  </r>
  <r>
    <s v="P107"/>
    <s v="YouTube"/>
    <d v="2024-06-21T00:00:00"/>
    <s v="Image"/>
    <s v="Check out our latest image on youtube!"/>
    <n v="4832"/>
    <n v="893"/>
    <n v="10"/>
    <n v="91808"/>
    <n v="91296"/>
    <n v="182"/>
    <s v="#TeslaCoInnovation"/>
    <s v="no data"/>
    <s v="no data"/>
    <x v="4"/>
    <n v="6.2467323109097243E-2"/>
  </r>
  <r>
    <s v="P108"/>
    <s v="Twitter"/>
    <d v="2025-03-25T00:00:00"/>
    <s v="Video"/>
    <s v="Check out our latest video on twitter!"/>
    <n v="4050"/>
    <n v="871"/>
    <n v="347"/>
    <n v="52650"/>
    <n v="51755"/>
    <n v="209"/>
    <s v="#TeslaCoInnovation"/>
    <s v="no data"/>
    <s v="no data"/>
    <x v="1"/>
    <n v="0.10005698005698006"/>
  </r>
  <r>
    <s v="P109"/>
    <s v="Twitter"/>
    <d v="2024-08-08T00:00:00"/>
    <s v="Story"/>
    <s v="Check out our latest story on twitter!"/>
    <n v="3649"/>
    <n v="215"/>
    <n v="413"/>
    <n v="25543"/>
    <n v="24963"/>
    <n v="167"/>
    <s v="#FutureOfDriving"/>
    <s v="no data"/>
    <s v="no data"/>
    <x v="2"/>
    <n v="0.16744313510550835"/>
  </r>
  <r>
    <s v="P110"/>
    <s v="Instagram"/>
    <d v="2024-07-29T00:00:00"/>
    <s v="Reel"/>
    <s v="Check out our latest reel on instagram!"/>
    <n v="3523"/>
    <n v="753"/>
    <n v="482"/>
    <n v="38753"/>
    <n v="38579"/>
    <n v="270"/>
    <s v="#EVRevolution"/>
    <s v="no data"/>
    <s v="no data"/>
    <x v="1"/>
    <n v="0.12277759141227776"/>
  </r>
  <r>
    <s v="P111"/>
    <s v="YouTube"/>
    <d v="2024-11-23T00:00:00"/>
    <s v="Image"/>
    <s v="Check out our latest image on youtube!"/>
    <n v="2719"/>
    <n v="17"/>
    <n v="285"/>
    <n v="40785"/>
    <n v="40281"/>
    <n v="40"/>
    <s v="#TeslaCoInnovation"/>
    <s v="no data"/>
    <s v="no data"/>
    <x v="1"/>
    <n v="7.4071349760941527E-2"/>
  </r>
  <r>
    <s v="P112"/>
    <s v="Twitter"/>
    <d v="2024-10-05T00:00:00"/>
    <s v="Story"/>
    <s v="Check out our latest story on twitter!"/>
    <n v="1957"/>
    <n v="877"/>
    <n v="238"/>
    <n v="17613"/>
    <n v="16865"/>
    <n v="297"/>
    <s v="#FutureOfDriving"/>
    <s v="no data"/>
    <s v="no data"/>
    <x v="2"/>
    <n v="0.17441662408448305"/>
  </r>
  <r>
    <s v="P113"/>
    <s v="Twitter"/>
    <d v="2024-10-02T00:00:00"/>
    <s v="Carousel"/>
    <s v="Check out our latest carousel on twitter!"/>
    <n v="4419"/>
    <n v="236"/>
    <n v="369"/>
    <n v="44190"/>
    <n v="43582"/>
    <n v="10"/>
    <s v="#EVRevolution"/>
    <s v="no data"/>
    <s v="no data"/>
    <x v="0"/>
    <n v="0.11369088028965829"/>
  </r>
  <r>
    <s v="P114"/>
    <s v="Twitter"/>
    <d v="2024-11-14T00:00:00"/>
    <s v="Story"/>
    <s v="Check out our latest story on twitter!"/>
    <n v="4000"/>
    <n v="689"/>
    <n v="488"/>
    <n v="40000"/>
    <n v="39569"/>
    <n v="44"/>
    <s v="#FutureOfDriving"/>
    <s v="no data"/>
    <s v="no data"/>
    <x v="0"/>
    <n v="0.12942500000000001"/>
  </r>
  <r>
    <s v="P115"/>
    <s v="Twitter"/>
    <d v="2025-05-11T00:00:00"/>
    <s v="Image"/>
    <s v="Check out our latest image on twitter!"/>
    <n v="2493"/>
    <n v="97"/>
    <n v="44"/>
    <n v="42381"/>
    <n v="41991"/>
    <n v="242"/>
    <s v="#TeslaCoInnovation"/>
    <s v="#AnytimeIsTeslaTime"/>
    <s v="no data"/>
    <x v="3"/>
    <n v="6.2150491965739366E-2"/>
  </r>
  <r>
    <s v="P116"/>
    <s v="YouTube"/>
    <d v="2025-03-18T00:00:00"/>
    <s v="Reel"/>
    <s v="Check out our latest reel on youtube!"/>
    <n v="3704"/>
    <n v="186"/>
    <n v="458"/>
    <n v="25928"/>
    <n v="25081"/>
    <n v="131"/>
    <s v="#TeslaCoInnovation"/>
    <s v="no data"/>
    <s v="no data"/>
    <x v="4"/>
    <n v="0.16769515581610614"/>
  </r>
  <r>
    <s v="P117"/>
    <s v="Twitter"/>
    <d v="2024-11-04T00:00:00"/>
    <s v="Image"/>
    <s v="Check out our latest image on twitter!"/>
    <n v="1606"/>
    <n v="451"/>
    <n v="405"/>
    <n v="20878"/>
    <n v="20190"/>
    <n v="219"/>
    <s v="#EVRevolution"/>
    <s v="no data"/>
    <s v="no data"/>
    <x v="3"/>
    <n v="0.11792317271769326"/>
  </r>
  <r>
    <s v="P118"/>
    <s v="Facebook"/>
    <d v="2024-11-04T00:00:00"/>
    <s v="Image"/>
    <s v="Check out our latest image on facebook!"/>
    <n v="4551"/>
    <n v="714"/>
    <n v="207"/>
    <n v="68265"/>
    <n v="67754"/>
    <n v="57"/>
    <s v="#FutureOfDriving"/>
    <s v="no data"/>
    <s v="no data"/>
    <x v="2"/>
    <n v="8.0158206987475278E-2"/>
  </r>
  <r>
    <s v="P119"/>
    <s v="Instagram"/>
    <d v="2025-02-07T00:00:00"/>
    <s v="Reel"/>
    <s v="Check out our latest reel on instagram!"/>
    <n v="1970"/>
    <n v="675"/>
    <n v="478"/>
    <n v="9850"/>
    <n v="8924"/>
    <n v="117"/>
    <s v="#FutureOfDriving"/>
    <s v="no data"/>
    <s v="no data"/>
    <x v="4"/>
    <n v="0.31705583756345179"/>
  </r>
  <r>
    <s v="P120"/>
    <s v="Facebook"/>
    <d v="2024-10-21T00:00:00"/>
    <s v="Story"/>
    <s v="Check out our latest story on facebook!"/>
    <n v="780"/>
    <n v="928"/>
    <n v="301"/>
    <n v="8580"/>
    <n v="8081"/>
    <n v="91"/>
    <s v="#EVRevolution"/>
    <s v="no data"/>
    <s v="no data"/>
    <x v="2"/>
    <n v="0.23414918414918415"/>
  </r>
  <r>
    <s v="P121"/>
    <s v="Instagram"/>
    <d v="2024-07-29T00:00:00"/>
    <s v="Story"/>
    <s v="Check out our latest story on instagram!"/>
    <n v="498"/>
    <n v="701"/>
    <n v="412"/>
    <n v="4980"/>
    <n v="4185"/>
    <n v="185"/>
    <s v="#FutureOfDriving"/>
    <s v="no data"/>
    <s v="no data"/>
    <x v="4"/>
    <n v="0.32349397590361445"/>
  </r>
  <r>
    <s v="P122"/>
    <s v="Instagram"/>
    <d v="2024-10-02T00:00:00"/>
    <s v="Text"/>
    <s v="Check out our latest text on instagram!"/>
    <n v="3432"/>
    <n v="869"/>
    <n v="123"/>
    <n v="54912"/>
    <n v="53916"/>
    <n v="264"/>
    <s v="#EVRevolution"/>
    <s v="no data"/>
    <s v="no data"/>
    <x v="1"/>
    <n v="8.0565268065268064E-2"/>
  </r>
  <r>
    <s v="P123"/>
    <s v="Instagram"/>
    <d v="2024-06-14T00:00:00"/>
    <s v="Story"/>
    <s v="Check out our latest story on instagram!"/>
    <n v="4363"/>
    <n v="649"/>
    <n v="140"/>
    <n v="21815"/>
    <n v="21481"/>
    <n v="157"/>
    <s v="#EVRevolution"/>
    <s v="no data"/>
    <s v="no data"/>
    <x v="0"/>
    <n v="0.23616777446710979"/>
  </r>
  <r>
    <s v="P124"/>
    <s v="YouTube"/>
    <d v="2025-04-06T00:00:00"/>
    <s v="Carousel"/>
    <s v="Check out our latest carousel on youtube!"/>
    <n v="736"/>
    <n v="771"/>
    <n v="225"/>
    <n v="5152"/>
    <n v="4706"/>
    <n v="19"/>
    <s v="#EVRevolution"/>
    <s v="no data"/>
    <s v="no data"/>
    <x v="0"/>
    <n v="0.33618012422360249"/>
  </r>
  <r>
    <s v="P125"/>
    <s v="Twitter"/>
    <d v="2024-09-08T00:00:00"/>
    <s v="Carousel"/>
    <s v="Check out our latest carousel on twitter!"/>
    <n v="3811"/>
    <n v="866"/>
    <n v="216"/>
    <n v="34299"/>
    <n v="34088"/>
    <n v="233"/>
    <s v="#TeslaCoInnovation"/>
    <s v="no data"/>
    <s v="no data"/>
    <x v="3"/>
    <n v="0.14265722032712325"/>
  </r>
  <r>
    <s v="P126"/>
    <s v="Instagram"/>
    <d v="2025-03-28T00:00:00"/>
    <s v="Carousel"/>
    <s v="Check out our latest carousel on instagram!"/>
    <n v="4158"/>
    <n v="167"/>
    <n v="241"/>
    <n v="45738"/>
    <n v="45183"/>
    <n v="142"/>
    <s v="#FutureOfDriving"/>
    <s v="no data"/>
    <s v="no data"/>
    <x v="4"/>
    <n v="9.9829463465827106E-2"/>
  </r>
  <r>
    <s v="P127"/>
    <s v="Facebook"/>
    <d v="2025-01-27T00:00:00"/>
    <s v="Reel"/>
    <s v="Check out our latest reel on facebook!"/>
    <n v="3452"/>
    <n v="652"/>
    <n v="442"/>
    <n v="65588"/>
    <n v="65049"/>
    <n v="158"/>
    <s v="#FutureOfDriving"/>
    <s v="no data"/>
    <s v="no data"/>
    <x v="2"/>
    <n v="6.9311459413307311E-2"/>
  </r>
  <r>
    <s v="P128"/>
    <s v="Twitter"/>
    <d v="2025-01-10T00:00:00"/>
    <s v="Image"/>
    <s v="Check out our latest image on twitter!"/>
    <n v="3092"/>
    <n v="106"/>
    <n v="291"/>
    <n v="27828"/>
    <n v="27217"/>
    <n v="102"/>
    <s v="#FutureOfDriving"/>
    <s v="no data"/>
    <s v="no data"/>
    <x v="4"/>
    <n v="0.12537731780940059"/>
  </r>
  <r>
    <s v="P129"/>
    <s v="Twitter"/>
    <d v="2024-07-21T00:00:00"/>
    <s v="Text"/>
    <s v="Check out our latest text on twitter!"/>
    <n v="2147"/>
    <n v="430"/>
    <n v="393"/>
    <n v="17176"/>
    <n v="16483"/>
    <n v="170"/>
    <s v="#TeslaCoInnovation"/>
    <s v="no data"/>
    <s v="no data"/>
    <x v="4"/>
    <n v="0.17291569632044715"/>
  </r>
  <r>
    <s v="P130"/>
    <s v="YouTube"/>
    <d v="2024-09-29T00:00:00"/>
    <s v="Reel"/>
    <s v="Check out our latest reel on youtube!"/>
    <n v="2936"/>
    <n v="439"/>
    <n v="44"/>
    <n v="38168"/>
    <n v="37571"/>
    <n v="22"/>
    <s v="#EVRevolution"/>
    <s v="no data"/>
    <s v="no data"/>
    <x v="3"/>
    <n v="8.9577656675749323E-2"/>
  </r>
  <r>
    <s v="P131"/>
    <s v="Instagram"/>
    <d v="2024-10-21T00:00:00"/>
    <s v="Reel"/>
    <s v="Check out our latest reel on instagram!"/>
    <n v="4840"/>
    <n v="658"/>
    <n v="211"/>
    <n v="43560"/>
    <n v="43225"/>
    <n v="57"/>
    <s v="#FutureOfDriving"/>
    <s v="no data"/>
    <s v="no data"/>
    <x v="2"/>
    <n v="0.13106060606060607"/>
  </r>
  <r>
    <s v="P132"/>
    <s v="Instagram"/>
    <d v="2025-03-04T00:00:00"/>
    <s v="Story"/>
    <s v="Check out our latest story on instagram!"/>
    <n v="1947"/>
    <n v="842"/>
    <n v="101"/>
    <n v="21417"/>
    <n v="20967"/>
    <n v="186"/>
    <s v="#FutureOfDriving"/>
    <s v="no data"/>
    <s v="no data"/>
    <x v="1"/>
    <n v="0.13493953401503478"/>
  </r>
  <r>
    <s v="P133"/>
    <s v="Facebook"/>
    <d v="2025-02-06T00:00:00"/>
    <s v="Image"/>
    <s v="Check out our latest image on facebook!"/>
    <n v="2072"/>
    <n v="532"/>
    <n v="71"/>
    <n v="37296"/>
    <n v="36467"/>
    <n v="25"/>
    <s v="#TeslaCoInnovation"/>
    <s v="no data"/>
    <s v="no data"/>
    <x v="3"/>
    <n v="7.172350922350923E-2"/>
  </r>
  <r>
    <s v="P134"/>
    <s v="Twitter"/>
    <d v="2025-04-24T00:00:00"/>
    <s v="Reel"/>
    <s v="Check out our latest reel on twitter!"/>
    <n v="3731"/>
    <n v="115"/>
    <n v="135"/>
    <n v="55965"/>
    <n v="55436"/>
    <n v="103"/>
    <s v="#TeslaCoInnovation"/>
    <s v="no data"/>
    <s v="no data"/>
    <x v="0"/>
    <n v="7.1133744304476013E-2"/>
  </r>
  <r>
    <s v="P135"/>
    <s v="Facebook"/>
    <d v="2024-11-28T00:00:00"/>
    <s v="Text"/>
    <s v="Check out our latest text on facebook!"/>
    <n v="4213"/>
    <n v="253"/>
    <n v="434"/>
    <n v="75834"/>
    <n v="75437"/>
    <n v="272"/>
    <s v="#FutureOfDriving"/>
    <s v="no data"/>
    <s v="no data"/>
    <x v="3"/>
    <n v="6.461481657304112E-2"/>
  </r>
  <r>
    <s v="P136"/>
    <s v="Instagram"/>
    <d v="2024-07-11T00:00:00"/>
    <s v="Text"/>
    <s v="Check out our latest text on instagram!"/>
    <n v="3134"/>
    <n v="888"/>
    <n v="444"/>
    <n v="21938"/>
    <n v="21337"/>
    <n v="130"/>
    <s v="#EVRevolution"/>
    <s v="no data"/>
    <s v="no data"/>
    <x v="3"/>
    <n v="0.20357370772176134"/>
  </r>
  <r>
    <s v="P137"/>
    <s v="Facebook"/>
    <d v="2024-07-31T00:00:00"/>
    <s v="Video"/>
    <s v="Check out our latest video on facebook!"/>
    <n v="3008"/>
    <n v="94"/>
    <n v="37"/>
    <n v="15040"/>
    <n v="14639"/>
    <n v="277"/>
    <s v="#FutureOfDriving"/>
    <s v="no data"/>
    <s v="no data"/>
    <x v="4"/>
    <n v="0.20871010638297871"/>
  </r>
  <r>
    <s v="P138"/>
    <s v="Twitter"/>
    <d v="2025-03-29T00:00:00"/>
    <s v="Image"/>
    <s v="Check out our latest image on twitter!"/>
    <n v="305"/>
    <n v="187"/>
    <n v="243"/>
    <n v="4575"/>
    <n v="3704"/>
    <n v="234"/>
    <s v="#FutureOfDriving"/>
    <s v="no data"/>
    <s v="no data"/>
    <x v="2"/>
    <n v="0.16065573770491803"/>
  </r>
  <r>
    <s v="P139"/>
    <s v="YouTube"/>
    <d v="2024-10-29T00:00:00"/>
    <s v="Text"/>
    <s v="Check out our latest text on youtube!"/>
    <n v="2746"/>
    <n v="156"/>
    <n v="203"/>
    <n v="32952"/>
    <n v="32147"/>
    <n v="147"/>
    <s v="#EVRevolution"/>
    <s v="no data"/>
    <s v="no data"/>
    <x v="0"/>
    <n v="9.422796795338674E-2"/>
  </r>
  <r>
    <s v="P140"/>
    <s v="Facebook"/>
    <d v="2024-07-15T00:00:00"/>
    <s v="Image"/>
    <s v="Check out our latest image on facebook!"/>
    <n v="2291"/>
    <n v="78"/>
    <n v="485"/>
    <n v="18328"/>
    <n v="18101"/>
    <n v="10"/>
    <s v="#EVRevolution"/>
    <s v="#SmoothLikeNitroTesla"/>
    <s v="no data"/>
    <x v="1"/>
    <n v="0.15571802706241816"/>
  </r>
  <r>
    <s v="P141"/>
    <s v="Twitter"/>
    <d v="2024-08-31T00:00:00"/>
    <s v="Image"/>
    <s v="Check out our latest image on twitter!"/>
    <n v="3170"/>
    <n v="857"/>
    <n v="379"/>
    <n v="19020"/>
    <n v="18559"/>
    <n v="240"/>
    <s v="#FutureOfDriving"/>
    <s v="no data"/>
    <s v="no data"/>
    <x v="4"/>
    <n v="0.2316508937960042"/>
  </r>
  <r>
    <s v="P142"/>
    <s v="YouTube"/>
    <d v="2025-03-25T00:00:00"/>
    <s v="Story"/>
    <s v="Check out our latest story on youtube!"/>
    <n v="2070"/>
    <n v="275"/>
    <n v="386"/>
    <n v="39330"/>
    <n v="38627"/>
    <n v="114"/>
    <s v="#FutureOfDriving"/>
    <s v="no data"/>
    <s v="no data"/>
    <x v="3"/>
    <n v="6.9438087973557078E-2"/>
  </r>
  <r>
    <s v="P143"/>
    <s v="YouTube"/>
    <d v="2024-10-02T00:00:00"/>
    <s v="Carousel"/>
    <s v="Check out our latest carousel on youtube!"/>
    <n v="80"/>
    <n v="362"/>
    <n v="80"/>
    <n v="1040"/>
    <n v="349"/>
    <n v="117"/>
    <s v="#TeslaCoInnovation"/>
    <s v="no data"/>
    <s v="no data"/>
    <x v="2"/>
    <n v="0.50192307692307692"/>
  </r>
  <r>
    <s v="P144"/>
    <s v="YouTube"/>
    <d v="2024-10-28T00:00:00"/>
    <s v="Story"/>
    <s v="Check out our latest story on youtube!"/>
    <n v="4929"/>
    <n v="749"/>
    <n v="452"/>
    <n v="93651"/>
    <n v="92810"/>
    <n v="66"/>
    <s v="#EVRevolution"/>
    <s v="no data"/>
    <s v="no data"/>
    <x v="3"/>
    <n v="6.5455787978772245E-2"/>
  </r>
  <r>
    <s v="P145"/>
    <s v="Instagram"/>
    <d v="2024-08-12T00:00:00"/>
    <s v="Carousel"/>
    <s v="Check out our latest carousel on instagram!"/>
    <n v="1878"/>
    <n v="62"/>
    <n v="179"/>
    <n v="37560"/>
    <n v="36874"/>
    <n v="142"/>
    <s v="#TeslaCoInnovation"/>
    <s v="no data"/>
    <s v="no data"/>
    <x v="3"/>
    <n v="5.6416400425985093E-2"/>
  </r>
  <r>
    <s v="P146"/>
    <s v="YouTube"/>
    <d v="2024-06-05T00:00:00"/>
    <s v="Reel"/>
    <s v="Check out our latest reel on youtube!"/>
    <n v="3065"/>
    <n v="772"/>
    <n v="142"/>
    <n v="18390"/>
    <n v="17875"/>
    <n v="200"/>
    <s v="#EVRevolution"/>
    <s v="#AnytimeIsTeslaTime"/>
    <s v="no data"/>
    <x v="4"/>
    <n v="0.21636759108210984"/>
  </r>
  <r>
    <s v="P147"/>
    <s v="Instagram"/>
    <d v="2024-10-21T00:00:00"/>
    <s v="Reel"/>
    <s v="Check out our latest reel on instagram!"/>
    <n v="3256"/>
    <n v="459"/>
    <n v="266"/>
    <n v="26048"/>
    <n v="25529"/>
    <n v="143"/>
    <s v="#TeslaCoInnovation"/>
    <s v="no data"/>
    <s v="no data"/>
    <x v="1"/>
    <n v="0.15283323095823095"/>
  </r>
  <r>
    <s v="P148"/>
    <s v="Instagram"/>
    <d v="2025-04-15T00:00:00"/>
    <s v="Video"/>
    <s v="Check out our latest video on instagram!"/>
    <n v="4133"/>
    <n v="466"/>
    <n v="327"/>
    <n v="24798"/>
    <n v="24620"/>
    <n v="176"/>
    <s v="#EVRevolution"/>
    <s v="no data"/>
    <s v="no data"/>
    <x v="3"/>
    <n v="0.19864505202032423"/>
  </r>
  <r>
    <s v="P149"/>
    <s v="Twitter"/>
    <d v="2024-06-16T00:00:00"/>
    <s v="Video"/>
    <s v="Check out our latest video on twitter!"/>
    <n v="1702"/>
    <n v="750"/>
    <n v="179"/>
    <n v="34040"/>
    <n v="33174"/>
    <n v="76"/>
    <s v="#EVRevolution"/>
    <s v="no data"/>
    <s v="no data"/>
    <x v="0"/>
    <n v="7.7291421856639245E-2"/>
  </r>
  <r>
    <s v="P150"/>
    <s v="YouTube"/>
    <d v="2024-08-22T00:00:00"/>
    <s v="Carousel"/>
    <s v="Check out our latest carousel on youtube!"/>
    <n v="4295"/>
    <n v="853"/>
    <n v="325"/>
    <n v="85900"/>
    <n v="85788"/>
    <n v="290"/>
    <s v="#TeslaCoInnovation"/>
    <s v="no data"/>
    <s v="no data"/>
    <x v="3"/>
    <n v="6.3713620488940623E-2"/>
  </r>
  <r>
    <s v="P151"/>
    <s v="Instagram"/>
    <d v="2024-07-26T00:00:00"/>
    <s v="Image"/>
    <s v="Check out our latest image on instagram!"/>
    <n v="3559"/>
    <n v="59"/>
    <n v="289"/>
    <n v="35590"/>
    <n v="35105"/>
    <n v="122"/>
    <s v="#EVRevolution"/>
    <s v="no data"/>
    <s v="no data"/>
    <x v="0"/>
    <n v="0.10977802753582468"/>
  </r>
  <r>
    <s v="P152"/>
    <s v="Facebook"/>
    <d v="2025-04-22T00:00:00"/>
    <s v="Image"/>
    <s v="Check out our latest image on facebook!"/>
    <n v="4804"/>
    <n v="550"/>
    <n v="270"/>
    <n v="28824"/>
    <n v="28370"/>
    <n v="47"/>
    <s v="#EVRevolution"/>
    <s v="no data"/>
    <s v="no data"/>
    <x v="3"/>
    <n v="0.19511518179295032"/>
  </r>
  <r>
    <s v="P153"/>
    <s v="Twitter"/>
    <d v="2025-01-01T00:00:00"/>
    <s v="Video"/>
    <s v="Check out our latest video on twitter!"/>
    <n v="754"/>
    <n v="197"/>
    <n v="257"/>
    <n v="6786"/>
    <n v="6221"/>
    <n v="212"/>
    <s v="#TeslaCoInnovation"/>
    <s v="no data"/>
    <s v="no data"/>
    <x v="2"/>
    <n v="0.17801355732390214"/>
  </r>
  <r>
    <s v="P154"/>
    <s v="Instagram"/>
    <d v="2024-10-09T00:00:00"/>
    <s v="Carousel"/>
    <s v="Check out our latest carousel on instagram!"/>
    <n v="985"/>
    <n v="932"/>
    <n v="287"/>
    <n v="6895"/>
    <n v="6757"/>
    <n v="64"/>
    <s v="#FutureOfDriving"/>
    <s v="no data"/>
    <s v="no data"/>
    <x v="3"/>
    <n v="0.31965192168237855"/>
  </r>
  <r>
    <s v="P155"/>
    <s v="YouTube"/>
    <d v="2024-12-21T00:00:00"/>
    <s v="Image"/>
    <s v="Check out our latest image on youtube!"/>
    <n v="2283"/>
    <n v="210"/>
    <n v="130"/>
    <n v="22830"/>
    <n v="22617"/>
    <n v="143"/>
    <s v="#FutureOfDriving"/>
    <s v="no data"/>
    <s v="no data"/>
    <x v="1"/>
    <n v="0.11489268506351293"/>
  </r>
  <r>
    <s v="P156"/>
    <s v="Facebook"/>
    <d v="2024-10-22T00:00:00"/>
    <s v="Carousel"/>
    <s v="Check out our latest carousel on facebook!"/>
    <n v="3352"/>
    <n v="941"/>
    <n v="482"/>
    <n v="43576"/>
    <n v="43338"/>
    <n v="240"/>
    <s v="#FutureOfDriving"/>
    <s v="no data"/>
    <s v="no data"/>
    <x v="1"/>
    <n v="0.1095786671562328"/>
  </r>
  <r>
    <s v="P157"/>
    <s v="YouTube"/>
    <d v="2024-07-23T00:00:00"/>
    <s v="Story"/>
    <s v="Check out our latest story on youtube!"/>
    <n v="4775"/>
    <n v="173"/>
    <n v="206"/>
    <n v="47750"/>
    <n v="47544"/>
    <n v="187"/>
    <s v="#FutureOfDriving"/>
    <s v="no data"/>
    <s v="no data"/>
    <x v="1"/>
    <n v="0.10793717277486911"/>
  </r>
  <r>
    <s v="P158"/>
    <s v="Instagram"/>
    <d v="2024-08-11T00:00:00"/>
    <s v="Story"/>
    <s v="Check out our latest story on instagram!"/>
    <n v="1762"/>
    <n v="405"/>
    <n v="423"/>
    <n v="22906"/>
    <n v="21925"/>
    <n v="25"/>
    <s v="#TeslaCoInnovation"/>
    <s v="no data"/>
    <s v="no data"/>
    <x v="0"/>
    <n v="0.11307081114118571"/>
  </r>
  <r>
    <s v="P159"/>
    <s v="Facebook"/>
    <d v="2024-11-25T00:00:00"/>
    <s v="Story"/>
    <s v="Check out our latest story on facebook!"/>
    <n v="2120"/>
    <n v="158"/>
    <n v="488"/>
    <n v="12720"/>
    <n v="12085"/>
    <n v="17"/>
    <s v="#FutureOfDriving"/>
    <s v="no data"/>
    <s v="no data"/>
    <x v="1"/>
    <n v="0.21745283018867925"/>
  </r>
  <r>
    <s v="P160"/>
    <s v="Twitter"/>
    <d v="2024-08-24T00:00:00"/>
    <s v="Video"/>
    <s v="Check out our latest video on twitter!"/>
    <n v="1082"/>
    <n v="209"/>
    <n v="484"/>
    <n v="19476"/>
    <n v="18654"/>
    <n v="20"/>
    <s v="#TeslaCoInnovation"/>
    <s v="no data"/>
    <s v="no data"/>
    <x v="4"/>
    <n v="9.1137810638734856E-2"/>
  </r>
  <r>
    <s v="P161"/>
    <s v="Twitter"/>
    <d v="2025-02-19T00:00:00"/>
    <s v="Text"/>
    <s v="Check out our latest text on twitter!"/>
    <n v="4671"/>
    <n v="876"/>
    <n v="366"/>
    <n v="51381"/>
    <n v="50565"/>
    <n v="245"/>
    <s v="#TeslaCoInnovation"/>
    <s v="no data"/>
    <s v="no data"/>
    <x v="3"/>
    <n v="0.11508145034156594"/>
  </r>
  <r>
    <s v="P162"/>
    <s v="Facebook"/>
    <d v="2025-04-01T00:00:00"/>
    <s v="Story"/>
    <s v="Check out our latest story on facebook!"/>
    <n v="3430"/>
    <n v="566"/>
    <n v="164"/>
    <n v="48020"/>
    <n v="47305"/>
    <n v="120"/>
    <s v="#FutureOfDriving"/>
    <s v="no data"/>
    <s v="no data"/>
    <x v="4"/>
    <n v="8.6630570595585168E-2"/>
  </r>
  <r>
    <s v="P163"/>
    <s v="Instagram"/>
    <d v="2025-04-08T00:00:00"/>
    <s v="Image"/>
    <s v="Check out our latest image on instagram!"/>
    <n v="4501"/>
    <n v="375"/>
    <n v="323"/>
    <n v="22505"/>
    <n v="21836"/>
    <n v="132"/>
    <s v="#TeslaCoInnovation"/>
    <s v="no data"/>
    <s v="no data"/>
    <x v="1"/>
    <n v="0.23101532992668297"/>
  </r>
  <r>
    <s v="P164"/>
    <s v="YouTube"/>
    <d v="2025-02-27T00:00:00"/>
    <s v="Text"/>
    <s v="Check out our latest text on youtube!"/>
    <n v="4934"/>
    <n v="971"/>
    <n v="156"/>
    <n v="39472"/>
    <n v="39025"/>
    <n v="169"/>
    <s v="#TeslaCoInnovation"/>
    <s v="#AnytimeIsTeslaTime"/>
    <s v="no data"/>
    <x v="3"/>
    <n v="0.15355188488042157"/>
  </r>
  <r>
    <s v="P165"/>
    <s v="Twitter"/>
    <d v="2024-12-11T00:00:00"/>
    <s v="Text"/>
    <s v="Check out our latest text on twitter!"/>
    <n v="3239"/>
    <n v="43"/>
    <n v="211"/>
    <n v="22673"/>
    <n v="22171"/>
    <n v="230"/>
    <s v="#TeslaCoInnovation"/>
    <s v="no data"/>
    <s v="no data"/>
    <x v="1"/>
    <n v="0.15405989502933004"/>
  </r>
  <r>
    <s v="P166"/>
    <s v="Twitter"/>
    <d v="2025-02-16T00:00:00"/>
    <s v="Reel"/>
    <s v="Check out our latest reel on twitter!"/>
    <n v="1076"/>
    <n v="313"/>
    <n v="306"/>
    <n v="11836"/>
    <n v="11596"/>
    <n v="104"/>
    <s v="#FutureOfDriving"/>
    <s v="no data"/>
    <s v="no data"/>
    <x v="0"/>
    <n v="0.14320716458262928"/>
  </r>
  <r>
    <s v="P167"/>
    <s v="Instagram"/>
    <d v="2024-11-28T00:00:00"/>
    <s v="Text"/>
    <s v="Check out our latest text on instagram!"/>
    <n v="4771"/>
    <n v="818"/>
    <n v="56"/>
    <n v="57252"/>
    <n v="56378"/>
    <n v="150"/>
    <s v="#FutureOfDriving"/>
    <s v="no data"/>
    <s v="no data"/>
    <x v="4"/>
    <n v="9.859917557465242E-2"/>
  </r>
  <r>
    <s v="P168"/>
    <s v="Facebook"/>
    <d v="2024-11-12T00:00:00"/>
    <s v="Text"/>
    <s v="Check out our latest text on facebook!"/>
    <n v="2418"/>
    <n v="754"/>
    <n v="54"/>
    <n v="43524"/>
    <n v="42743"/>
    <n v="182"/>
    <s v="#EVRevolution"/>
    <s v="no data"/>
    <s v="no data"/>
    <x v="0"/>
    <n v="7.412002573292896E-2"/>
  </r>
  <r>
    <s v="P169"/>
    <s v="YouTube"/>
    <d v="2024-12-03T00:00:00"/>
    <s v="Video"/>
    <s v="Check out our latest video on youtube!"/>
    <n v="3809"/>
    <n v="273"/>
    <n v="200"/>
    <n v="34281"/>
    <n v="33534"/>
    <n v="83"/>
    <s v="#EVRevolution"/>
    <s v="no data"/>
    <s v="no data"/>
    <x v="0"/>
    <n v="0.12490884163239112"/>
  </r>
  <r>
    <s v="P170"/>
    <s v="Twitter"/>
    <d v="2025-04-28T00:00:00"/>
    <s v="Text"/>
    <s v="Check out our latest text on twitter!"/>
    <n v="3577"/>
    <n v="596"/>
    <n v="493"/>
    <n v="67963"/>
    <n v="67839"/>
    <n v="53"/>
    <s v="#TeslaCoInnovation"/>
    <s v="no data"/>
    <s v="no data"/>
    <x v="2"/>
    <n v="6.8655003457763777E-2"/>
  </r>
  <r>
    <s v="P171"/>
    <s v="YouTube"/>
    <d v="2024-12-31T00:00:00"/>
    <s v="Video"/>
    <s v="Check out our latest video on youtube!"/>
    <n v="1018"/>
    <n v="447"/>
    <n v="332"/>
    <n v="18324"/>
    <n v="18164"/>
    <n v="38"/>
    <s v="#FutureOfDriving"/>
    <s v="no data"/>
    <s v="no data"/>
    <x v="1"/>
    <n v="9.8068107400130972E-2"/>
  </r>
  <r>
    <s v="P172"/>
    <s v="Facebook"/>
    <d v="2024-08-14T00:00:00"/>
    <s v="Carousel"/>
    <s v="Check out our latest carousel on facebook!"/>
    <n v="3073"/>
    <n v="553"/>
    <n v="174"/>
    <n v="52241"/>
    <n v="51605"/>
    <n v="246"/>
    <s v="#EVRevolution"/>
    <s v="no data"/>
    <s v="no data"/>
    <x v="2"/>
    <n v="7.2739802071170159E-2"/>
  </r>
  <r>
    <s v="P173"/>
    <s v="Twitter"/>
    <d v="2024-12-05T00:00:00"/>
    <s v="Video"/>
    <s v="Check out our latest video on twitter!"/>
    <n v="1330"/>
    <n v="925"/>
    <n v="35"/>
    <n v="15960"/>
    <n v="15379"/>
    <n v="229"/>
    <s v="#FutureOfDriving"/>
    <s v="no data"/>
    <s v="no data"/>
    <x v="2"/>
    <n v="0.14348370927318296"/>
  </r>
  <r>
    <s v="P174"/>
    <s v="Facebook"/>
    <d v="2024-06-22T00:00:00"/>
    <s v="Text"/>
    <s v="Check out our latest text on facebook!"/>
    <n v="3828"/>
    <n v="148"/>
    <n v="253"/>
    <n v="30624"/>
    <n v="30229"/>
    <n v="235"/>
    <s v="#EVRevolution"/>
    <s v="no data"/>
    <s v="no data"/>
    <x v="4"/>
    <n v="0.13809430512016718"/>
  </r>
  <r>
    <s v="P175"/>
    <s v="Instagram"/>
    <d v="2025-01-17T00:00:00"/>
    <s v="Reel"/>
    <s v="Check out our latest reel on instagram!"/>
    <n v="142"/>
    <n v="784"/>
    <n v="183"/>
    <n v="1704"/>
    <n v="995"/>
    <n v="154"/>
    <s v="#FutureOfDriving"/>
    <s v="no data"/>
    <s v="no data"/>
    <x v="3"/>
    <n v="0.6508215962441315"/>
  </r>
  <r>
    <s v="P176"/>
    <s v="Facebook"/>
    <d v="2024-06-20T00:00:00"/>
    <s v="Video"/>
    <s v="Check out our latest video on facebook!"/>
    <n v="3798"/>
    <n v="31"/>
    <n v="279"/>
    <n v="75960"/>
    <n v="75813"/>
    <n v="266"/>
    <s v="#TeslaCoInnovation"/>
    <s v="no data"/>
    <s v="no data"/>
    <x v="0"/>
    <n v="5.4081095313322801E-2"/>
  </r>
  <r>
    <s v="P177"/>
    <s v="Instagram"/>
    <d v="2024-07-10T00:00:00"/>
    <s v="Carousel"/>
    <s v="Check out our latest carousel on instagram!"/>
    <n v="3099"/>
    <n v="694"/>
    <n v="171"/>
    <n v="43386"/>
    <n v="42921"/>
    <n v="52"/>
    <s v="#TeslaCoInnovation"/>
    <s v="no data"/>
    <s v="no data"/>
    <x v="2"/>
    <n v="9.1365878393951966E-2"/>
  </r>
  <r>
    <s v="P178"/>
    <s v="Instagram"/>
    <d v="2024-11-07T00:00:00"/>
    <s v="Video"/>
    <s v="Check out our latest video on instagram!"/>
    <n v="129"/>
    <n v="643"/>
    <n v="136"/>
    <n v="1290"/>
    <n v="839"/>
    <n v="238"/>
    <s v="#TeslaCoInnovation"/>
    <s v="no data"/>
    <s v="no data"/>
    <x v="3"/>
    <n v="0.70387596899224802"/>
  </r>
  <r>
    <s v="P179"/>
    <s v="Facebook"/>
    <d v="2024-07-15T00:00:00"/>
    <s v="Carousel"/>
    <s v="Check out our latest carousel on facebook!"/>
    <n v="3796"/>
    <n v="667"/>
    <n v="395"/>
    <n v="64532"/>
    <n v="63550"/>
    <n v="292"/>
    <s v="#TeslaCoInnovation"/>
    <s v="no data"/>
    <s v="no data"/>
    <x v="4"/>
    <n v="7.5280481001673588E-2"/>
  </r>
  <r>
    <s v="P180"/>
    <s v="YouTube"/>
    <d v="2024-12-03T00:00:00"/>
    <s v="Text"/>
    <s v="Check out our latest text on youtube!"/>
    <n v="3711"/>
    <n v="352"/>
    <n v="290"/>
    <n v="48243"/>
    <n v="47579"/>
    <n v="11"/>
    <s v="#TeslaCoInnovation"/>
    <s v="no data"/>
    <s v="no data"/>
    <x v="0"/>
    <n v="9.023070704558174E-2"/>
  </r>
  <r>
    <s v="P181"/>
    <s v="YouTube"/>
    <d v="2025-03-21T00:00:00"/>
    <s v="Image"/>
    <s v="Check out our latest image on youtube!"/>
    <n v="606"/>
    <n v="789"/>
    <n v="470"/>
    <n v="7878"/>
    <n v="7389"/>
    <n v="239"/>
    <s v="#EVRevolution"/>
    <s v="no data"/>
    <s v="no data"/>
    <x v="2"/>
    <n v="0.23673521198273673"/>
  </r>
  <r>
    <s v="P182"/>
    <s v="Facebook"/>
    <d v="2024-07-31T00:00:00"/>
    <s v="Image"/>
    <s v="Check out our latest image on facebook!"/>
    <n v="4689"/>
    <n v="134"/>
    <n v="403"/>
    <n v="51579"/>
    <n v="50924"/>
    <n v="173"/>
    <s v="#TeslaCoInnovation"/>
    <s v="no data"/>
    <s v="no data"/>
    <x v="3"/>
    <n v="0.10132030477519921"/>
  </r>
  <r>
    <s v="P183"/>
    <s v="Instagram"/>
    <d v="2024-12-17T00:00:00"/>
    <s v="Story"/>
    <s v="Check out our latest story on instagram!"/>
    <n v="360"/>
    <n v="590"/>
    <n v="393"/>
    <n v="4680"/>
    <n v="4322"/>
    <n v="208"/>
    <s v="#FutureOfDriving"/>
    <s v="no data"/>
    <s v="no data"/>
    <x v="1"/>
    <n v="0.28696581196581195"/>
  </r>
  <r>
    <s v="P184"/>
    <s v="Twitter"/>
    <d v="2024-07-28T00:00:00"/>
    <s v="Image"/>
    <s v="Check out our latest image on twitter!"/>
    <n v="3215"/>
    <n v="960"/>
    <n v="202"/>
    <n v="32150"/>
    <n v="31404"/>
    <n v="251"/>
    <s v="#EVRevolution"/>
    <s v="no data"/>
    <s v="no data"/>
    <x v="0"/>
    <n v="0.13614307931570763"/>
  </r>
  <r>
    <s v="P185"/>
    <s v="Instagram"/>
    <d v="2025-01-11T00:00:00"/>
    <s v="Carousel"/>
    <s v="Check out our latest carousel on instagram!"/>
    <n v="4523"/>
    <n v="61"/>
    <n v="157"/>
    <n v="49753"/>
    <n v="49329"/>
    <n v="71"/>
    <s v="#EVRevolution"/>
    <s v="no data"/>
    <s v="no data"/>
    <x v="4"/>
    <n v="9.5290736237010829E-2"/>
  </r>
  <r>
    <s v="P186"/>
    <s v="Facebook"/>
    <d v="2024-08-24T00:00:00"/>
    <s v="Carousel"/>
    <s v="Check out our latest carousel on facebook!"/>
    <n v="4292"/>
    <n v="51"/>
    <n v="392"/>
    <n v="55796"/>
    <n v="54826"/>
    <n v="264"/>
    <s v="#EVRevolution"/>
    <s v="no data"/>
    <s v="no data"/>
    <x v="2"/>
    <n v="8.4862714173059003E-2"/>
  </r>
  <r>
    <s v="P187"/>
    <s v="Twitter"/>
    <d v="2024-12-22T00:00:00"/>
    <s v="Reel"/>
    <s v="Check out our latest reel on twitter!"/>
    <n v="1644"/>
    <n v="546"/>
    <n v="150"/>
    <n v="27948"/>
    <n v="27184"/>
    <n v="300"/>
    <s v="#EVRevolution"/>
    <s v="no data"/>
    <s v="no data"/>
    <x v="2"/>
    <n v="8.3726921425504502E-2"/>
  </r>
  <r>
    <s v="P188"/>
    <s v="YouTube"/>
    <d v="2024-06-06T00:00:00"/>
    <s v="Reel"/>
    <s v="Check out our latest reel on youtube!"/>
    <n v="2728"/>
    <n v="533"/>
    <n v="215"/>
    <n v="40920"/>
    <n v="40816"/>
    <n v="137"/>
    <s v="#FutureOfDriving"/>
    <s v="no data"/>
    <s v="no data"/>
    <x v="1"/>
    <n v="8.4946236559139784E-2"/>
  </r>
  <r>
    <s v="P189"/>
    <s v="Facebook"/>
    <d v="2025-03-24T00:00:00"/>
    <s v="Reel"/>
    <s v="Check out our latest reel on facebook!"/>
    <n v="3360"/>
    <n v="525"/>
    <n v="500"/>
    <n v="60480"/>
    <n v="59610"/>
    <n v="192"/>
    <s v="#TeslaCoInnovation"/>
    <s v="no data"/>
    <s v="no data"/>
    <x v="0"/>
    <n v="7.2503306878306875E-2"/>
  </r>
  <r>
    <s v="P190"/>
    <s v="YouTube"/>
    <d v="2024-10-04T00:00:00"/>
    <s v="Text"/>
    <s v="Check out our latest text on youtube!"/>
    <n v="1963"/>
    <n v="213"/>
    <n v="19"/>
    <n v="39260"/>
    <n v="38771"/>
    <n v="145"/>
    <s v="#FutureOfDriving"/>
    <s v="no data"/>
    <s v="no data"/>
    <x v="4"/>
    <n v="5.5909322465613857E-2"/>
  </r>
  <r>
    <s v="P191"/>
    <s v="YouTube"/>
    <d v="2024-12-03T00:00:00"/>
    <s v="Story"/>
    <s v="Check out our latest story on youtube!"/>
    <n v="4285"/>
    <n v="886"/>
    <n v="376"/>
    <n v="55705"/>
    <n v="55556"/>
    <n v="51"/>
    <s v="#FutureOfDriving"/>
    <s v="no data"/>
    <s v="no data"/>
    <x v="2"/>
    <n v="9.9578134817341346E-2"/>
  </r>
  <r>
    <s v="P192"/>
    <s v="Instagram"/>
    <d v="2024-11-29T00:00:00"/>
    <s v="Video"/>
    <s v="Check out our latest video on instagram!"/>
    <n v="1176"/>
    <n v="464"/>
    <n v="394"/>
    <n v="14112"/>
    <n v="13588"/>
    <n v="272"/>
    <s v="#EVRevolution"/>
    <s v="no data"/>
    <s v="no data"/>
    <x v="4"/>
    <n v="0.1441326530612245"/>
  </r>
  <r>
    <s v="P193"/>
    <s v="Twitter"/>
    <d v="2024-09-11T00:00:00"/>
    <s v="Image"/>
    <s v="Check out our latest image on twitter!"/>
    <n v="4858"/>
    <n v="317"/>
    <n v="129"/>
    <n v="53438"/>
    <n v="52687"/>
    <n v="223"/>
    <s v="#EVRevolution"/>
    <s v="no data"/>
    <s v="no data"/>
    <x v="2"/>
    <n v="9.9255211647142488E-2"/>
  </r>
  <r>
    <s v="P194"/>
    <s v="YouTube"/>
    <d v="2024-10-02T00:00:00"/>
    <s v="Story"/>
    <s v="Check out our latest story on youtube!"/>
    <n v="4350"/>
    <n v="771"/>
    <n v="7"/>
    <n v="60900"/>
    <n v="60592"/>
    <n v="195"/>
    <s v="#EVRevolution"/>
    <s v="no data"/>
    <s v="no data"/>
    <x v="0"/>
    <n v="8.4203612479474554E-2"/>
  </r>
  <r>
    <s v="P195"/>
    <s v="Instagram"/>
    <d v="2024-08-15T00:00:00"/>
    <s v="Carousel"/>
    <s v="Check out our latest carousel on instagram!"/>
    <n v="914"/>
    <n v="464"/>
    <n v="246"/>
    <n v="11882"/>
    <n v="11500"/>
    <n v="282"/>
    <s v="#FutureOfDriving"/>
    <s v="#TeslaCoInnovation"/>
    <s v="#AnytimeIsTeslaTime"/>
    <x v="3"/>
    <n v="0.13667732704931829"/>
  </r>
  <r>
    <s v="P196"/>
    <s v="Instagram"/>
    <d v="2024-12-19T00:00:00"/>
    <s v="Text"/>
    <s v="Check out our latest text on instagram!"/>
    <n v="1813"/>
    <n v="623"/>
    <n v="72"/>
    <n v="19943"/>
    <n v="18959"/>
    <n v="85"/>
    <s v="#EVRevolution"/>
    <s v="no data"/>
    <s v="no data"/>
    <x v="2"/>
    <n v="0.12575841147269717"/>
  </r>
  <r>
    <s v="P197"/>
    <s v="Twitter"/>
    <d v="2024-10-22T00:00:00"/>
    <s v="Reel"/>
    <s v="Check out our latest reel on twitter!"/>
    <n v="4782"/>
    <n v="721"/>
    <n v="82"/>
    <n v="86076"/>
    <n v="85339"/>
    <n v="19"/>
    <s v="#EVRevolution"/>
    <s v="no data"/>
    <s v="no data"/>
    <x v="0"/>
    <n v="6.4884520656164318E-2"/>
  </r>
  <r>
    <s v="P198"/>
    <s v="Twitter"/>
    <d v="2024-09-14T00:00:00"/>
    <s v="Image"/>
    <s v="Check out our latest image on twitter!"/>
    <n v="1048"/>
    <n v="374"/>
    <n v="450"/>
    <n v="9432"/>
    <n v="8882"/>
    <n v="158"/>
    <s v="#TeslaCoInnovation"/>
    <s v="no data"/>
    <s v="no data"/>
    <x v="2"/>
    <n v="0.19847328244274809"/>
  </r>
  <r>
    <s v="P199"/>
    <s v="YouTube"/>
    <d v="2024-11-30T00:00:00"/>
    <s v="Carousel"/>
    <s v="Check out our latest carousel on youtube!"/>
    <n v="2509"/>
    <n v="324"/>
    <n v="171"/>
    <n v="35126"/>
    <n v="34685"/>
    <n v="277"/>
    <s v="#TeslaCoInnovation"/>
    <s v="no data"/>
    <s v="no data"/>
    <x v="1"/>
    <n v="8.5520696919660646E-2"/>
  </r>
  <r>
    <s v="P200"/>
    <s v="Facebook"/>
    <d v="2025-04-07T00:00:00"/>
    <s v="Reel"/>
    <s v="Check out our latest reel on facebook!"/>
    <n v="3718"/>
    <n v="385"/>
    <n v="310"/>
    <n v="70642"/>
    <n v="69749"/>
    <n v="233"/>
    <s v="#TeslaCoInnovation"/>
    <s v="no data"/>
    <s v="no data"/>
    <x v="1"/>
    <n v="6.246991874522239E-2"/>
  </r>
  <r>
    <s v="P201"/>
    <s v="Twitter"/>
    <d v="2025-01-15T00:00:00"/>
    <s v="Reel"/>
    <s v="Check out our latest reel on twitter!"/>
    <n v="802"/>
    <n v="262"/>
    <n v="244"/>
    <n v="14436"/>
    <n v="14280"/>
    <n v="49"/>
    <s v="#EVRevolution"/>
    <s v="no data"/>
    <s v="no data"/>
    <x v="0"/>
    <n v="9.0606816292601824E-2"/>
  </r>
  <r>
    <s v="P202"/>
    <s v="Facebook"/>
    <d v="2024-06-02T00:00:00"/>
    <s v="Image"/>
    <s v="Check out our latest image on facebook!"/>
    <n v="1871"/>
    <n v="252"/>
    <n v="335"/>
    <n v="29936"/>
    <n v="29576"/>
    <n v="288"/>
    <s v="#EVRevolution"/>
    <s v="no data"/>
    <s v="no data"/>
    <x v="2"/>
    <n v="8.2108498129342594E-2"/>
  </r>
  <r>
    <s v="P203"/>
    <s v="Instagram"/>
    <d v="2024-11-21T00:00:00"/>
    <s v="Carousel"/>
    <s v="Check out our latest carousel on instagram!"/>
    <n v="3773"/>
    <n v="299"/>
    <n v="38"/>
    <n v="71687"/>
    <n v="71447"/>
    <n v="286"/>
    <s v="#FutureOfDriving"/>
    <s v="no data"/>
    <s v="no data"/>
    <x v="0"/>
    <n v="5.7332570758993957E-2"/>
  </r>
  <r>
    <s v="P204"/>
    <s v="Instagram"/>
    <d v="2025-01-01T00:00:00"/>
    <s v="Carousel"/>
    <s v="Check out our latest carousel on instagram!"/>
    <n v="2234"/>
    <n v="653"/>
    <n v="432"/>
    <n v="11170"/>
    <n v="10569"/>
    <n v="198"/>
    <s v="#FutureOfDriving"/>
    <s v="no data"/>
    <s v="no data"/>
    <x v="2"/>
    <n v="0.29713518352730528"/>
  </r>
  <r>
    <s v="P205"/>
    <s v="Twitter"/>
    <d v="2025-04-24T00:00:00"/>
    <s v="Video"/>
    <s v="Check out our latest video on twitter!"/>
    <n v="3820"/>
    <n v="697"/>
    <n v="268"/>
    <n v="45840"/>
    <n v="45631"/>
    <n v="171"/>
    <s v="#TeslaCoInnovation"/>
    <s v="#SmoothLikeNitroTesla"/>
    <s v="no data"/>
    <x v="3"/>
    <n v="0.1043848167539267"/>
  </r>
  <r>
    <s v="P206"/>
    <s v="Twitter"/>
    <d v="2024-06-24T00:00:00"/>
    <s v="Text"/>
    <s v="Check out our latest text on twitter!"/>
    <n v="941"/>
    <n v="121"/>
    <n v="458"/>
    <n v="14115"/>
    <n v="13838"/>
    <n v="87"/>
    <s v="#EVRevolution"/>
    <s v="no data"/>
    <s v="no data"/>
    <x v="0"/>
    <n v="0.10768685795253277"/>
  </r>
  <r>
    <s v="P207"/>
    <s v="Twitter"/>
    <d v="2024-12-29T00:00:00"/>
    <s v="Carousel"/>
    <s v="Check out our latest carousel on twitter!"/>
    <n v="4274"/>
    <n v="340"/>
    <n v="281"/>
    <n v="34192"/>
    <n v="33446"/>
    <n v="129"/>
    <s v="#TeslaCoInnovation"/>
    <s v="#SmoothLikeNitroTesla"/>
    <s v="no data"/>
    <x v="2"/>
    <n v="0.14316214319138981"/>
  </r>
  <r>
    <s v="P208"/>
    <s v="YouTube"/>
    <d v="2024-06-24T00:00:00"/>
    <s v="Video"/>
    <s v="Check out our latest video on youtube!"/>
    <n v="2949"/>
    <n v="476"/>
    <n v="403"/>
    <n v="44235"/>
    <n v="43705"/>
    <n v="135"/>
    <s v="#TeslaCoInnovation"/>
    <s v="no data"/>
    <s v="no data"/>
    <x v="1"/>
    <n v="8.6537809426924378E-2"/>
  </r>
  <r>
    <s v="P209"/>
    <s v="Twitter"/>
    <d v="2025-03-19T00:00:00"/>
    <s v="Video"/>
    <s v="Check out our latest video on twitter!"/>
    <n v="3160"/>
    <n v="204"/>
    <n v="297"/>
    <n v="44240"/>
    <n v="43666"/>
    <n v="49"/>
    <s v="#FutureOfDriving"/>
    <s v="#AnytimeIsTeslaTime"/>
    <s v="no data"/>
    <x v="3"/>
    <n v="8.2753164556962022E-2"/>
  </r>
  <r>
    <s v="P210"/>
    <s v="YouTube"/>
    <d v="2025-02-19T00:00:00"/>
    <s v="Image"/>
    <s v="Check out our latest image on youtube!"/>
    <n v="257"/>
    <n v="966"/>
    <n v="398"/>
    <n v="3341"/>
    <n v="2753"/>
    <n v="287"/>
    <s v="#FutureOfDriving"/>
    <s v="no data"/>
    <s v="no data"/>
    <x v="0"/>
    <n v="0.48518407662376534"/>
  </r>
  <r>
    <s v="P211"/>
    <s v="Twitter"/>
    <d v="2024-07-18T00:00:00"/>
    <s v="Carousel"/>
    <s v="Check out our latest carousel on twitter!"/>
    <n v="2120"/>
    <n v="38"/>
    <n v="212"/>
    <n v="12720"/>
    <n v="12564"/>
    <n v="21"/>
    <s v="#FutureOfDriving"/>
    <s v="no data"/>
    <s v="no data"/>
    <x v="3"/>
    <n v="0.18632075471698112"/>
  </r>
  <r>
    <s v="P212"/>
    <s v="YouTube"/>
    <d v="2025-03-03T00:00:00"/>
    <s v="Video"/>
    <s v="Check out our latest video on youtube!"/>
    <n v="3874"/>
    <n v="884"/>
    <n v="19"/>
    <n v="38740"/>
    <n v="38552"/>
    <n v="219"/>
    <s v="#TeslaCoInnovation"/>
    <s v="no data"/>
    <s v="no data"/>
    <x v="1"/>
    <n v="0.123309241094476"/>
  </r>
  <r>
    <s v="P213"/>
    <s v="Facebook"/>
    <d v="2025-05-01T00:00:00"/>
    <s v="Carousel"/>
    <s v="Check out our latest carousel on facebook!"/>
    <n v="2696"/>
    <n v="628"/>
    <n v="443"/>
    <n v="45832"/>
    <n v="45632"/>
    <n v="248"/>
    <s v="#EVRevolution"/>
    <s v="no data"/>
    <s v="no data"/>
    <x v="3"/>
    <n v="8.21914819340199E-2"/>
  </r>
  <r>
    <s v="P214"/>
    <s v="Instagram"/>
    <d v="2024-12-23T00:00:00"/>
    <s v="Image"/>
    <s v="Check out our latest image on instagram!"/>
    <n v="521"/>
    <n v="746"/>
    <n v="315"/>
    <n v="4168"/>
    <n v="3399"/>
    <n v="282"/>
    <s v="#FutureOfDriving"/>
    <s v="no data"/>
    <s v="no data"/>
    <x v="1"/>
    <n v="0.37955854126679461"/>
  </r>
  <r>
    <s v="P215"/>
    <s v="Facebook"/>
    <d v="2025-05-06T00:00:00"/>
    <s v="Image"/>
    <s v="Check out our latest image on facebook!"/>
    <n v="4872"/>
    <n v="925"/>
    <n v="176"/>
    <n v="82824"/>
    <n v="82543"/>
    <n v="89"/>
    <s v="#EVRevolution"/>
    <s v="no data"/>
    <s v="no data"/>
    <x v="1"/>
    <n v="7.2116777745580993E-2"/>
  </r>
  <r>
    <s v="P216"/>
    <s v="YouTube"/>
    <d v="2024-07-29T00:00:00"/>
    <s v="Story"/>
    <s v="Check out our latest story on youtube!"/>
    <n v="1509"/>
    <n v="88"/>
    <n v="163"/>
    <n v="30180"/>
    <n v="29689"/>
    <n v="119"/>
    <s v="#EVRevolution"/>
    <s v="no data"/>
    <s v="no data"/>
    <x v="1"/>
    <n v="5.8316766070245198E-2"/>
  </r>
  <r>
    <s v="P217"/>
    <s v="Facebook"/>
    <d v="2024-12-03T00:00:00"/>
    <s v="Image"/>
    <s v="Check out our latest image on facebook!"/>
    <n v="4606"/>
    <n v="931"/>
    <n v="230"/>
    <n v="92120"/>
    <n v="91440"/>
    <n v="56"/>
    <s v="#TeslaCoInnovation"/>
    <s v="no data"/>
    <s v="no data"/>
    <x v="4"/>
    <n v="6.2603126356925748E-2"/>
  </r>
  <r>
    <s v="P218"/>
    <s v="Facebook"/>
    <d v="2024-06-11T00:00:00"/>
    <s v="Carousel"/>
    <s v="Check out our latest carousel on facebook!"/>
    <n v="1869"/>
    <n v="453"/>
    <n v="490"/>
    <n v="14952"/>
    <n v="14309"/>
    <n v="275"/>
    <s v="#TeslaCoInnovation"/>
    <s v="no data"/>
    <s v="no data"/>
    <x v="3"/>
    <n v="0.18806848582129482"/>
  </r>
  <r>
    <s v="P219"/>
    <s v="Twitter"/>
    <d v="2025-01-28T00:00:00"/>
    <s v="Reel"/>
    <s v="Check out our latest reel on twitter!"/>
    <n v="1188"/>
    <n v="470"/>
    <n v="174"/>
    <n v="7128"/>
    <n v="6145"/>
    <n v="270"/>
    <s v="#TeslaCoInnovation"/>
    <s v="no data"/>
    <s v="no data"/>
    <x v="3"/>
    <n v="0.25701459034792368"/>
  </r>
  <r>
    <s v="P220"/>
    <s v="Instagram"/>
    <d v="2024-06-02T00:00:00"/>
    <s v="Story"/>
    <s v="Check out our latest story on instagram!"/>
    <n v="84"/>
    <n v="897"/>
    <n v="85"/>
    <n v="588"/>
    <n v="8"/>
    <n v="12"/>
    <s v="#EVRevolution"/>
    <s v="no data"/>
    <s v="no data"/>
    <x v="4"/>
    <n v="1.8129251700680271"/>
  </r>
  <r>
    <s v="P221"/>
    <s v="Facebook"/>
    <d v="2025-03-23T00:00:00"/>
    <s v="Video"/>
    <s v="Check out our latest video on facebook!"/>
    <n v="4453"/>
    <n v="111"/>
    <n v="420"/>
    <n v="31171"/>
    <n v="30565"/>
    <n v="23"/>
    <s v="#TeslaCoInnovation"/>
    <s v="no data"/>
    <s v="no data"/>
    <x v="4"/>
    <n v="0.15989220750056141"/>
  </r>
  <r>
    <s v="P222"/>
    <s v="Facebook"/>
    <d v="2024-10-08T00:00:00"/>
    <s v="Reel"/>
    <s v="Check out our latest reel on facebook!"/>
    <n v="1814"/>
    <n v="653"/>
    <n v="363"/>
    <n v="25396"/>
    <n v="25286"/>
    <n v="39"/>
    <s v="#FutureOfDriving"/>
    <s v="#SmoothLikeNitroTesla"/>
    <s v="no data"/>
    <x v="0"/>
    <n v="0.11143487163332809"/>
  </r>
  <r>
    <s v="P223"/>
    <s v="Twitter"/>
    <d v="2024-11-12T00:00:00"/>
    <s v="Image"/>
    <s v="Check out our latest image on twitter!"/>
    <n v="3338"/>
    <n v="277"/>
    <n v="118"/>
    <n v="60084"/>
    <n v="59842"/>
    <n v="252"/>
    <s v="#TeslaCoInnovation"/>
    <s v="no data"/>
    <s v="no data"/>
    <x v="4"/>
    <n v="6.2129685107516146E-2"/>
  </r>
  <r>
    <s v="P224"/>
    <s v="Facebook"/>
    <d v="2025-05-13T00:00:00"/>
    <s v="Image"/>
    <s v="Check out our latest image on facebook!"/>
    <n v="602"/>
    <n v="594"/>
    <n v="156"/>
    <n v="4214"/>
    <n v="3363"/>
    <n v="164"/>
    <s v="#TeslaCoInnovation"/>
    <s v="no data"/>
    <s v="no data"/>
    <x v="2"/>
    <n v="0.32083531086853345"/>
  </r>
  <r>
    <s v="P225"/>
    <s v="Twitter"/>
    <d v="2024-06-20T00:00:00"/>
    <s v="Carousel"/>
    <s v="Check out our latest carousel on twitter!"/>
    <n v="4672"/>
    <n v="325"/>
    <n v="32"/>
    <n v="88768"/>
    <n v="87833"/>
    <n v="118"/>
    <s v="#EVRevolution"/>
    <s v="no data"/>
    <s v="no data"/>
    <x v="4"/>
    <n v="5.6653298485940883E-2"/>
  </r>
  <r>
    <s v="P226"/>
    <s v="Instagram"/>
    <d v="2024-08-07T00:00:00"/>
    <s v="Carousel"/>
    <s v="Check out our latest carousel on instagram!"/>
    <n v="1741"/>
    <n v="164"/>
    <n v="318"/>
    <n v="8705"/>
    <n v="8272"/>
    <n v="121"/>
    <s v="#TeslaCoInnovation"/>
    <s v="no data"/>
    <s v="no data"/>
    <x v="4"/>
    <n v="0.25537047673750718"/>
  </r>
  <r>
    <s v="P227"/>
    <s v="Instagram"/>
    <d v="2024-06-12T00:00:00"/>
    <s v="Text"/>
    <s v="Check out our latest text on instagram!"/>
    <n v="246"/>
    <n v="149"/>
    <n v="130"/>
    <n v="4674"/>
    <n v="4390"/>
    <n v="217"/>
    <s v="#FutureOfDriving"/>
    <s v="no data"/>
    <s v="no data"/>
    <x v="2"/>
    <n v="0.11232349165596919"/>
  </r>
  <r>
    <s v="P228"/>
    <s v="Instagram"/>
    <d v="2024-07-01T00:00:00"/>
    <s v="Story"/>
    <s v="Check out our latest story on instagram!"/>
    <n v="4808"/>
    <n v="772"/>
    <n v="320"/>
    <n v="72120"/>
    <n v="71696"/>
    <n v="195"/>
    <s v="#EVRevolution"/>
    <s v="no data"/>
    <s v="no data"/>
    <x v="0"/>
    <n v="8.1808097615085965E-2"/>
  </r>
  <r>
    <s v="P229"/>
    <s v="Instagram"/>
    <d v="2024-07-03T00:00:00"/>
    <s v="Carousel"/>
    <s v="Check out our latest carousel on instagram!"/>
    <n v="4799"/>
    <n v="694"/>
    <n v="289"/>
    <n v="43191"/>
    <n v="42228"/>
    <n v="118"/>
    <s v="#TeslaCoInnovation"/>
    <s v="no data"/>
    <s v="no data"/>
    <x v="4"/>
    <n v="0.13387048227640017"/>
  </r>
  <r>
    <s v="P230"/>
    <s v="Facebook"/>
    <d v="2024-07-15T00:00:00"/>
    <s v="Reel"/>
    <s v="Check out our latest reel on facebook!"/>
    <n v="3663"/>
    <n v="17"/>
    <n v="295"/>
    <n v="51282"/>
    <n v="50567"/>
    <n v="84"/>
    <s v="#EVRevolution"/>
    <s v="no data"/>
    <s v="no data"/>
    <x v="2"/>
    <n v="7.7512577512577507E-2"/>
  </r>
  <r>
    <s v="P231"/>
    <s v="Instagram"/>
    <d v="2025-05-01T00:00:00"/>
    <s v="Text"/>
    <s v="Check out our latest text on instagram!"/>
    <n v="1430"/>
    <n v="376"/>
    <n v="33"/>
    <n v="21450"/>
    <n v="20509"/>
    <n v="251"/>
    <s v="#FutureOfDriving"/>
    <s v="no data"/>
    <s v="no data"/>
    <x v="0"/>
    <n v="8.5734265734265735E-2"/>
  </r>
  <r>
    <s v="P232"/>
    <s v="Twitter"/>
    <d v="2025-04-29T00:00:00"/>
    <s v="Story"/>
    <s v="Check out our latest story on twitter!"/>
    <n v="249"/>
    <n v="592"/>
    <n v="230"/>
    <n v="1494"/>
    <n v="1044"/>
    <n v="201"/>
    <s v="#EVRevolution"/>
    <s v="no data"/>
    <s v="no data"/>
    <x v="3"/>
    <n v="0.7168674698795181"/>
  </r>
  <r>
    <s v="P233"/>
    <s v="Facebook"/>
    <d v="2025-03-08T00:00:00"/>
    <s v="Image"/>
    <s v="Check out our latest image on facebook!"/>
    <n v="2382"/>
    <n v="265"/>
    <n v="134"/>
    <n v="38112"/>
    <n v="37437"/>
    <n v="249"/>
    <s v="#FutureOfDriving"/>
    <s v="no data"/>
    <s v="no data"/>
    <x v="3"/>
    <n v="7.2969143576826198E-2"/>
  </r>
  <r>
    <s v="P234"/>
    <s v="Facebook"/>
    <d v="2024-06-01T00:00:00"/>
    <s v="Text"/>
    <s v="Check out our latest text on facebook!"/>
    <n v="1272"/>
    <n v="465"/>
    <n v="99"/>
    <n v="24168"/>
    <n v="23719"/>
    <n v="42"/>
    <s v="#TeslaCoInnovation"/>
    <s v="no data"/>
    <s v="no data"/>
    <x v="4"/>
    <n v="7.5968222442899705E-2"/>
  </r>
  <r>
    <s v="P235"/>
    <s v="Facebook"/>
    <d v="2024-12-22T00:00:00"/>
    <s v="Image"/>
    <s v="Check out our latest image on facebook!"/>
    <n v="3196"/>
    <n v="941"/>
    <n v="376"/>
    <n v="35156"/>
    <n v="34444"/>
    <n v="241"/>
    <s v="#TeslaCoInnovation"/>
    <s v="no data"/>
    <s v="no data"/>
    <x v="2"/>
    <n v="0.1283706906360223"/>
  </r>
  <r>
    <s v="P236"/>
    <s v="Facebook"/>
    <d v="2024-08-19T00:00:00"/>
    <s v="Text"/>
    <s v="Check out our latest text on facebook!"/>
    <n v="1257"/>
    <n v="19"/>
    <n v="351"/>
    <n v="12570"/>
    <n v="11660"/>
    <n v="194"/>
    <s v="#FutureOfDriving"/>
    <s v="#AnytimeIsTeslaTime"/>
    <s v="#EVRevolution"/>
    <x v="1"/>
    <n v="0.12943516308671441"/>
  </r>
  <r>
    <s v="P237"/>
    <s v="Instagram"/>
    <d v="2024-10-22T00:00:00"/>
    <s v="Story"/>
    <s v="Check out our latest story on instagram!"/>
    <n v="3770"/>
    <n v="917"/>
    <n v="129"/>
    <n v="71630"/>
    <n v="71322"/>
    <n v="76"/>
    <s v="#FutureOfDriving"/>
    <s v="no data"/>
    <s v="no data"/>
    <x v="0"/>
    <n v="6.7234398994834563E-2"/>
  </r>
  <r>
    <s v="P238"/>
    <s v="Twitter"/>
    <d v="2024-07-16T00:00:00"/>
    <s v="Text"/>
    <s v="Check out our latest text on twitter!"/>
    <n v="4725"/>
    <n v="400"/>
    <n v="362"/>
    <n v="75600"/>
    <n v="74927"/>
    <n v="43"/>
    <s v="#FutureOfDriving"/>
    <s v="no data"/>
    <s v="no data"/>
    <x v="3"/>
    <n v="7.2579365079365077E-2"/>
  </r>
  <r>
    <s v="P239"/>
    <s v="YouTube"/>
    <d v="2025-02-24T00:00:00"/>
    <s v="Text"/>
    <s v="Check out our latest text on youtube!"/>
    <n v="4188"/>
    <n v="942"/>
    <n v="118"/>
    <n v="20940"/>
    <n v="20471"/>
    <n v="102"/>
    <s v="#FutureOfDriving"/>
    <s v="no data"/>
    <s v="no data"/>
    <x v="4"/>
    <n v="0.25062082139446035"/>
  </r>
  <r>
    <s v="P240"/>
    <s v="Twitter"/>
    <d v="2024-08-26T00:00:00"/>
    <s v="Carousel"/>
    <s v="Check out our latest carousel on twitter!"/>
    <n v="929"/>
    <n v="192"/>
    <n v="322"/>
    <n v="16722"/>
    <n v="15996"/>
    <n v="145"/>
    <s v="#EVRevolution"/>
    <s v="#TeslaCoInnovation"/>
    <s v="#AnytimeIsTeslaTime"/>
    <x v="2"/>
    <n v="8.6293505561535699E-2"/>
  </r>
  <r>
    <s v="P241"/>
    <s v="Facebook"/>
    <d v="2025-01-18T00:00:00"/>
    <s v="Story"/>
    <s v="Check out our latest story on facebook!"/>
    <n v="4321"/>
    <n v="874"/>
    <n v="172"/>
    <n v="30247"/>
    <n v="29254"/>
    <n v="122"/>
    <s v="#TeslaCoInnovation"/>
    <s v="no data"/>
    <s v="no data"/>
    <x v="3"/>
    <n v="0.17743908486792079"/>
  </r>
  <r>
    <s v="P242"/>
    <s v="Facebook"/>
    <d v="2024-07-07T00:00:00"/>
    <s v="Reel"/>
    <s v="Check out our latest reel on facebook!"/>
    <n v="4767"/>
    <n v="190"/>
    <n v="340"/>
    <n v="28602"/>
    <n v="28044"/>
    <n v="210"/>
    <s v="#EVRevolution"/>
    <s v="no data"/>
    <s v="no data"/>
    <x v="2"/>
    <n v="0.18519683938186141"/>
  </r>
  <r>
    <s v="P243"/>
    <s v="Twitter"/>
    <d v="2025-03-06T00:00:00"/>
    <s v="Image"/>
    <s v="Check out our latest image on twitter!"/>
    <n v="3592"/>
    <n v="911"/>
    <n v="375"/>
    <n v="50288"/>
    <n v="49490"/>
    <n v="32"/>
    <s v="#FutureOfDriving"/>
    <s v="no data"/>
    <s v="no data"/>
    <x v="3"/>
    <n v="9.7001272669424113E-2"/>
  </r>
  <r>
    <s v="P244"/>
    <s v="YouTube"/>
    <d v="2024-10-25T00:00:00"/>
    <s v="Video"/>
    <s v="Check out our latest video on youtube!"/>
    <n v="4661"/>
    <n v="935"/>
    <n v="433"/>
    <n v="23305"/>
    <n v="22583"/>
    <n v="63"/>
    <s v="#FutureOfDriving"/>
    <s v="no data"/>
    <s v="no data"/>
    <x v="2"/>
    <n v="0.25869984981763572"/>
  </r>
  <r>
    <s v="P245"/>
    <s v="Facebook"/>
    <d v="2025-01-12T00:00:00"/>
    <s v="Reel"/>
    <s v="Check out our latest reel on facebook!"/>
    <n v="4134"/>
    <n v="824"/>
    <n v="99"/>
    <n v="41340"/>
    <n v="41050"/>
    <n v="177"/>
    <s v="#EVRevolution"/>
    <s v="no data"/>
    <s v="no data"/>
    <x v="0"/>
    <n v="0.12232704402515723"/>
  </r>
  <r>
    <s v="P246"/>
    <s v="Facebook"/>
    <d v="2024-10-11T00:00:00"/>
    <s v="Image"/>
    <s v="Check out our latest image on facebook!"/>
    <n v="400"/>
    <n v="680"/>
    <n v="434"/>
    <n v="6400"/>
    <n v="5472"/>
    <n v="160"/>
    <s v="#FutureOfDriving"/>
    <s v="no data"/>
    <s v="no data"/>
    <x v="1"/>
    <n v="0.23656250000000001"/>
  </r>
  <r>
    <s v="P247"/>
    <s v="Facebook"/>
    <d v="2024-08-27T00:00:00"/>
    <s v="Reel"/>
    <s v="Check out our latest reel on facebook!"/>
    <n v="3960"/>
    <n v="266"/>
    <n v="8"/>
    <n v="35640"/>
    <n v="34850"/>
    <n v="208"/>
    <s v="#FutureOfDriving"/>
    <s v="#EVRevolution"/>
    <s v="#BetterWithTesla"/>
    <x v="4"/>
    <n v="0.11879910213243547"/>
  </r>
  <r>
    <s v="P248"/>
    <s v="Facebook"/>
    <d v="2025-02-02T00:00:00"/>
    <s v="Story"/>
    <s v="Check out our latest story on facebook!"/>
    <n v="886"/>
    <n v="126"/>
    <n v="153"/>
    <n v="4430"/>
    <n v="4037"/>
    <n v="212"/>
    <s v="#EVRevolution"/>
    <s v="no data"/>
    <s v="no data"/>
    <x v="4"/>
    <n v="0.26297968397291194"/>
  </r>
  <r>
    <s v="P249"/>
    <s v="Twitter"/>
    <d v="2024-07-18T00:00:00"/>
    <s v="Image"/>
    <s v="Check out our latest image on twitter!"/>
    <n v="827"/>
    <n v="77"/>
    <n v="402"/>
    <n v="14886"/>
    <n v="14129"/>
    <n v="254"/>
    <s v="#EVRevolution"/>
    <s v="no data"/>
    <s v="no data"/>
    <x v="1"/>
    <n v="8.7733440816874911E-2"/>
  </r>
  <r>
    <s v="P250"/>
    <s v="Facebook"/>
    <d v="2024-06-22T00:00:00"/>
    <s v="Reel"/>
    <s v="Check out our latest reel on facebook!"/>
    <n v="3813"/>
    <n v="935"/>
    <n v="274"/>
    <n v="68634"/>
    <n v="68488"/>
    <n v="251"/>
    <s v="#FutureOfDriving"/>
    <s v="no data"/>
    <s v="no data"/>
    <x v="4"/>
    <n v="7.3170731707317069E-2"/>
  </r>
  <r>
    <s v="P251"/>
    <s v="Instagram"/>
    <d v="2025-03-27T00:00:00"/>
    <s v="Carousel"/>
    <s v="Check out our latest carousel on instagram!"/>
    <n v="1377"/>
    <n v="796"/>
    <n v="387"/>
    <n v="22032"/>
    <n v="21869"/>
    <n v="189"/>
    <s v="#FutureOfDriving"/>
    <s v="no data"/>
    <s v="no data"/>
    <x v="4"/>
    <n v="0.11619462599854757"/>
  </r>
  <r>
    <s v="P252"/>
    <s v="Facebook"/>
    <d v="2025-04-28T00:00:00"/>
    <s v="Carousel"/>
    <s v="Check out our latest carousel on facebook!"/>
    <n v="2089"/>
    <n v="476"/>
    <n v="69"/>
    <n v="16712"/>
    <n v="16309"/>
    <n v="64"/>
    <s v="#FutureOfDriving"/>
    <s v="no data"/>
    <s v="no data"/>
    <x v="2"/>
    <n v="0.15761129727142173"/>
  </r>
  <r>
    <s v="P253"/>
    <s v="Twitter"/>
    <d v="2024-08-03T00:00:00"/>
    <s v="Reel"/>
    <s v="Check out our latest reel on twitter!"/>
    <n v="3791"/>
    <n v="593"/>
    <n v="228"/>
    <n v="53074"/>
    <n v="52613"/>
    <n v="205"/>
    <s v="#EVRevolution"/>
    <s v="no data"/>
    <s v="no data"/>
    <x v="4"/>
    <n v="8.6897539284772202E-2"/>
  </r>
  <r>
    <s v="P254"/>
    <s v="Twitter"/>
    <d v="2025-01-14T00:00:00"/>
    <s v="Image"/>
    <s v="Check out our latest image on twitter!"/>
    <n v="2692"/>
    <n v="115"/>
    <n v="64"/>
    <n v="21536"/>
    <n v="21120"/>
    <n v="224"/>
    <s v="#FutureOfDriving"/>
    <s v="no data"/>
    <s v="no data"/>
    <x v="1"/>
    <n v="0.13331166419019316"/>
  </r>
  <r>
    <s v="P255"/>
    <s v="Facebook"/>
    <d v="2025-04-03T00:00:00"/>
    <s v="Story"/>
    <s v="Check out our latest story on facebook!"/>
    <n v="3767"/>
    <n v="514"/>
    <n v="238"/>
    <n v="37670"/>
    <n v="36807"/>
    <n v="226"/>
    <s v="#FutureOfDriving"/>
    <s v="no data"/>
    <s v="no data"/>
    <x v="3"/>
    <n v="0.11996283514733209"/>
  </r>
  <r>
    <s v="P256"/>
    <s v="YouTube"/>
    <d v="2024-09-18T00:00:00"/>
    <s v="Carousel"/>
    <s v="Check out our latest carousel on youtube!"/>
    <n v="2143"/>
    <n v="12"/>
    <n v="204"/>
    <n v="40717"/>
    <n v="40125"/>
    <n v="248"/>
    <s v="#EVRevolution"/>
    <s v="no data"/>
    <s v="no data"/>
    <x v="1"/>
    <n v="5.7936488444630008E-2"/>
  </r>
  <r>
    <s v="P257"/>
    <s v="Facebook"/>
    <d v="2025-04-06T00:00:00"/>
    <s v="Image"/>
    <s v="Check out our latest image on facebook!"/>
    <n v="3090"/>
    <n v="697"/>
    <n v="164"/>
    <n v="49440"/>
    <n v="48524"/>
    <n v="25"/>
    <s v="#EVRevolution"/>
    <s v="#EVRevolution"/>
    <s v="#BetterWithTesla"/>
    <x v="1"/>
    <n v="7.9915048543689318E-2"/>
  </r>
  <r>
    <s v="P258"/>
    <s v="Instagram"/>
    <d v="2024-08-05T00:00:00"/>
    <s v="Story"/>
    <s v="Check out our latest story on instagram!"/>
    <n v="3601"/>
    <n v="695"/>
    <n v="75"/>
    <n v="21606"/>
    <n v="21454"/>
    <n v="172"/>
    <s v="#EVRevolution"/>
    <s v="no data"/>
    <s v="no data"/>
    <x v="1"/>
    <n v="0.2023049153013052"/>
  </r>
  <r>
    <s v="P259"/>
    <s v="Facebook"/>
    <d v="2025-02-10T00:00:00"/>
    <s v="Text"/>
    <s v="Check out our latest text on facebook!"/>
    <n v="562"/>
    <n v="158"/>
    <n v="149"/>
    <n v="3372"/>
    <n v="2940"/>
    <n v="93"/>
    <s v="#TeslaCoInnovation"/>
    <s v="no data"/>
    <s v="no data"/>
    <x v="0"/>
    <n v="0.25771055753262156"/>
  </r>
  <r>
    <s v="P260"/>
    <s v="Instagram"/>
    <d v="2025-02-12T00:00:00"/>
    <s v="Story"/>
    <s v="Check out our latest story on instagram!"/>
    <n v="4332"/>
    <n v="771"/>
    <n v="219"/>
    <n v="60648"/>
    <n v="60397"/>
    <n v="10"/>
    <s v="#TeslaCoInnovation"/>
    <s v="#EVRevolution"/>
    <s v="#BetterWithTesla"/>
    <x v="2"/>
    <n v="8.7752275425405618E-2"/>
  </r>
  <r>
    <s v="P261"/>
    <s v="Instagram"/>
    <d v="2024-10-27T00:00:00"/>
    <s v="Image"/>
    <s v="Check out our latest image on instagram!"/>
    <n v="4853"/>
    <n v="837"/>
    <n v="340"/>
    <n v="72795"/>
    <n v="72237"/>
    <n v="170"/>
    <s v="#EVRevolution"/>
    <s v="no data"/>
    <s v="no data"/>
    <x v="0"/>
    <n v="8.2835359571399134E-2"/>
  </r>
  <r>
    <s v="P262"/>
    <s v="YouTube"/>
    <d v="2025-01-18T00:00:00"/>
    <s v="Image"/>
    <s v="Check out our latest image on youtube!"/>
    <n v="1206"/>
    <n v="238"/>
    <n v="36"/>
    <n v="9648"/>
    <n v="9417"/>
    <n v="237"/>
    <s v="#TeslaCoInnovation"/>
    <s v="no data"/>
    <s v="no data"/>
    <x v="4"/>
    <n v="0.15339966832504145"/>
  </r>
  <r>
    <s v="P263"/>
    <s v="Instagram"/>
    <d v="2024-08-20T00:00:00"/>
    <s v="Reel"/>
    <s v="Check out our latest reel on instagram!"/>
    <n v="2603"/>
    <n v="690"/>
    <n v="205"/>
    <n v="13015"/>
    <n v="12130"/>
    <n v="20"/>
    <s v="#FutureOfDriving"/>
    <s v="no data"/>
    <s v="no data"/>
    <x v="1"/>
    <n v="0.26876680752977333"/>
  </r>
  <r>
    <s v="P264"/>
    <s v="Twitter"/>
    <d v="2025-01-30T00:00:00"/>
    <s v="Image"/>
    <s v="Check out our latest image on twitter!"/>
    <n v="59"/>
    <n v="163"/>
    <n v="93"/>
    <n v="590"/>
    <n v="475"/>
    <n v="293"/>
    <s v="#TeslaCoInnovation"/>
    <s v="no data"/>
    <s v="no data"/>
    <x v="1"/>
    <n v="0.53389830508474578"/>
  </r>
  <r>
    <s v="P265"/>
    <s v="Twitter"/>
    <d v="2025-02-20T00:00:00"/>
    <s v="Carousel"/>
    <s v="Check out our latest carousel on twitter!"/>
    <n v="1877"/>
    <n v="745"/>
    <n v="225"/>
    <n v="11262"/>
    <n v="10967"/>
    <n v="41"/>
    <s v="#EVRevolution"/>
    <s v="no data"/>
    <s v="no data"/>
    <x v="3"/>
    <n v="0.25279701651571657"/>
  </r>
  <r>
    <s v="P266"/>
    <s v="Facebook"/>
    <d v="2024-11-25T00:00:00"/>
    <s v="Story"/>
    <s v="Check out our latest story on facebook!"/>
    <n v="4182"/>
    <n v="640"/>
    <n v="240"/>
    <n v="50184"/>
    <n v="49351"/>
    <n v="10"/>
    <s v="#TeslaCoInnovation"/>
    <s v="no data"/>
    <s v="no data"/>
    <x v="2"/>
    <n v="0.10086880280567512"/>
  </r>
  <r>
    <s v="P267"/>
    <s v="Twitter"/>
    <d v="2024-10-04T00:00:00"/>
    <s v="Reel"/>
    <s v="Check out our latest reel on twitter!"/>
    <n v="4187"/>
    <n v="66"/>
    <n v="31"/>
    <n v="66992"/>
    <n v="66614"/>
    <n v="62"/>
    <s v="#FutureOfDriving"/>
    <s v="no data"/>
    <s v="no data"/>
    <x v="4"/>
    <n v="6.3947934081681396E-2"/>
  </r>
  <r>
    <s v="P268"/>
    <s v="Instagram"/>
    <d v="2025-04-13T00:00:00"/>
    <s v="Reel"/>
    <s v="Check out our latest reel on instagram!"/>
    <n v="4579"/>
    <n v="125"/>
    <n v="300"/>
    <n v="59527"/>
    <n v="59400"/>
    <n v="269"/>
    <s v="#EVRevolution"/>
    <s v="no data"/>
    <s v="no data"/>
    <x v="0"/>
    <n v="8.4062694239588759E-2"/>
  </r>
  <r>
    <s v="P269"/>
    <s v="Instagram"/>
    <d v="2024-11-05T00:00:00"/>
    <s v="Video"/>
    <s v="Check out our latest video on instagram!"/>
    <n v="4561"/>
    <n v="51"/>
    <n v="441"/>
    <n v="22805"/>
    <n v="21890"/>
    <n v="45"/>
    <s v="#TeslaCoInnovation"/>
    <s v="no data"/>
    <s v="no data"/>
    <x v="1"/>
    <n v="0.22157421618066214"/>
  </r>
  <r>
    <s v="P270"/>
    <s v="YouTube"/>
    <d v="2025-01-15T00:00:00"/>
    <s v="Reel"/>
    <s v="Check out our latest reel on youtube!"/>
    <n v="3774"/>
    <n v="239"/>
    <n v="39"/>
    <n v="60384"/>
    <n v="59490"/>
    <n v="241"/>
    <s v="#TeslaCoInnovation"/>
    <s v="no data"/>
    <s v="no data"/>
    <x v="2"/>
    <n v="6.7103868574456813E-2"/>
  </r>
  <r>
    <s v="P271"/>
    <s v="Instagram"/>
    <d v="2024-10-17T00:00:00"/>
    <s v="Video"/>
    <s v="Check out our latest video on instagram!"/>
    <n v="3575"/>
    <n v="749"/>
    <n v="111"/>
    <n v="21450"/>
    <n v="20785"/>
    <n v="195"/>
    <s v="#EVRevolution"/>
    <s v="no data"/>
    <s v="no data"/>
    <x v="1"/>
    <n v="0.20675990675990677"/>
  </r>
  <r>
    <s v="P272"/>
    <s v="Instagram"/>
    <d v="2025-03-27T00:00:00"/>
    <s v="Text"/>
    <s v="Check out our latest text on instagram!"/>
    <n v="4941"/>
    <n v="414"/>
    <n v="266"/>
    <n v="39528"/>
    <n v="39154"/>
    <n v="217"/>
    <s v="#TeslaCoInnovation"/>
    <s v="no data"/>
    <s v="no data"/>
    <x v="2"/>
    <n v="0.14220299534507186"/>
  </r>
  <r>
    <s v="P273"/>
    <s v="YouTube"/>
    <d v="2024-10-12T00:00:00"/>
    <s v="Story"/>
    <s v="Check out our latest story on youtube!"/>
    <n v="3641"/>
    <n v="226"/>
    <n v="46"/>
    <n v="40051"/>
    <n v="39319"/>
    <n v="296"/>
    <s v="#EVRevolution"/>
    <s v="no data"/>
    <s v="no data"/>
    <x v="3"/>
    <n v="9.7700431949264685E-2"/>
  </r>
  <r>
    <s v="P274"/>
    <s v="Twitter"/>
    <d v="2025-01-01T00:00:00"/>
    <s v="Carousel"/>
    <s v="Check out our latest carousel on twitter!"/>
    <n v="3535"/>
    <n v="494"/>
    <n v="152"/>
    <n v="53025"/>
    <n v="52791"/>
    <n v="44"/>
    <s v="#TeslaCoInnovation"/>
    <s v="no data"/>
    <s v="no data"/>
    <x v="3"/>
    <n v="7.8849599245638849E-2"/>
  </r>
  <r>
    <s v="P275"/>
    <s v="Facebook"/>
    <d v="2024-08-05T00:00:00"/>
    <s v="Reel"/>
    <s v="Check out our latest reel on facebook!"/>
    <n v="1741"/>
    <n v="831"/>
    <n v="345"/>
    <n v="17410"/>
    <n v="16844"/>
    <n v="58"/>
    <s v="#EVRevolution"/>
    <s v="no data"/>
    <s v="no data"/>
    <x v="2"/>
    <n v="0.16754738655944859"/>
  </r>
  <r>
    <s v="P276"/>
    <s v="Twitter"/>
    <d v="2024-06-07T00:00:00"/>
    <s v="Carousel"/>
    <s v="Check out our latest carousel on twitter!"/>
    <n v="1556"/>
    <n v="195"/>
    <n v="131"/>
    <n v="9336"/>
    <n v="8875"/>
    <n v="137"/>
    <s v="#TeslaCoInnovation"/>
    <s v="no data"/>
    <s v="no data"/>
    <x v="1"/>
    <n v="0.2015852613538989"/>
  </r>
  <r>
    <s v="P277"/>
    <s v="Facebook"/>
    <d v="2025-04-06T00:00:00"/>
    <s v="Image"/>
    <s v="Check out our latest image on facebook!"/>
    <n v="4236"/>
    <n v="711"/>
    <n v="298"/>
    <n v="21180"/>
    <n v="20516"/>
    <n v="238"/>
    <s v="#FutureOfDriving"/>
    <s v="no data"/>
    <s v="no data"/>
    <x v="0"/>
    <n v="0.24763928234183191"/>
  </r>
  <r>
    <s v="P278"/>
    <s v="Twitter"/>
    <d v="2024-11-26T00:00:00"/>
    <s v="Text"/>
    <s v="Check out our latest text on twitter!"/>
    <n v="4516"/>
    <n v="836"/>
    <n v="169"/>
    <n v="49676"/>
    <n v="49257"/>
    <n v="282"/>
    <s v="#EVRevolution"/>
    <s v="no data"/>
    <s v="no data"/>
    <x v="3"/>
    <n v="0.11114018842096787"/>
  </r>
  <r>
    <s v="P279"/>
    <s v="YouTube"/>
    <d v="2024-09-02T00:00:00"/>
    <s v="Image"/>
    <s v="Check out our latest image on youtube!"/>
    <n v="4905"/>
    <n v="845"/>
    <n v="129"/>
    <n v="98100"/>
    <n v="97772"/>
    <n v="279"/>
    <s v="#TeslaCoInnovation"/>
    <s v="no data"/>
    <s v="no data"/>
    <x v="1"/>
    <n v="5.9928644240570844E-2"/>
  </r>
  <r>
    <s v="P280"/>
    <s v="YouTube"/>
    <d v="2024-10-21T00:00:00"/>
    <s v="Video"/>
    <s v="Check out our latest video on youtube!"/>
    <n v="4275"/>
    <n v="680"/>
    <n v="385"/>
    <n v="64125"/>
    <n v="63650"/>
    <n v="104"/>
    <s v="#EVRevolution"/>
    <s v="#TeslaCoInnovation"/>
    <s v="#AnytimeIsTeslaTime"/>
    <x v="3"/>
    <n v="8.3274853801169585E-2"/>
  </r>
  <r>
    <s v="P281"/>
    <s v="YouTube"/>
    <d v="2025-03-22T00:00:00"/>
    <s v="Image"/>
    <s v="Check out our latest image on youtube!"/>
    <n v="3166"/>
    <n v="90"/>
    <n v="341"/>
    <n v="56988"/>
    <n v="56125"/>
    <n v="135"/>
    <s v="#EVRevolution"/>
    <s v="no data"/>
    <s v="no data"/>
    <x v="1"/>
    <n v="6.3118551273952411E-2"/>
  </r>
  <r>
    <s v="P282"/>
    <s v="Instagram"/>
    <d v="2024-10-03T00:00:00"/>
    <s v="Video"/>
    <s v="Check out our latest video on instagram!"/>
    <n v="1488"/>
    <n v="417"/>
    <n v="168"/>
    <n v="19344"/>
    <n v="18395"/>
    <n v="30"/>
    <s v="#FutureOfDriving"/>
    <s v="no data"/>
    <s v="no data"/>
    <x v="2"/>
    <n v="0.1071650124069479"/>
  </r>
  <r>
    <s v="P283"/>
    <s v="Twitter"/>
    <d v="2025-05-09T00:00:00"/>
    <s v="Reel"/>
    <s v="Check out our latest reel on twitter!"/>
    <n v="3367"/>
    <n v="302"/>
    <n v="57"/>
    <n v="63973"/>
    <n v="63789"/>
    <n v="157"/>
    <s v="#FutureOfDriving"/>
    <s v="no data"/>
    <s v="no data"/>
    <x v="1"/>
    <n v="5.8243321401216137E-2"/>
  </r>
  <r>
    <s v="P284"/>
    <s v="Twitter"/>
    <d v="2024-09-17T00:00:00"/>
    <s v="Text"/>
    <s v="Check out our latest text on twitter!"/>
    <n v="571"/>
    <n v="190"/>
    <n v="352"/>
    <n v="9707"/>
    <n v="9418"/>
    <n v="231"/>
    <s v="#TeslaCoInnovation"/>
    <s v="no data"/>
    <s v="no data"/>
    <x v="3"/>
    <n v="0.11465952405480581"/>
  </r>
  <r>
    <s v="P285"/>
    <s v="YouTube"/>
    <d v="2024-07-18T00:00:00"/>
    <s v="Text"/>
    <s v="Check out our latest text on youtube!"/>
    <n v="4021"/>
    <n v="794"/>
    <n v="77"/>
    <n v="36189"/>
    <n v="35505"/>
    <n v="174"/>
    <s v="#EVRevolution"/>
    <s v="no data"/>
    <s v="no data"/>
    <x v="4"/>
    <n v="0.13517919809886983"/>
  </r>
  <r>
    <s v="P286"/>
    <s v="YouTube"/>
    <d v="2024-09-25T00:00:00"/>
    <s v="Video"/>
    <s v="Check out our latest video on youtube!"/>
    <n v="3389"/>
    <n v="344"/>
    <n v="229"/>
    <n v="20334"/>
    <n v="19443"/>
    <n v="228"/>
    <s v="#FutureOfDriving"/>
    <s v="no data"/>
    <s v="no data"/>
    <x v="2"/>
    <n v="0.19484607062063539"/>
  </r>
  <r>
    <s v="P287"/>
    <s v="Instagram"/>
    <d v="2024-08-15T00:00:00"/>
    <s v="Reel"/>
    <s v="Check out our latest reel on instagram!"/>
    <n v="1164"/>
    <n v="616"/>
    <n v="324"/>
    <n v="6984"/>
    <n v="6636"/>
    <n v="82"/>
    <s v="#EVRevolution"/>
    <s v="no data"/>
    <s v="no data"/>
    <x v="0"/>
    <n v="0.30126002290950743"/>
  </r>
  <r>
    <s v="P288"/>
    <s v="YouTube"/>
    <d v="2025-04-17T00:00:00"/>
    <s v="Carousel"/>
    <s v="Check out our latest carousel on youtube!"/>
    <n v="4780"/>
    <n v="691"/>
    <n v="380"/>
    <n v="86040"/>
    <n v="85743"/>
    <n v="262"/>
    <s v="#FutureOfDriving"/>
    <s v="no data"/>
    <s v="no data"/>
    <x v="2"/>
    <n v="6.800325430032543E-2"/>
  </r>
  <r>
    <s v="P289"/>
    <s v="Facebook"/>
    <d v="2024-11-28T00:00:00"/>
    <s v="Carousel"/>
    <s v="Check out our latest carousel on facebook!"/>
    <n v="2751"/>
    <n v="33"/>
    <n v="430"/>
    <n v="44016"/>
    <n v="43415"/>
    <n v="129"/>
    <s v="#FutureOfDriving"/>
    <s v="no data"/>
    <s v="no data"/>
    <x v="4"/>
    <n v="7.3018902217375503E-2"/>
  </r>
  <r>
    <s v="P290"/>
    <s v="Instagram"/>
    <d v="2024-12-20T00:00:00"/>
    <s v="Carousel"/>
    <s v="Check out our latest carousel on instagram!"/>
    <n v="2107"/>
    <n v="550"/>
    <n v="349"/>
    <n v="35819"/>
    <n v="35340"/>
    <n v="191"/>
    <s v="#EVRevolution"/>
    <s v="no data"/>
    <s v="no data"/>
    <x v="3"/>
    <n v="8.3921940869371006E-2"/>
  </r>
  <r>
    <s v="P291"/>
    <s v="Facebook"/>
    <d v="2024-11-06T00:00:00"/>
    <s v="Video"/>
    <s v="Check out our latest video on facebook!"/>
    <n v="4663"/>
    <n v="145"/>
    <n v="225"/>
    <n v="69945"/>
    <n v="69596"/>
    <n v="35"/>
    <s v="#EVRevolution"/>
    <s v="no data"/>
    <s v="no data"/>
    <x v="3"/>
    <n v="7.1956537279290869E-2"/>
  </r>
  <r>
    <s v="P292"/>
    <s v="Facebook"/>
    <d v="2024-11-17T00:00:00"/>
    <s v="Text"/>
    <s v="Check out our latest text on facebook!"/>
    <n v="880"/>
    <n v="297"/>
    <n v="345"/>
    <n v="12320"/>
    <n v="11978"/>
    <n v="238"/>
    <s v="#TeslaCoInnovation"/>
    <s v="#AnytimeIsTeslaTime"/>
    <s v="no data"/>
    <x v="4"/>
    <n v="0.12353896103896105"/>
  </r>
  <r>
    <s v="P293"/>
    <s v="Facebook"/>
    <d v="2025-05-14T00:00:00"/>
    <s v="Text"/>
    <s v="Check out our latest text on facebook!"/>
    <n v="2634"/>
    <n v="726"/>
    <n v="241"/>
    <n v="28974"/>
    <n v="28102"/>
    <n v="277"/>
    <s v="#EVRevolution"/>
    <s v="no data"/>
    <s v="no data"/>
    <x v="0"/>
    <n v="0.12428384068475185"/>
  </r>
  <r>
    <s v="P294"/>
    <s v="Facebook"/>
    <d v="2024-06-19T00:00:00"/>
    <s v="Carousel"/>
    <s v="Check out our latest carousel on facebook!"/>
    <n v="4731"/>
    <n v="173"/>
    <n v="276"/>
    <n v="28386"/>
    <n v="28185"/>
    <n v="89"/>
    <s v="#EVRevolution"/>
    <s v="no data"/>
    <s v="no data"/>
    <x v="2"/>
    <n v="0.18248432325794406"/>
  </r>
  <r>
    <s v="P295"/>
    <s v="Twitter"/>
    <d v="2025-05-06T00:00:00"/>
    <s v="Image"/>
    <s v="Check out our latest image on twitter!"/>
    <n v="1952"/>
    <n v="344"/>
    <n v="287"/>
    <n v="15616"/>
    <n v="15403"/>
    <n v="235"/>
    <s v="#FutureOfDriving"/>
    <s v="#TeslaCoInnovation"/>
    <s v="#AnytimeIsTeslaTime"/>
    <x v="1"/>
    <n v="0.16540727459016394"/>
  </r>
  <r>
    <s v="P296"/>
    <s v="Twitter"/>
    <d v="2025-02-11T00:00:00"/>
    <s v="Video"/>
    <s v="Check out our latest video on twitter!"/>
    <n v="3440"/>
    <n v="13"/>
    <n v="20"/>
    <n v="58480"/>
    <n v="58146"/>
    <n v="210"/>
    <s v="#TeslaCoInnovation"/>
    <s v="#SmoothLikeNitroTesla"/>
    <s v="no data"/>
    <x v="3"/>
    <n v="5.9387824897400819E-2"/>
  </r>
  <r>
    <s v="P297"/>
    <s v="Twitter"/>
    <d v="2024-12-24T00:00:00"/>
    <s v="Text"/>
    <s v="Check out our latest text on twitter!"/>
    <n v="2166"/>
    <n v="354"/>
    <n v="117"/>
    <n v="10830"/>
    <n v="10245"/>
    <n v="24"/>
    <s v="#EVRevolution"/>
    <s v="no data"/>
    <s v="no data"/>
    <x v="3"/>
    <n v="0.24349030470914126"/>
  </r>
  <r>
    <s v="P298"/>
    <s v="Facebook"/>
    <d v="2024-10-24T00:00:00"/>
    <s v="Image"/>
    <s v="Check out our latest image on facebook!"/>
    <n v="4303"/>
    <n v="451"/>
    <n v="286"/>
    <n v="86060"/>
    <n v="85823"/>
    <n v="14"/>
    <s v="#TeslaCoInnovation"/>
    <s v="no data"/>
    <s v="no data"/>
    <x v="2"/>
    <n v="5.8563792702765516E-2"/>
  </r>
  <r>
    <s v="P299"/>
    <s v="Facebook"/>
    <d v="2024-08-26T00:00:00"/>
    <s v="Image"/>
    <s v="Check out our latest image on facebook!"/>
    <n v="2581"/>
    <n v="517"/>
    <n v="117"/>
    <n v="23229"/>
    <n v="22331"/>
    <n v="70"/>
    <s v="#FutureOfDriving"/>
    <s v="no data"/>
    <s v="no data"/>
    <x v="2"/>
    <n v="0.13840458048129492"/>
  </r>
  <r>
    <s v="P300"/>
    <s v="Twitter"/>
    <d v="2024-08-31T00:00:00"/>
    <s v="Carousel"/>
    <s v="Check out our latest carousel on twitter!"/>
    <n v="4494"/>
    <n v="717"/>
    <n v="45"/>
    <n v="62916"/>
    <n v="62688"/>
    <n v="191"/>
    <s v="#TeslaCoInnovation"/>
    <s v="#EVRevolution"/>
    <s v="#BetterWithTesla"/>
    <x v="0"/>
    <n v="8.3539958039290485E-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1">
  <r>
    <s v="P001"/>
    <x v="0"/>
    <d v="2024-12-23T00:00:00"/>
    <x v="0"/>
    <s v="Check out our latest reel on twitter!"/>
    <n v="1461"/>
    <n v="184"/>
    <n v="344"/>
    <n v="21915"/>
    <n v="21675"/>
    <n v="15"/>
    <x v="0"/>
    <n v="9.0759753593429152E-2"/>
    <s v="Hashtags Used"/>
    <x v="0"/>
  </r>
  <r>
    <s v="P001"/>
    <x v="0"/>
    <d v="2024-12-23T00:00:00"/>
    <x v="0"/>
    <s v="Check out our latest reel on twitter!"/>
    <n v="1461"/>
    <n v="184"/>
    <n v="344"/>
    <n v="21915"/>
    <n v="21675"/>
    <n v="15"/>
    <x v="0"/>
    <n v="9.0759753593429152E-2"/>
    <s v="Hashtags-1"/>
    <x v="1"/>
  </r>
  <r>
    <s v="P001"/>
    <x v="0"/>
    <d v="2024-12-23T00:00:00"/>
    <x v="0"/>
    <s v="Check out our latest reel on twitter!"/>
    <n v="1461"/>
    <n v="184"/>
    <n v="344"/>
    <n v="21915"/>
    <n v="21675"/>
    <n v="15"/>
    <x v="0"/>
    <n v="9.0759753593429152E-2"/>
    <s v="Hashtags_2"/>
    <x v="2"/>
  </r>
  <r>
    <s v="P002"/>
    <x v="0"/>
    <d v="2025-04-03T00:00:00"/>
    <x v="1"/>
    <s v="Check out our latest text on twitter!"/>
    <n v="4054"/>
    <n v="389"/>
    <n v="493"/>
    <n v="64864"/>
    <n v="64383"/>
    <n v="117"/>
    <x v="1"/>
    <n v="7.6097681302417369E-2"/>
    <s v="Hashtags Used"/>
    <x v="3"/>
  </r>
  <r>
    <s v="P002"/>
    <x v="0"/>
    <d v="2025-04-03T00:00:00"/>
    <x v="1"/>
    <s v="Check out our latest text on twitter!"/>
    <n v="4054"/>
    <n v="389"/>
    <n v="493"/>
    <n v="64864"/>
    <n v="64383"/>
    <n v="117"/>
    <x v="1"/>
    <n v="7.6097681302417369E-2"/>
    <s v="Hashtags-1"/>
    <x v="4"/>
  </r>
  <r>
    <s v="P002"/>
    <x v="0"/>
    <d v="2025-04-03T00:00:00"/>
    <x v="1"/>
    <s v="Check out our latest text on twitter!"/>
    <n v="4054"/>
    <n v="389"/>
    <n v="493"/>
    <n v="64864"/>
    <n v="64383"/>
    <n v="117"/>
    <x v="1"/>
    <n v="7.6097681302417369E-2"/>
    <s v="Hashtags_2"/>
    <x v="2"/>
  </r>
  <r>
    <s v="P003"/>
    <x v="1"/>
    <d v="2025-05-12T00:00:00"/>
    <x v="0"/>
    <s v="Check out our latest reel on youtube!"/>
    <n v="2795"/>
    <n v="105"/>
    <n v="49"/>
    <n v="53105"/>
    <n v="52307"/>
    <n v="204"/>
    <x v="2"/>
    <n v="5.5531494209584788E-2"/>
    <s v="Hashtags Used"/>
    <x v="3"/>
  </r>
  <r>
    <s v="P003"/>
    <x v="1"/>
    <d v="2025-05-12T00:00:00"/>
    <x v="0"/>
    <s v="Check out our latest reel on youtube!"/>
    <n v="2795"/>
    <n v="105"/>
    <n v="49"/>
    <n v="53105"/>
    <n v="52307"/>
    <n v="204"/>
    <x v="2"/>
    <n v="5.5531494209584788E-2"/>
    <s v="Hashtags-1"/>
    <x v="2"/>
  </r>
  <r>
    <s v="P003"/>
    <x v="1"/>
    <d v="2025-05-12T00:00:00"/>
    <x v="0"/>
    <s v="Check out our latest reel on youtube!"/>
    <n v="2795"/>
    <n v="105"/>
    <n v="49"/>
    <n v="53105"/>
    <n v="52307"/>
    <n v="204"/>
    <x v="2"/>
    <n v="5.5531494209584788E-2"/>
    <s v="Hashtags_2"/>
    <x v="2"/>
  </r>
  <r>
    <s v="P004"/>
    <x v="2"/>
    <d v="2024-08-12T00:00:00"/>
    <x v="2"/>
    <s v="Check out our latest story on instagram!"/>
    <n v="2404"/>
    <n v="363"/>
    <n v="138"/>
    <n v="19232"/>
    <n v="18636"/>
    <n v="128"/>
    <x v="3"/>
    <n v="0.15105033277870217"/>
    <s v="Hashtags Used"/>
    <x v="5"/>
  </r>
  <r>
    <s v="P004"/>
    <x v="2"/>
    <d v="2024-08-12T00:00:00"/>
    <x v="2"/>
    <s v="Check out our latest story on instagram!"/>
    <n v="2404"/>
    <n v="363"/>
    <n v="138"/>
    <n v="19232"/>
    <n v="18636"/>
    <n v="128"/>
    <x v="3"/>
    <n v="0.15105033277870217"/>
    <s v="Hashtags-1"/>
    <x v="2"/>
  </r>
  <r>
    <s v="P004"/>
    <x v="2"/>
    <d v="2024-08-12T00:00:00"/>
    <x v="2"/>
    <s v="Check out our latest story on instagram!"/>
    <n v="2404"/>
    <n v="363"/>
    <n v="138"/>
    <n v="19232"/>
    <n v="18636"/>
    <n v="128"/>
    <x v="3"/>
    <n v="0.15105033277870217"/>
    <s v="Hashtags_2"/>
    <x v="2"/>
  </r>
  <r>
    <s v="P005"/>
    <x v="1"/>
    <d v="2024-06-26T00:00:00"/>
    <x v="0"/>
    <s v="Check out our latest reel on youtube!"/>
    <n v="3557"/>
    <n v="687"/>
    <n v="424"/>
    <n v="71140"/>
    <n v="70701"/>
    <n v="224"/>
    <x v="0"/>
    <n v="6.5617093055946027E-2"/>
    <s v="Hashtags Used"/>
    <x v="5"/>
  </r>
  <r>
    <s v="P005"/>
    <x v="1"/>
    <d v="2024-06-26T00:00:00"/>
    <x v="0"/>
    <s v="Check out our latest reel on youtube!"/>
    <n v="3557"/>
    <n v="687"/>
    <n v="424"/>
    <n v="71140"/>
    <n v="70701"/>
    <n v="224"/>
    <x v="0"/>
    <n v="6.5617093055946027E-2"/>
    <s v="Hashtags-1"/>
    <x v="3"/>
  </r>
  <r>
    <s v="P005"/>
    <x v="1"/>
    <d v="2024-06-26T00:00:00"/>
    <x v="0"/>
    <s v="Check out our latest reel on youtube!"/>
    <n v="3557"/>
    <n v="687"/>
    <n v="424"/>
    <n v="71140"/>
    <n v="70701"/>
    <n v="224"/>
    <x v="0"/>
    <n v="6.5617093055946027E-2"/>
    <s v="Hashtags_2"/>
    <x v="2"/>
  </r>
  <r>
    <s v="P006"/>
    <x v="3"/>
    <d v="2024-10-31T00:00:00"/>
    <x v="3"/>
    <s v="Check out our latest carousel on facebook!"/>
    <n v="2945"/>
    <n v="930"/>
    <n v="355"/>
    <n v="23560"/>
    <n v="23275"/>
    <n v="256"/>
    <x v="1"/>
    <n v="0.17954159592529711"/>
    <s v="Hashtags Used"/>
    <x v="3"/>
  </r>
  <r>
    <s v="P006"/>
    <x v="3"/>
    <d v="2024-10-31T00:00:00"/>
    <x v="3"/>
    <s v="Check out our latest carousel on facebook!"/>
    <n v="2945"/>
    <n v="930"/>
    <n v="355"/>
    <n v="23560"/>
    <n v="23275"/>
    <n v="256"/>
    <x v="1"/>
    <n v="0.17954159592529711"/>
    <s v="Hashtags-1"/>
    <x v="2"/>
  </r>
  <r>
    <s v="P006"/>
    <x v="3"/>
    <d v="2024-10-31T00:00:00"/>
    <x v="3"/>
    <s v="Check out our latest carousel on facebook!"/>
    <n v="2945"/>
    <n v="930"/>
    <n v="355"/>
    <n v="23560"/>
    <n v="23275"/>
    <n v="256"/>
    <x v="1"/>
    <n v="0.17954159592529711"/>
    <s v="Hashtags_2"/>
    <x v="2"/>
  </r>
  <r>
    <s v="P007"/>
    <x v="0"/>
    <d v="2024-06-24T00:00:00"/>
    <x v="3"/>
    <s v="Check out our latest carousel on twitter!"/>
    <n v="3860"/>
    <n v="201"/>
    <n v="279"/>
    <n v="61760"/>
    <n v="61660"/>
    <n v="235"/>
    <x v="1"/>
    <n v="7.0272020725388601E-2"/>
    <s v="Hashtags Used"/>
    <x v="3"/>
  </r>
  <r>
    <s v="P007"/>
    <x v="0"/>
    <d v="2024-06-24T00:00:00"/>
    <x v="3"/>
    <s v="Check out our latest carousel on twitter!"/>
    <n v="3860"/>
    <n v="201"/>
    <n v="279"/>
    <n v="61760"/>
    <n v="61660"/>
    <n v="235"/>
    <x v="1"/>
    <n v="7.0272020725388601E-2"/>
    <s v="Hashtags-1"/>
    <x v="2"/>
  </r>
  <r>
    <s v="P007"/>
    <x v="0"/>
    <d v="2024-06-24T00:00:00"/>
    <x v="3"/>
    <s v="Check out our latest carousel on twitter!"/>
    <n v="3860"/>
    <n v="201"/>
    <n v="279"/>
    <n v="61760"/>
    <n v="61660"/>
    <n v="235"/>
    <x v="1"/>
    <n v="7.0272020725388601E-2"/>
    <s v="Hashtags_2"/>
    <x v="2"/>
  </r>
  <r>
    <s v="P008"/>
    <x v="1"/>
    <d v="2024-07-13T00:00:00"/>
    <x v="4"/>
    <s v="Check out our latest image on youtube!"/>
    <n v="3929"/>
    <n v="262"/>
    <n v="278"/>
    <n v="43219"/>
    <n v="42841"/>
    <n v="39"/>
    <x v="3"/>
    <n v="0.10340359564080613"/>
    <s v="Hashtags Used"/>
    <x v="5"/>
  </r>
  <r>
    <s v="P008"/>
    <x v="1"/>
    <d v="2024-07-13T00:00:00"/>
    <x v="4"/>
    <s v="Check out our latest image on youtube!"/>
    <n v="3929"/>
    <n v="262"/>
    <n v="278"/>
    <n v="43219"/>
    <n v="42841"/>
    <n v="39"/>
    <x v="3"/>
    <n v="0.10340359564080613"/>
    <s v="Hashtags-1"/>
    <x v="2"/>
  </r>
  <r>
    <s v="P008"/>
    <x v="1"/>
    <d v="2024-07-13T00:00:00"/>
    <x v="4"/>
    <s v="Check out our latest image on youtube!"/>
    <n v="3929"/>
    <n v="262"/>
    <n v="278"/>
    <n v="43219"/>
    <n v="42841"/>
    <n v="39"/>
    <x v="3"/>
    <n v="0.10340359564080613"/>
    <s v="Hashtags_2"/>
    <x v="2"/>
  </r>
  <r>
    <s v="P009"/>
    <x v="3"/>
    <d v="2024-08-30T00:00:00"/>
    <x v="1"/>
    <s v="Check out our latest text on facebook!"/>
    <n v="3784"/>
    <n v="808"/>
    <n v="404"/>
    <n v="56760"/>
    <n v="56343"/>
    <n v="131"/>
    <x v="1"/>
    <n v="8.8019732205778717E-2"/>
    <s v="Hashtags Used"/>
    <x v="3"/>
  </r>
  <r>
    <s v="P009"/>
    <x v="3"/>
    <d v="2024-08-30T00:00:00"/>
    <x v="1"/>
    <s v="Check out our latest text on facebook!"/>
    <n v="3784"/>
    <n v="808"/>
    <n v="404"/>
    <n v="56760"/>
    <n v="56343"/>
    <n v="131"/>
    <x v="1"/>
    <n v="8.8019732205778717E-2"/>
    <s v="Hashtags-1"/>
    <x v="2"/>
  </r>
  <r>
    <s v="P009"/>
    <x v="3"/>
    <d v="2024-08-30T00:00:00"/>
    <x v="1"/>
    <s v="Check out our latest text on facebook!"/>
    <n v="3784"/>
    <n v="808"/>
    <n v="404"/>
    <n v="56760"/>
    <n v="56343"/>
    <n v="131"/>
    <x v="1"/>
    <n v="8.8019732205778717E-2"/>
    <s v="Hashtags_2"/>
    <x v="2"/>
  </r>
  <r>
    <s v="P010"/>
    <x v="3"/>
    <d v="2025-03-11T00:00:00"/>
    <x v="4"/>
    <s v="Check out our latest image on facebook!"/>
    <n v="4241"/>
    <n v="902"/>
    <n v="47"/>
    <n v="72097"/>
    <n v="71598"/>
    <n v="167"/>
    <x v="1"/>
    <n v="7.198635172059864E-2"/>
    <s v="Hashtags Used"/>
    <x v="3"/>
  </r>
  <r>
    <s v="P010"/>
    <x v="3"/>
    <d v="2025-03-11T00:00:00"/>
    <x v="4"/>
    <s v="Check out our latest image on facebook!"/>
    <n v="4241"/>
    <n v="902"/>
    <n v="47"/>
    <n v="72097"/>
    <n v="71598"/>
    <n v="167"/>
    <x v="1"/>
    <n v="7.198635172059864E-2"/>
    <s v="Hashtags-1"/>
    <x v="2"/>
  </r>
  <r>
    <s v="P010"/>
    <x v="3"/>
    <d v="2025-03-11T00:00:00"/>
    <x v="4"/>
    <s v="Check out our latest image on facebook!"/>
    <n v="4241"/>
    <n v="902"/>
    <n v="47"/>
    <n v="72097"/>
    <n v="71598"/>
    <n v="167"/>
    <x v="1"/>
    <n v="7.198635172059864E-2"/>
    <s v="Hashtags_2"/>
    <x v="2"/>
  </r>
  <r>
    <s v="P011"/>
    <x v="2"/>
    <d v="2025-02-02T00:00:00"/>
    <x v="2"/>
    <s v="Check out our latest story on instagram!"/>
    <n v="1792"/>
    <n v="614"/>
    <n v="497"/>
    <n v="25088"/>
    <n v="24675"/>
    <n v="65"/>
    <x v="3"/>
    <n v="0.11571269132653061"/>
    <s v="Hashtags Used"/>
    <x v="0"/>
  </r>
  <r>
    <s v="P011"/>
    <x v="2"/>
    <d v="2025-02-02T00:00:00"/>
    <x v="2"/>
    <s v="Check out our latest story on instagram!"/>
    <n v="1792"/>
    <n v="614"/>
    <n v="497"/>
    <n v="25088"/>
    <n v="24675"/>
    <n v="65"/>
    <x v="3"/>
    <n v="0.11571269132653061"/>
    <s v="Hashtags-1"/>
    <x v="2"/>
  </r>
  <r>
    <s v="P011"/>
    <x v="2"/>
    <d v="2025-02-02T00:00:00"/>
    <x v="2"/>
    <s v="Check out our latest story on instagram!"/>
    <n v="1792"/>
    <n v="614"/>
    <n v="497"/>
    <n v="25088"/>
    <n v="24675"/>
    <n v="65"/>
    <x v="3"/>
    <n v="0.11571269132653061"/>
    <s v="Hashtags_2"/>
    <x v="2"/>
  </r>
  <r>
    <s v="P012"/>
    <x v="3"/>
    <d v="2024-07-21T00:00:00"/>
    <x v="0"/>
    <s v="Check out our latest reel on facebook!"/>
    <n v="1946"/>
    <n v="686"/>
    <n v="377"/>
    <n v="23352"/>
    <n v="22982"/>
    <n v="213"/>
    <x v="2"/>
    <n v="0.12885405960945528"/>
    <s v="Hashtags Used"/>
    <x v="0"/>
  </r>
  <r>
    <s v="P012"/>
    <x v="3"/>
    <d v="2024-07-21T00:00:00"/>
    <x v="0"/>
    <s v="Check out our latest reel on facebook!"/>
    <n v="1946"/>
    <n v="686"/>
    <n v="377"/>
    <n v="23352"/>
    <n v="22982"/>
    <n v="213"/>
    <x v="2"/>
    <n v="0.12885405960945528"/>
    <s v="Hashtags-1"/>
    <x v="2"/>
  </r>
  <r>
    <s v="P012"/>
    <x v="3"/>
    <d v="2024-07-21T00:00:00"/>
    <x v="0"/>
    <s v="Check out our latest reel on facebook!"/>
    <n v="1946"/>
    <n v="686"/>
    <n v="377"/>
    <n v="23352"/>
    <n v="22982"/>
    <n v="213"/>
    <x v="2"/>
    <n v="0.12885405960945528"/>
    <s v="Hashtags_2"/>
    <x v="2"/>
  </r>
  <r>
    <s v="P013"/>
    <x v="1"/>
    <d v="2024-11-18T00:00:00"/>
    <x v="3"/>
    <s v="Check out our latest carousel on youtube!"/>
    <n v="1171"/>
    <n v="286"/>
    <n v="231"/>
    <n v="22249"/>
    <n v="21282"/>
    <n v="114"/>
    <x v="0"/>
    <n v="7.5868578363072495E-2"/>
    <s v="Hashtags Used"/>
    <x v="5"/>
  </r>
  <r>
    <s v="P013"/>
    <x v="1"/>
    <d v="2024-11-18T00:00:00"/>
    <x v="3"/>
    <s v="Check out our latest carousel on youtube!"/>
    <n v="1171"/>
    <n v="286"/>
    <n v="231"/>
    <n v="22249"/>
    <n v="21282"/>
    <n v="114"/>
    <x v="0"/>
    <n v="7.5868578363072495E-2"/>
    <s v="Hashtags-1"/>
    <x v="2"/>
  </r>
  <r>
    <s v="P013"/>
    <x v="1"/>
    <d v="2024-11-18T00:00:00"/>
    <x v="3"/>
    <s v="Check out our latest carousel on youtube!"/>
    <n v="1171"/>
    <n v="286"/>
    <n v="231"/>
    <n v="22249"/>
    <n v="21282"/>
    <n v="114"/>
    <x v="0"/>
    <n v="7.5868578363072495E-2"/>
    <s v="Hashtags_2"/>
    <x v="2"/>
  </r>
  <r>
    <s v="P014"/>
    <x v="3"/>
    <d v="2025-02-16T00:00:00"/>
    <x v="2"/>
    <s v="Check out our latest story on facebook!"/>
    <n v="4242"/>
    <n v="555"/>
    <n v="131"/>
    <n v="33936"/>
    <n v="33802"/>
    <n v="265"/>
    <x v="4"/>
    <n v="0.14521452145214522"/>
    <s v="Hashtags Used"/>
    <x v="0"/>
  </r>
  <r>
    <s v="P014"/>
    <x v="3"/>
    <d v="2025-02-16T00:00:00"/>
    <x v="2"/>
    <s v="Check out our latest story on facebook!"/>
    <n v="4242"/>
    <n v="555"/>
    <n v="131"/>
    <n v="33936"/>
    <n v="33802"/>
    <n v="265"/>
    <x v="4"/>
    <n v="0.14521452145214522"/>
    <s v="Hashtags-1"/>
    <x v="2"/>
  </r>
  <r>
    <s v="P014"/>
    <x v="3"/>
    <d v="2025-02-16T00:00:00"/>
    <x v="2"/>
    <s v="Check out our latest story on facebook!"/>
    <n v="4242"/>
    <n v="555"/>
    <n v="131"/>
    <n v="33936"/>
    <n v="33802"/>
    <n v="265"/>
    <x v="4"/>
    <n v="0.14521452145214522"/>
    <s v="Hashtags_2"/>
    <x v="2"/>
  </r>
  <r>
    <s v="P015"/>
    <x v="3"/>
    <d v="2024-10-24T00:00:00"/>
    <x v="5"/>
    <s v="Check out our latest video on facebook!"/>
    <n v="3888"/>
    <n v="604"/>
    <n v="128"/>
    <n v="77760"/>
    <n v="77167"/>
    <n v="20"/>
    <x v="0"/>
    <n v="5.941358024691358E-2"/>
    <s v="Hashtags Used"/>
    <x v="0"/>
  </r>
  <r>
    <s v="P015"/>
    <x v="3"/>
    <d v="2024-10-24T00:00:00"/>
    <x v="5"/>
    <s v="Check out our latest video on facebook!"/>
    <n v="3888"/>
    <n v="604"/>
    <n v="128"/>
    <n v="77760"/>
    <n v="77167"/>
    <n v="20"/>
    <x v="0"/>
    <n v="5.941358024691358E-2"/>
    <s v="Hashtags-1"/>
    <x v="2"/>
  </r>
  <r>
    <s v="P015"/>
    <x v="3"/>
    <d v="2024-10-24T00:00:00"/>
    <x v="5"/>
    <s v="Check out our latest video on facebook!"/>
    <n v="3888"/>
    <n v="604"/>
    <n v="128"/>
    <n v="77760"/>
    <n v="77167"/>
    <n v="20"/>
    <x v="0"/>
    <n v="5.941358024691358E-2"/>
    <s v="Hashtags_2"/>
    <x v="2"/>
  </r>
  <r>
    <s v="P016"/>
    <x v="3"/>
    <d v="2024-08-26T00:00:00"/>
    <x v="1"/>
    <s v="Check out our latest text on facebook!"/>
    <n v="3452"/>
    <n v="377"/>
    <n v="360"/>
    <n v="55232"/>
    <n v="55075"/>
    <n v="87"/>
    <x v="2"/>
    <n v="7.5843713789107758E-2"/>
    <s v="Hashtags Used"/>
    <x v="0"/>
  </r>
  <r>
    <s v="P016"/>
    <x v="3"/>
    <d v="2024-08-26T00:00:00"/>
    <x v="1"/>
    <s v="Check out our latest text on facebook!"/>
    <n v="3452"/>
    <n v="377"/>
    <n v="360"/>
    <n v="55232"/>
    <n v="55075"/>
    <n v="87"/>
    <x v="2"/>
    <n v="7.5843713789107758E-2"/>
    <s v="Hashtags-1"/>
    <x v="2"/>
  </r>
  <r>
    <s v="P016"/>
    <x v="3"/>
    <d v="2024-08-26T00:00:00"/>
    <x v="1"/>
    <s v="Check out our latest text on facebook!"/>
    <n v="3452"/>
    <n v="377"/>
    <n v="360"/>
    <n v="55232"/>
    <n v="55075"/>
    <n v="87"/>
    <x v="2"/>
    <n v="7.5843713789107758E-2"/>
    <s v="Hashtags_2"/>
    <x v="2"/>
  </r>
  <r>
    <s v="P017"/>
    <x v="3"/>
    <d v="2025-05-05T00:00:00"/>
    <x v="1"/>
    <s v="Check out our latest text on facebook!"/>
    <n v="4441"/>
    <n v="511"/>
    <n v="70"/>
    <n v="53292"/>
    <n v="53082"/>
    <n v="159"/>
    <x v="3"/>
    <n v="9.4235532537716729E-2"/>
    <s v="Hashtags Used"/>
    <x v="5"/>
  </r>
  <r>
    <s v="P017"/>
    <x v="3"/>
    <d v="2025-05-05T00:00:00"/>
    <x v="1"/>
    <s v="Check out our latest text on facebook!"/>
    <n v="4441"/>
    <n v="511"/>
    <n v="70"/>
    <n v="53292"/>
    <n v="53082"/>
    <n v="159"/>
    <x v="3"/>
    <n v="9.4235532537716729E-2"/>
    <s v="Hashtags-1"/>
    <x v="2"/>
  </r>
  <r>
    <s v="P017"/>
    <x v="3"/>
    <d v="2025-05-05T00:00:00"/>
    <x v="1"/>
    <s v="Check out our latest text on facebook!"/>
    <n v="4441"/>
    <n v="511"/>
    <n v="70"/>
    <n v="53292"/>
    <n v="53082"/>
    <n v="159"/>
    <x v="3"/>
    <n v="9.4235532537716729E-2"/>
    <s v="Hashtags_2"/>
    <x v="2"/>
  </r>
  <r>
    <s v="P018"/>
    <x v="2"/>
    <d v="2024-08-19T00:00:00"/>
    <x v="0"/>
    <s v="Check out our latest reel on instagram!"/>
    <n v="3000"/>
    <n v="382"/>
    <n v="325"/>
    <n v="36000"/>
    <n v="35819"/>
    <n v="19"/>
    <x v="0"/>
    <n v="0.10297222222222223"/>
    <s v="Hashtags Used"/>
    <x v="0"/>
  </r>
  <r>
    <s v="P018"/>
    <x v="2"/>
    <d v="2024-08-19T00:00:00"/>
    <x v="0"/>
    <s v="Check out our latest reel on instagram!"/>
    <n v="3000"/>
    <n v="382"/>
    <n v="325"/>
    <n v="36000"/>
    <n v="35819"/>
    <n v="19"/>
    <x v="0"/>
    <n v="0.10297222222222223"/>
    <s v="Hashtags-1"/>
    <x v="2"/>
  </r>
  <r>
    <s v="P018"/>
    <x v="2"/>
    <d v="2024-08-19T00:00:00"/>
    <x v="0"/>
    <s v="Check out our latest reel on instagram!"/>
    <n v="3000"/>
    <n v="382"/>
    <n v="325"/>
    <n v="36000"/>
    <n v="35819"/>
    <n v="19"/>
    <x v="0"/>
    <n v="0.10297222222222223"/>
    <s v="Hashtags_2"/>
    <x v="2"/>
  </r>
  <r>
    <s v="P019"/>
    <x v="2"/>
    <d v="2024-06-23T00:00:00"/>
    <x v="5"/>
    <s v="Check out our latest video on instagram!"/>
    <n v="1071"/>
    <n v="519"/>
    <n v="22"/>
    <n v="16065"/>
    <n v="15865"/>
    <n v="103"/>
    <x v="3"/>
    <n v="0.10034235916588857"/>
    <s v="Hashtags Used"/>
    <x v="3"/>
  </r>
  <r>
    <s v="P019"/>
    <x v="2"/>
    <d v="2024-06-23T00:00:00"/>
    <x v="5"/>
    <s v="Check out our latest video on instagram!"/>
    <n v="1071"/>
    <n v="519"/>
    <n v="22"/>
    <n v="16065"/>
    <n v="15865"/>
    <n v="103"/>
    <x v="3"/>
    <n v="0.10034235916588857"/>
    <s v="Hashtags-1"/>
    <x v="2"/>
  </r>
  <r>
    <s v="P019"/>
    <x v="2"/>
    <d v="2024-06-23T00:00:00"/>
    <x v="5"/>
    <s v="Check out our latest video on instagram!"/>
    <n v="1071"/>
    <n v="519"/>
    <n v="22"/>
    <n v="16065"/>
    <n v="15865"/>
    <n v="103"/>
    <x v="3"/>
    <n v="0.10034235916588857"/>
    <s v="Hashtags_2"/>
    <x v="2"/>
  </r>
  <r>
    <s v="P020"/>
    <x v="2"/>
    <d v="2024-09-09T00:00:00"/>
    <x v="3"/>
    <s v="Check out our latest carousel on instagram!"/>
    <n v="4054"/>
    <n v="488"/>
    <n v="373"/>
    <n v="77026"/>
    <n v="76881"/>
    <n v="25"/>
    <x v="0"/>
    <n v="6.3809622724794221E-2"/>
    <s v="Hashtags Used"/>
    <x v="3"/>
  </r>
  <r>
    <s v="P020"/>
    <x v="2"/>
    <d v="2024-09-09T00:00:00"/>
    <x v="3"/>
    <s v="Check out our latest carousel on instagram!"/>
    <n v="4054"/>
    <n v="488"/>
    <n v="373"/>
    <n v="77026"/>
    <n v="76881"/>
    <n v="25"/>
    <x v="0"/>
    <n v="6.3809622724794221E-2"/>
    <s v="Hashtags-1"/>
    <x v="2"/>
  </r>
  <r>
    <s v="P020"/>
    <x v="2"/>
    <d v="2024-09-09T00:00:00"/>
    <x v="3"/>
    <s v="Check out our latest carousel on instagram!"/>
    <n v="4054"/>
    <n v="488"/>
    <n v="373"/>
    <n v="77026"/>
    <n v="76881"/>
    <n v="25"/>
    <x v="0"/>
    <n v="6.3809622724794221E-2"/>
    <s v="Hashtags_2"/>
    <x v="2"/>
  </r>
  <r>
    <s v="P021"/>
    <x v="2"/>
    <d v="2025-01-04T00:00:00"/>
    <x v="0"/>
    <s v="Check out our latest reel on instagram!"/>
    <n v="4838"/>
    <n v="640"/>
    <n v="128"/>
    <n v="72570"/>
    <n v="72396"/>
    <n v="83"/>
    <x v="3"/>
    <n v="7.7249552156538517E-2"/>
    <s v="Hashtags Used"/>
    <x v="0"/>
  </r>
  <r>
    <s v="P021"/>
    <x v="2"/>
    <d v="2025-01-04T00:00:00"/>
    <x v="0"/>
    <s v="Check out our latest reel on instagram!"/>
    <n v="4838"/>
    <n v="640"/>
    <n v="128"/>
    <n v="72570"/>
    <n v="72396"/>
    <n v="83"/>
    <x v="3"/>
    <n v="7.7249552156538517E-2"/>
    <s v="Hashtags-1"/>
    <x v="2"/>
  </r>
  <r>
    <s v="P021"/>
    <x v="2"/>
    <d v="2025-01-04T00:00:00"/>
    <x v="0"/>
    <s v="Check out our latest reel on instagram!"/>
    <n v="4838"/>
    <n v="640"/>
    <n v="128"/>
    <n v="72570"/>
    <n v="72396"/>
    <n v="83"/>
    <x v="3"/>
    <n v="7.7249552156538517E-2"/>
    <s v="Hashtags_2"/>
    <x v="2"/>
  </r>
  <r>
    <s v="P022"/>
    <x v="3"/>
    <d v="2025-02-27T00:00:00"/>
    <x v="1"/>
    <s v="Check out our latest text on facebook!"/>
    <n v="1570"/>
    <n v="187"/>
    <n v="260"/>
    <n v="25120"/>
    <n v="24613"/>
    <n v="133"/>
    <x v="3"/>
    <n v="8.0294585987261149E-2"/>
    <s v="Hashtags Used"/>
    <x v="3"/>
  </r>
  <r>
    <s v="P022"/>
    <x v="3"/>
    <d v="2025-02-27T00:00:00"/>
    <x v="1"/>
    <s v="Check out our latest text on facebook!"/>
    <n v="1570"/>
    <n v="187"/>
    <n v="260"/>
    <n v="25120"/>
    <n v="24613"/>
    <n v="133"/>
    <x v="3"/>
    <n v="8.0294585987261149E-2"/>
    <s v="Hashtags-1"/>
    <x v="2"/>
  </r>
  <r>
    <s v="P022"/>
    <x v="3"/>
    <d v="2025-02-27T00:00:00"/>
    <x v="1"/>
    <s v="Check out our latest text on facebook!"/>
    <n v="1570"/>
    <n v="187"/>
    <n v="260"/>
    <n v="25120"/>
    <n v="24613"/>
    <n v="133"/>
    <x v="3"/>
    <n v="8.0294585987261149E-2"/>
    <s v="Hashtags_2"/>
    <x v="2"/>
  </r>
  <r>
    <s v="P023"/>
    <x v="3"/>
    <d v="2024-11-06T00:00:00"/>
    <x v="5"/>
    <s v="Check out our latest video on facebook!"/>
    <n v="1606"/>
    <n v="547"/>
    <n v="316"/>
    <n v="32120"/>
    <n v="31736"/>
    <n v="225"/>
    <x v="1"/>
    <n v="7.6867995018679955E-2"/>
    <s v="Hashtags Used"/>
    <x v="3"/>
  </r>
  <r>
    <s v="P023"/>
    <x v="3"/>
    <d v="2024-11-06T00:00:00"/>
    <x v="5"/>
    <s v="Check out our latest video on facebook!"/>
    <n v="1606"/>
    <n v="547"/>
    <n v="316"/>
    <n v="32120"/>
    <n v="31736"/>
    <n v="225"/>
    <x v="1"/>
    <n v="7.6867995018679955E-2"/>
    <s v="Hashtags-1"/>
    <x v="1"/>
  </r>
  <r>
    <s v="P023"/>
    <x v="3"/>
    <d v="2024-11-06T00:00:00"/>
    <x v="5"/>
    <s v="Check out our latest video on facebook!"/>
    <n v="1606"/>
    <n v="547"/>
    <n v="316"/>
    <n v="32120"/>
    <n v="31736"/>
    <n v="225"/>
    <x v="1"/>
    <n v="7.6867995018679955E-2"/>
    <s v="Hashtags_2"/>
    <x v="2"/>
  </r>
  <r>
    <s v="P024"/>
    <x v="3"/>
    <d v="2025-01-23T00:00:00"/>
    <x v="5"/>
    <s v="Check out our latest video on facebook!"/>
    <n v="3961"/>
    <n v="761"/>
    <n v="131"/>
    <n v="67337"/>
    <n v="66615"/>
    <n v="161"/>
    <x v="2"/>
    <n v="7.2070332803659209E-2"/>
    <s v="Hashtags Used"/>
    <x v="0"/>
  </r>
  <r>
    <s v="P024"/>
    <x v="3"/>
    <d v="2025-01-23T00:00:00"/>
    <x v="5"/>
    <s v="Check out our latest video on facebook!"/>
    <n v="3961"/>
    <n v="761"/>
    <n v="131"/>
    <n v="67337"/>
    <n v="66615"/>
    <n v="161"/>
    <x v="2"/>
    <n v="7.2070332803659209E-2"/>
    <s v="Hashtags-1"/>
    <x v="2"/>
  </r>
  <r>
    <s v="P024"/>
    <x v="3"/>
    <d v="2025-01-23T00:00:00"/>
    <x v="5"/>
    <s v="Check out our latest video on facebook!"/>
    <n v="3961"/>
    <n v="761"/>
    <n v="131"/>
    <n v="67337"/>
    <n v="66615"/>
    <n v="161"/>
    <x v="2"/>
    <n v="7.2070332803659209E-2"/>
    <s v="Hashtags_2"/>
    <x v="2"/>
  </r>
  <r>
    <s v="P025"/>
    <x v="0"/>
    <d v="2025-04-10T00:00:00"/>
    <x v="3"/>
    <s v="Check out our latest carousel on twitter!"/>
    <n v="3128"/>
    <n v="211"/>
    <n v="197"/>
    <n v="59432"/>
    <n v="59182"/>
    <n v="238"/>
    <x v="4"/>
    <n v="5.9496567505720827E-2"/>
    <s v="Hashtags Used"/>
    <x v="5"/>
  </r>
  <r>
    <s v="P025"/>
    <x v="0"/>
    <d v="2025-04-10T00:00:00"/>
    <x v="3"/>
    <s v="Check out our latest carousel on twitter!"/>
    <n v="3128"/>
    <n v="211"/>
    <n v="197"/>
    <n v="59432"/>
    <n v="59182"/>
    <n v="238"/>
    <x v="4"/>
    <n v="5.9496567505720827E-2"/>
    <s v="Hashtags-1"/>
    <x v="2"/>
  </r>
  <r>
    <s v="P025"/>
    <x v="0"/>
    <d v="2025-04-10T00:00:00"/>
    <x v="3"/>
    <s v="Check out our latest carousel on twitter!"/>
    <n v="3128"/>
    <n v="211"/>
    <n v="197"/>
    <n v="59432"/>
    <n v="59182"/>
    <n v="238"/>
    <x v="4"/>
    <n v="5.9496567505720827E-2"/>
    <s v="Hashtags_2"/>
    <x v="2"/>
  </r>
  <r>
    <s v="P026"/>
    <x v="1"/>
    <d v="2025-04-05T00:00:00"/>
    <x v="0"/>
    <s v="Check out our latest reel on youtube!"/>
    <n v="3009"/>
    <n v="413"/>
    <n v="358"/>
    <n v="42126"/>
    <n v="41309"/>
    <n v="211"/>
    <x v="1"/>
    <n v="8.9730807577268201E-2"/>
    <s v="Hashtags Used"/>
    <x v="0"/>
  </r>
  <r>
    <s v="P026"/>
    <x v="1"/>
    <d v="2025-04-05T00:00:00"/>
    <x v="0"/>
    <s v="Check out our latest reel on youtube!"/>
    <n v="3009"/>
    <n v="413"/>
    <n v="358"/>
    <n v="42126"/>
    <n v="41309"/>
    <n v="211"/>
    <x v="1"/>
    <n v="8.9730807577268201E-2"/>
    <s v="Hashtags-1"/>
    <x v="2"/>
  </r>
  <r>
    <s v="P026"/>
    <x v="1"/>
    <d v="2025-04-05T00:00:00"/>
    <x v="0"/>
    <s v="Check out our latest reel on youtube!"/>
    <n v="3009"/>
    <n v="413"/>
    <n v="358"/>
    <n v="42126"/>
    <n v="41309"/>
    <n v="211"/>
    <x v="1"/>
    <n v="8.9730807577268201E-2"/>
    <s v="Hashtags_2"/>
    <x v="2"/>
  </r>
  <r>
    <s v="P027"/>
    <x v="1"/>
    <d v="2024-09-17T00:00:00"/>
    <x v="1"/>
    <s v="Check out our latest text on youtube!"/>
    <n v="2076"/>
    <n v="195"/>
    <n v="104"/>
    <n v="33216"/>
    <n v="32244"/>
    <n v="51"/>
    <x v="3"/>
    <n v="7.1501685934489398E-2"/>
    <s v="Hashtags Used"/>
    <x v="0"/>
  </r>
  <r>
    <s v="P027"/>
    <x v="1"/>
    <d v="2024-09-17T00:00:00"/>
    <x v="1"/>
    <s v="Check out our latest text on youtube!"/>
    <n v="2076"/>
    <n v="195"/>
    <n v="104"/>
    <n v="33216"/>
    <n v="32244"/>
    <n v="51"/>
    <x v="3"/>
    <n v="7.1501685934489398E-2"/>
    <s v="Hashtags-1"/>
    <x v="2"/>
  </r>
  <r>
    <s v="P027"/>
    <x v="1"/>
    <d v="2024-09-17T00:00:00"/>
    <x v="1"/>
    <s v="Check out our latest text on youtube!"/>
    <n v="2076"/>
    <n v="195"/>
    <n v="104"/>
    <n v="33216"/>
    <n v="32244"/>
    <n v="51"/>
    <x v="3"/>
    <n v="7.1501685934489398E-2"/>
    <s v="Hashtags_2"/>
    <x v="2"/>
  </r>
  <r>
    <s v="P028"/>
    <x v="2"/>
    <d v="2025-03-04T00:00:00"/>
    <x v="5"/>
    <s v="Check out our latest video on instagram!"/>
    <n v="432"/>
    <n v="624"/>
    <n v="123"/>
    <n v="6912"/>
    <n v="6259"/>
    <n v="79"/>
    <x v="3"/>
    <n v="0.17057291666666666"/>
    <s v="Hashtags Used"/>
    <x v="0"/>
  </r>
  <r>
    <s v="P028"/>
    <x v="2"/>
    <d v="2025-03-04T00:00:00"/>
    <x v="5"/>
    <s v="Check out our latest video on instagram!"/>
    <n v="432"/>
    <n v="624"/>
    <n v="123"/>
    <n v="6912"/>
    <n v="6259"/>
    <n v="79"/>
    <x v="3"/>
    <n v="0.17057291666666666"/>
    <s v="Hashtags-1"/>
    <x v="2"/>
  </r>
  <r>
    <s v="P028"/>
    <x v="2"/>
    <d v="2025-03-04T00:00:00"/>
    <x v="5"/>
    <s v="Check out our latest video on instagram!"/>
    <n v="432"/>
    <n v="624"/>
    <n v="123"/>
    <n v="6912"/>
    <n v="6259"/>
    <n v="79"/>
    <x v="3"/>
    <n v="0.17057291666666666"/>
    <s v="Hashtags_2"/>
    <x v="2"/>
  </r>
  <r>
    <s v="P029"/>
    <x v="2"/>
    <d v="2025-01-31T00:00:00"/>
    <x v="3"/>
    <s v="Check out our latest carousel on instagram!"/>
    <n v="2566"/>
    <n v="118"/>
    <n v="37"/>
    <n v="12830"/>
    <n v="12264"/>
    <n v="221"/>
    <x v="2"/>
    <n v="0.21208106001558846"/>
    <s v="Hashtags Used"/>
    <x v="0"/>
  </r>
  <r>
    <s v="P029"/>
    <x v="2"/>
    <d v="2025-01-31T00:00:00"/>
    <x v="3"/>
    <s v="Check out our latest carousel on instagram!"/>
    <n v="2566"/>
    <n v="118"/>
    <n v="37"/>
    <n v="12830"/>
    <n v="12264"/>
    <n v="221"/>
    <x v="2"/>
    <n v="0.21208106001558846"/>
    <s v="Hashtags-1"/>
    <x v="2"/>
  </r>
  <r>
    <s v="P029"/>
    <x v="2"/>
    <d v="2025-01-31T00:00:00"/>
    <x v="3"/>
    <s v="Check out our latest carousel on instagram!"/>
    <n v="2566"/>
    <n v="118"/>
    <n v="37"/>
    <n v="12830"/>
    <n v="12264"/>
    <n v="221"/>
    <x v="2"/>
    <n v="0.21208106001558846"/>
    <s v="Hashtags_2"/>
    <x v="2"/>
  </r>
  <r>
    <s v="P030"/>
    <x v="2"/>
    <d v="2025-02-25T00:00:00"/>
    <x v="5"/>
    <s v="Check out our latest video on instagram!"/>
    <n v="3095"/>
    <n v="39"/>
    <n v="78"/>
    <n v="55710"/>
    <n v="54808"/>
    <n v="93"/>
    <x v="4"/>
    <n v="5.7655717106444085E-2"/>
    <s v="Hashtags Used"/>
    <x v="5"/>
  </r>
  <r>
    <s v="P030"/>
    <x v="2"/>
    <d v="2025-02-25T00:00:00"/>
    <x v="5"/>
    <s v="Check out our latest video on instagram!"/>
    <n v="3095"/>
    <n v="39"/>
    <n v="78"/>
    <n v="55710"/>
    <n v="54808"/>
    <n v="93"/>
    <x v="4"/>
    <n v="5.7655717106444085E-2"/>
    <s v="Hashtags-1"/>
    <x v="2"/>
  </r>
  <r>
    <s v="P030"/>
    <x v="2"/>
    <d v="2025-02-25T00:00:00"/>
    <x v="5"/>
    <s v="Check out our latest video on instagram!"/>
    <n v="3095"/>
    <n v="39"/>
    <n v="78"/>
    <n v="55710"/>
    <n v="54808"/>
    <n v="93"/>
    <x v="4"/>
    <n v="5.7655717106444085E-2"/>
    <s v="Hashtags_2"/>
    <x v="2"/>
  </r>
  <r>
    <s v="P031"/>
    <x v="2"/>
    <d v="2024-12-16T00:00:00"/>
    <x v="1"/>
    <s v="Check out our latest text on instagram!"/>
    <n v="438"/>
    <n v="153"/>
    <n v="275"/>
    <n v="3066"/>
    <n v="2701"/>
    <n v="282"/>
    <x v="1"/>
    <n v="0.28245270711024134"/>
    <s v="Hashtags Used"/>
    <x v="3"/>
  </r>
  <r>
    <s v="P031"/>
    <x v="2"/>
    <d v="2024-12-16T00:00:00"/>
    <x v="1"/>
    <s v="Check out our latest text on instagram!"/>
    <n v="438"/>
    <n v="153"/>
    <n v="275"/>
    <n v="3066"/>
    <n v="2701"/>
    <n v="282"/>
    <x v="1"/>
    <n v="0.28245270711024134"/>
    <s v="Hashtags-1"/>
    <x v="2"/>
  </r>
  <r>
    <s v="P031"/>
    <x v="2"/>
    <d v="2024-12-16T00:00:00"/>
    <x v="1"/>
    <s v="Check out our latest text on instagram!"/>
    <n v="438"/>
    <n v="153"/>
    <n v="275"/>
    <n v="3066"/>
    <n v="2701"/>
    <n v="282"/>
    <x v="1"/>
    <n v="0.28245270711024134"/>
    <s v="Hashtags_2"/>
    <x v="2"/>
  </r>
  <r>
    <s v="P032"/>
    <x v="0"/>
    <d v="2024-07-31T00:00:00"/>
    <x v="3"/>
    <s v="Check out our latest carousel on twitter!"/>
    <n v="2278"/>
    <n v="10"/>
    <n v="321"/>
    <n v="13668"/>
    <n v="12676"/>
    <n v="275"/>
    <x v="0"/>
    <n v="0.19088381621305239"/>
    <s v="Hashtags Used"/>
    <x v="5"/>
  </r>
  <r>
    <s v="P032"/>
    <x v="0"/>
    <d v="2024-07-31T00:00:00"/>
    <x v="3"/>
    <s v="Check out our latest carousel on twitter!"/>
    <n v="2278"/>
    <n v="10"/>
    <n v="321"/>
    <n v="13668"/>
    <n v="12676"/>
    <n v="275"/>
    <x v="0"/>
    <n v="0.19088381621305239"/>
    <s v="Hashtags-1"/>
    <x v="2"/>
  </r>
  <r>
    <s v="P032"/>
    <x v="0"/>
    <d v="2024-07-31T00:00:00"/>
    <x v="3"/>
    <s v="Check out our latest carousel on twitter!"/>
    <n v="2278"/>
    <n v="10"/>
    <n v="321"/>
    <n v="13668"/>
    <n v="12676"/>
    <n v="275"/>
    <x v="0"/>
    <n v="0.19088381621305239"/>
    <s v="Hashtags_2"/>
    <x v="2"/>
  </r>
  <r>
    <s v="P033"/>
    <x v="3"/>
    <d v="2024-08-21T00:00:00"/>
    <x v="4"/>
    <s v="Check out our latest image on facebook!"/>
    <n v="1407"/>
    <n v="400"/>
    <n v="351"/>
    <n v="16884"/>
    <n v="15954"/>
    <n v="113"/>
    <x v="0"/>
    <n v="0.12781331438047855"/>
    <s v="Hashtags Used"/>
    <x v="3"/>
  </r>
  <r>
    <s v="P033"/>
    <x v="3"/>
    <d v="2024-08-21T00:00:00"/>
    <x v="4"/>
    <s v="Check out our latest image on facebook!"/>
    <n v="1407"/>
    <n v="400"/>
    <n v="351"/>
    <n v="16884"/>
    <n v="15954"/>
    <n v="113"/>
    <x v="0"/>
    <n v="0.12781331438047855"/>
    <s v="Hashtags-1"/>
    <x v="2"/>
  </r>
  <r>
    <s v="P033"/>
    <x v="3"/>
    <d v="2024-08-21T00:00:00"/>
    <x v="4"/>
    <s v="Check out our latest image on facebook!"/>
    <n v="1407"/>
    <n v="400"/>
    <n v="351"/>
    <n v="16884"/>
    <n v="15954"/>
    <n v="113"/>
    <x v="0"/>
    <n v="0.12781331438047855"/>
    <s v="Hashtags_2"/>
    <x v="2"/>
  </r>
  <r>
    <s v="P034"/>
    <x v="3"/>
    <d v="2025-03-26T00:00:00"/>
    <x v="1"/>
    <s v="Check out our latest text on facebook!"/>
    <n v="1652"/>
    <n v="89"/>
    <n v="357"/>
    <n v="29736"/>
    <n v="28771"/>
    <n v="215"/>
    <x v="2"/>
    <n v="7.055421038471886E-2"/>
    <s v="Hashtags Used"/>
    <x v="3"/>
  </r>
  <r>
    <s v="P034"/>
    <x v="3"/>
    <d v="2025-03-26T00:00:00"/>
    <x v="1"/>
    <s v="Check out our latest text on facebook!"/>
    <n v="1652"/>
    <n v="89"/>
    <n v="357"/>
    <n v="29736"/>
    <n v="28771"/>
    <n v="215"/>
    <x v="2"/>
    <n v="7.055421038471886E-2"/>
    <s v="Hashtags-1"/>
    <x v="2"/>
  </r>
  <r>
    <s v="P034"/>
    <x v="3"/>
    <d v="2025-03-26T00:00:00"/>
    <x v="1"/>
    <s v="Check out our latest text on facebook!"/>
    <n v="1652"/>
    <n v="89"/>
    <n v="357"/>
    <n v="29736"/>
    <n v="28771"/>
    <n v="215"/>
    <x v="2"/>
    <n v="7.055421038471886E-2"/>
    <s v="Hashtags_2"/>
    <x v="2"/>
  </r>
  <r>
    <s v="P035"/>
    <x v="2"/>
    <d v="2024-11-30T00:00:00"/>
    <x v="5"/>
    <s v="Check out our latest video on instagram!"/>
    <n v="3775"/>
    <n v="16"/>
    <n v="239"/>
    <n v="33975"/>
    <n v="33310"/>
    <n v="271"/>
    <x v="1"/>
    <n v="0.11861662987490802"/>
    <s v="Hashtags Used"/>
    <x v="0"/>
  </r>
  <r>
    <s v="P035"/>
    <x v="2"/>
    <d v="2024-11-30T00:00:00"/>
    <x v="5"/>
    <s v="Check out our latest video on instagram!"/>
    <n v="3775"/>
    <n v="16"/>
    <n v="239"/>
    <n v="33975"/>
    <n v="33310"/>
    <n v="271"/>
    <x v="1"/>
    <n v="0.11861662987490802"/>
    <s v="Hashtags-1"/>
    <x v="2"/>
  </r>
  <r>
    <s v="P035"/>
    <x v="2"/>
    <d v="2024-11-30T00:00:00"/>
    <x v="5"/>
    <s v="Check out our latest video on instagram!"/>
    <n v="3775"/>
    <n v="16"/>
    <n v="239"/>
    <n v="33975"/>
    <n v="33310"/>
    <n v="271"/>
    <x v="1"/>
    <n v="0.11861662987490802"/>
    <s v="Hashtags_2"/>
    <x v="2"/>
  </r>
  <r>
    <s v="P036"/>
    <x v="2"/>
    <d v="2025-04-19T00:00:00"/>
    <x v="2"/>
    <s v="Check out our latest story on instagram!"/>
    <n v="4518"/>
    <n v="285"/>
    <n v="383"/>
    <n v="67770"/>
    <n v="67621"/>
    <n v="31"/>
    <x v="1"/>
    <n v="7.6523535487678915E-2"/>
    <s v="Hashtags Used"/>
    <x v="5"/>
  </r>
  <r>
    <s v="P036"/>
    <x v="2"/>
    <d v="2025-04-19T00:00:00"/>
    <x v="2"/>
    <s v="Check out our latest story on instagram!"/>
    <n v="4518"/>
    <n v="285"/>
    <n v="383"/>
    <n v="67770"/>
    <n v="67621"/>
    <n v="31"/>
    <x v="1"/>
    <n v="7.6523535487678915E-2"/>
    <s v="Hashtags-1"/>
    <x v="2"/>
  </r>
  <r>
    <s v="P036"/>
    <x v="2"/>
    <d v="2025-04-19T00:00:00"/>
    <x v="2"/>
    <s v="Check out our latest story on instagram!"/>
    <n v="4518"/>
    <n v="285"/>
    <n v="383"/>
    <n v="67770"/>
    <n v="67621"/>
    <n v="31"/>
    <x v="1"/>
    <n v="7.6523535487678915E-2"/>
    <s v="Hashtags_2"/>
    <x v="2"/>
  </r>
  <r>
    <s v="P037"/>
    <x v="3"/>
    <d v="2025-01-06T00:00:00"/>
    <x v="3"/>
    <s v="Check out our latest carousel on facebook!"/>
    <n v="3024"/>
    <n v="925"/>
    <n v="350"/>
    <n v="24192"/>
    <n v="23518"/>
    <n v="36"/>
    <x v="1"/>
    <n v="0.17770337301587302"/>
    <s v="Hashtags Used"/>
    <x v="5"/>
  </r>
  <r>
    <s v="P037"/>
    <x v="3"/>
    <d v="2025-01-06T00:00:00"/>
    <x v="3"/>
    <s v="Check out our latest carousel on facebook!"/>
    <n v="3024"/>
    <n v="925"/>
    <n v="350"/>
    <n v="24192"/>
    <n v="23518"/>
    <n v="36"/>
    <x v="1"/>
    <n v="0.17770337301587302"/>
    <s v="Hashtags-1"/>
    <x v="2"/>
  </r>
  <r>
    <s v="P037"/>
    <x v="3"/>
    <d v="2025-01-06T00:00:00"/>
    <x v="3"/>
    <s v="Check out our latest carousel on facebook!"/>
    <n v="3024"/>
    <n v="925"/>
    <n v="350"/>
    <n v="24192"/>
    <n v="23518"/>
    <n v="36"/>
    <x v="1"/>
    <n v="0.17770337301587302"/>
    <s v="Hashtags_2"/>
    <x v="2"/>
  </r>
  <r>
    <s v="P038"/>
    <x v="1"/>
    <d v="2025-02-17T00:00:00"/>
    <x v="0"/>
    <s v="Check out our latest reel on youtube!"/>
    <n v="3138"/>
    <n v="123"/>
    <n v="291"/>
    <n v="28242"/>
    <n v="27550"/>
    <n v="87"/>
    <x v="3"/>
    <n v="0.12577012959422137"/>
    <s v="Hashtags Used"/>
    <x v="3"/>
  </r>
  <r>
    <s v="P038"/>
    <x v="1"/>
    <d v="2025-02-17T00:00:00"/>
    <x v="0"/>
    <s v="Check out our latest reel on youtube!"/>
    <n v="3138"/>
    <n v="123"/>
    <n v="291"/>
    <n v="28242"/>
    <n v="27550"/>
    <n v="87"/>
    <x v="3"/>
    <n v="0.12577012959422137"/>
    <s v="Hashtags-1"/>
    <x v="2"/>
  </r>
  <r>
    <s v="P038"/>
    <x v="1"/>
    <d v="2025-02-17T00:00:00"/>
    <x v="0"/>
    <s v="Check out our latest reel on youtube!"/>
    <n v="3138"/>
    <n v="123"/>
    <n v="291"/>
    <n v="28242"/>
    <n v="27550"/>
    <n v="87"/>
    <x v="3"/>
    <n v="0.12577012959422137"/>
    <s v="Hashtags_2"/>
    <x v="2"/>
  </r>
  <r>
    <s v="P039"/>
    <x v="3"/>
    <d v="2024-11-25T00:00:00"/>
    <x v="4"/>
    <s v="Check out our latest image on facebook!"/>
    <n v="3564"/>
    <n v="629"/>
    <n v="177"/>
    <n v="60588"/>
    <n v="59627"/>
    <n v="92"/>
    <x v="4"/>
    <n v="7.2126493695121141E-2"/>
    <s v="Hashtags Used"/>
    <x v="3"/>
  </r>
  <r>
    <s v="P039"/>
    <x v="3"/>
    <d v="2024-11-25T00:00:00"/>
    <x v="4"/>
    <s v="Check out our latest image on facebook!"/>
    <n v="3564"/>
    <n v="629"/>
    <n v="177"/>
    <n v="60588"/>
    <n v="59627"/>
    <n v="92"/>
    <x v="4"/>
    <n v="7.2126493695121141E-2"/>
    <s v="Hashtags-1"/>
    <x v="2"/>
  </r>
  <r>
    <s v="P039"/>
    <x v="3"/>
    <d v="2024-11-25T00:00:00"/>
    <x v="4"/>
    <s v="Check out our latest image on facebook!"/>
    <n v="3564"/>
    <n v="629"/>
    <n v="177"/>
    <n v="60588"/>
    <n v="59627"/>
    <n v="92"/>
    <x v="4"/>
    <n v="7.2126493695121141E-2"/>
    <s v="Hashtags_2"/>
    <x v="2"/>
  </r>
  <r>
    <s v="P040"/>
    <x v="0"/>
    <d v="2025-03-07T00:00:00"/>
    <x v="4"/>
    <s v="Check out our latest image on twitter!"/>
    <n v="4750"/>
    <n v="151"/>
    <n v="415"/>
    <n v="38000"/>
    <n v="37792"/>
    <n v="299"/>
    <x v="3"/>
    <n v="0.13989473684210527"/>
    <s v="Hashtags Used"/>
    <x v="5"/>
  </r>
  <r>
    <s v="P040"/>
    <x v="0"/>
    <d v="2025-03-07T00:00:00"/>
    <x v="4"/>
    <s v="Check out our latest image on twitter!"/>
    <n v="4750"/>
    <n v="151"/>
    <n v="415"/>
    <n v="38000"/>
    <n v="37792"/>
    <n v="299"/>
    <x v="3"/>
    <n v="0.13989473684210527"/>
    <s v="Hashtags-1"/>
    <x v="2"/>
  </r>
  <r>
    <s v="P040"/>
    <x v="0"/>
    <d v="2025-03-07T00:00:00"/>
    <x v="4"/>
    <s v="Check out our latest image on twitter!"/>
    <n v="4750"/>
    <n v="151"/>
    <n v="415"/>
    <n v="38000"/>
    <n v="37792"/>
    <n v="299"/>
    <x v="3"/>
    <n v="0.13989473684210527"/>
    <s v="Hashtags_2"/>
    <x v="2"/>
  </r>
  <r>
    <s v="P041"/>
    <x v="2"/>
    <d v="2025-03-08T00:00:00"/>
    <x v="0"/>
    <s v="Check out our latest reel on instagram!"/>
    <n v="456"/>
    <n v="629"/>
    <n v="428"/>
    <n v="8208"/>
    <n v="7377"/>
    <n v="205"/>
    <x v="3"/>
    <n v="0.18433235867446393"/>
    <s v="Hashtags Used"/>
    <x v="0"/>
  </r>
  <r>
    <s v="P041"/>
    <x v="2"/>
    <d v="2025-03-08T00:00:00"/>
    <x v="0"/>
    <s v="Check out our latest reel on instagram!"/>
    <n v="456"/>
    <n v="629"/>
    <n v="428"/>
    <n v="8208"/>
    <n v="7377"/>
    <n v="205"/>
    <x v="3"/>
    <n v="0.18433235867446393"/>
    <s v="Hashtags-1"/>
    <x v="2"/>
  </r>
  <r>
    <s v="P041"/>
    <x v="2"/>
    <d v="2025-03-08T00:00:00"/>
    <x v="0"/>
    <s v="Check out our latest reel on instagram!"/>
    <n v="456"/>
    <n v="629"/>
    <n v="428"/>
    <n v="8208"/>
    <n v="7377"/>
    <n v="205"/>
    <x v="3"/>
    <n v="0.18433235867446393"/>
    <s v="Hashtags_2"/>
    <x v="2"/>
  </r>
  <r>
    <s v="P042"/>
    <x v="1"/>
    <d v="2025-03-05T00:00:00"/>
    <x v="0"/>
    <s v="Check out our latest reel on youtube!"/>
    <n v="1543"/>
    <n v="820"/>
    <n v="333"/>
    <n v="12344"/>
    <n v="11496"/>
    <n v="241"/>
    <x v="4"/>
    <n v="0.21840570317563188"/>
    <s v="Hashtags Used"/>
    <x v="5"/>
  </r>
  <r>
    <s v="P042"/>
    <x v="1"/>
    <d v="2025-03-05T00:00:00"/>
    <x v="0"/>
    <s v="Check out our latest reel on youtube!"/>
    <n v="1543"/>
    <n v="820"/>
    <n v="333"/>
    <n v="12344"/>
    <n v="11496"/>
    <n v="241"/>
    <x v="4"/>
    <n v="0.21840570317563188"/>
    <s v="Hashtags-1"/>
    <x v="2"/>
  </r>
  <r>
    <s v="P042"/>
    <x v="1"/>
    <d v="2025-03-05T00:00:00"/>
    <x v="0"/>
    <s v="Check out our latest reel on youtube!"/>
    <n v="1543"/>
    <n v="820"/>
    <n v="333"/>
    <n v="12344"/>
    <n v="11496"/>
    <n v="241"/>
    <x v="4"/>
    <n v="0.21840570317563188"/>
    <s v="Hashtags_2"/>
    <x v="2"/>
  </r>
  <r>
    <s v="P043"/>
    <x v="2"/>
    <d v="2024-12-14T00:00:00"/>
    <x v="3"/>
    <s v="Check out our latest carousel on instagram!"/>
    <n v="2174"/>
    <n v="658"/>
    <n v="15"/>
    <n v="13044"/>
    <n v="12206"/>
    <n v="137"/>
    <x v="2"/>
    <n v="0.21826126954921804"/>
    <s v="Hashtags Used"/>
    <x v="3"/>
  </r>
  <r>
    <s v="P043"/>
    <x v="2"/>
    <d v="2024-12-14T00:00:00"/>
    <x v="3"/>
    <s v="Check out our latest carousel on instagram!"/>
    <n v="2174"/>
    <n v="658"/>
    <n v="15"/>
    <n v="13044"/>
    <n v="12206"/>
    <n v="137"/>
    <x v="2"/>
    <n v="0.21826126954921804"/>
    <s v="Hashtags-1"/>
    <x v="2"/>
  </r>
  <r>
    <s v="P043"/>
    <x v="2"/>
    <d v="2024-12-14T00:00:00"/>
    <x v="3"/>
    <s v="Check out our latest carousel on instagram!"/>
    <n v="2174"/>
    <n v="658"/>
    <n v="15"/>
    <n v="13044"/>
    <n v="12206"/>
    <n v="137"/>
    <x v="2"/>
    <n v="0.21826126954921804"/>
    <s v="Hashtags_2"/>
    <x v="2"/>
  </r>
  <r>
    <s v="P044"/>
    <x v="0"/>
    <d v="2025-03-02T00:00:00"/>
    <x v="4"/>
    <s v="Check out our latest image on twitter!"/>
    <n v="2358"/>
    <n v="784"/>
    <n v="344"/>
    <n v="35370"/>
    <n v="34475"/>
    <n v="216"/>
    <x v="4"/>
    <n v="9.8558100084817649E-2"/>
    <s v="Hashtags Used"/>
    <x v="3"/>
  </r>
  <r>
    <s v="P044"/>
    <x v="0"/>
    <d v="2025-03-02T00:00:00"/>
    <x v="4"/>
    <s v="Check out our latest image on twitter!"/>
    <n v="2358"/>
    <n v="784"/>
    <n v="344"/>
    <n v="35370"/>
    <n v="34475"/>
    <n v="216"/>
    <x v="4"/>
    <n v="9.8558100084817649E-2"/>
    <s v="Hashtags-1"/>
    <x v="2"/>
  </r>
  <r>
    <s v="P044"/>
    <x v="0"/>
    <d v="2025-03-02T00:00:00"/>
    <x v="4"/>
    <s v="Check out our latest image on twitter!"/>
    <n v="2358"/>
    <n v="784"/>
    <n v="344"/>
    <n v="35370"/>
    <n v="34475"/>
    <n v="216"/>
    <x v="4"/>
    <n v="9.8558100084817649E-2"/>
    <s v="Hashtags_2"/>
    <x v="2"/>
  </r>
  <r>
    <s v="P045"/>
    <x v="3"/>
    <d v="2024-11-01T00:00:00"/>
    <x v="5"/>
    <s v="Check out our latest video on facebook!"/>
    <n v="3371"/>
    <n v="106"/>
    <n v="327"/>
    <n v="50565"/>
    <n v="49816"/>
    <n v="176"/>
    <x v="0"/>
    <n v="7.5229902106199939E-2"/>
    <s v="Hashtags Used"/>
    <x v="0"/>
  </r>
  <r>
    <s v="P045"/>
    <x v="3"/>
    <d v="2024-11-01T00:00:00"/>
    <x v="5"/>
    <s v="Check out our latest video on facebook!"/>
    <n v="3371"/>
    <n v="106"/>
    <n v="327"/>
    <n v="50565"/>
    <n v="49816"/>
    <n v="176"/>
    <x v="0"/>
    <n v="7.5229902106199939E-2"/>
    <s v="Hashtags-1"/>
    <x v="2"/>
  </r>
  <r>
    <s v="P045"/>
    <x v="3"/>
    <d v="2024-11-01T00:00:00"/>
    <x v="5"/>
    <s v="Check out our latest video on facebook!"/>
    <n v="3371"/>
    <n v="106"/>
    <n v="327"/>
    <n v="50565"/>
    <n v="49816"/>
    <n v="176"/>
    <x v="0"/>
    <n v="7.5229902106199939E-2"/>
    <s v="Hashtags_2"/>
    <x v="2"/>
  </r>
  <r>
    <s v="P046"/>
    <x v="0"/>
    <d v="2025-05-02T00:00:00"/>
    <x v="5"/>
    <s v="Check out our latest video on twitter!"/>
    <n v="1108"/>
    <n v="177"/>
    <n v="212"/>
    <n v="8864"/>
    <n v="8710"/>
    <n v="97"/>
    <x v="3"/>
    <n v="0.16888537906137185"/>
    <s v="Hashtags Used"/>
    <x v="3"/>
  </r>
  <r>
    <s v="P046"/>
    <x v="0"/>
    <d v="2025-05-02T00:00:00"/>
    <x v="5"/>
    <s v="Check out our latest video on twitter!"/>
    <n v="1108"/>
    <n v="177"/>
    <n v="212"/>
    <n v="8864"/>
    <n v="8710"/>
    <n v="97"/>
    <x v="3"/>
    <n v="0.16888537906137185"/>
    <s v="Hashtags-1"/>
    <x v="2"/>
  </r>
  <r>
    <s v="P046"/>
    <x v="0"/>
    <d v="2025-05-02T00:00:00"/>
    <x v="5"/>
    <s v="Check out our latest video on twitter!"/>
    <n v="1108"/>
    <n v="177"/>
    <n v="212"/>
    <n v="8864"/>
    <n v="8710"/>
    <n v="97"/>
    <x v="3"/>
    <n v="0.16888537906137185"/>
    <s v="Hashtags_2"/>
    <x v="2"/>
  </r>
  <r>
    <s v="P047"/>
    <x v="0"/>
    <d v="2025-02-24T00:00:00"/>
    <x v="3"/>
    <s v="Check out our latest carousel on twitter!"/>
    <n v="2704"/>
    <n v="752"/>
    <n v="153"/>
    <n v="21632"/>
    <n v="20792"/>
    <n v="127"/>
    <x v="4"/>
    <n v="0.16683616863905326"/>
    <s v="Hashtags Used"/>
    <x v="0"/>
  </r>
  <r>
    <s v="P047"/>
    <x v="0"/>
    <d v="2025-02-24T00:00:00"/>
    <x v="3"/>
    <s v="Check out our latest carousel on twitter!"/>
    <n v="2704"/>
    <n v="752"/>
    <n v="153"/>
    <n v="21632"/>
    <n v="20792"/>
    <n v="127"/>
    <x v="4"/>
    <n v="0.16683616863905326"/>
    <s v="Hashtags-1"/>
    <x v="2"/>
  </r>
  <r>
    <s v="P047"/>
    <x v="0"/>
    <d v="2025-02-24T00:00:00"/>
    <x v="3"/>
    <s v="Check out our latest carousel on twitter!"/>
    <n v="2704"/>
    <n v="752"/>
    <n v="153"/>
    <n v="21632"/>
    <n v="20792"/>
    <n v="127"/>
    <x v="4"/>
    <n v="0.16683616863905326"/>
    <s v="Hashtags_2"/>
    <x v="2"/>
  </r>
  <r>
    <s v="P048"/>
    <x v="0"/>
    <d v="2025-03-11T00:00:00"/>
    <x v="2"/>
    <s v="Check out our latest story on twitter!"/>
    <n v="1950"/>
    <n v="295"/>
    <n v="478"/>
    <n v="37050"/>
    <n v="36272"/>
    <n v="119"/>
    <x v="4"/>
    <n v="7.349527665317139E-2"/>
    <s v="Hashtags Used"/>
    <x v="3"/>
  </r>
  <r>
    <s v="P048"/>
    <x v="0"/>
    <d v="2025-03-11T00:00:00"/>
    <x v="2"/>
    <s v="Check out our latest story on twitter!"/>
    <n v="1950"/>
    <n v="295"/>
    <n v="478"/>
    <n v="37050"/>
    <n v="36272"/>
    <n v="119"/>
    <x v="4"/>
    <n v="7.349527665317139E-2"/>
    <s v="Hashtags-1"/>
    <x v="2"/>
  </r>
  <r>
    <s v="P048"/>
    <x v="0"/>
    <d v="2025-03-11T00:00:00"/>
    <x v="2"/>
    <s v="Check out our latest story on twitter!"/>
    <n v="1950"/>
    <n v="295"/>
    <n v="478"/>
    <n v="37050"/>
    <n v="36272"/>
    <n v="119"/>
    <x v="4"/>
    <n v="7.349527665317139E-2"/>
    <s v="Hashtags_2"/>
    <x v="2"/>
  </r>
  <r>
    <s v="P049"/>
    <x v="0"/>
    <d v="2024-06-10T00:00:00"/>
    <x v="2"/>
    <s v="Check out our latest story on twitter!"/>
    <n v="2164"/>
    <n v="549"/>
    <n v="274"/>
    <n v="28132"/>
    <n v="27361"/>
    <n v="177"/>
    <x v="3"/>
    <n v="0.10617801791554102"/>
    <s v="Hashtags Used"/>
    <x v="3"/>
  </r>
  <r>
    <s v="P049"/>
    <x v="0"/>
    <d v="2024-06-10T00:00:00"/>
    <x v="2"/>
    <s v="Check out our latest story on twitter!"/>
    <n v="2164"/>
    <n v="549"/>
    <n v="274"/>
    <n v="28132"/>
    <n v="27361"/>
    <n v="177"/>
    <x v="3"/>
    <n v="0.10617801791554102"/>
    <s v="Hashtags-1"/>
    <x v="2"/>
  </r>
  <r>
    <s v="P049"/>
    <x v="0"/>
    <d v="2024-06-10T00:00:00"/>
    <x v="2"/>
    <s v="Check out our latest story on twitter!"/>
    <n v="2164"/>
    <n v="549"/>
    <n v="274"/>
    <n v="28132"/>
    <n v="27361"/>
    <n v="177"/>
    <x v="3"/>
    <n v="0.10617801791554102"/>
    <s v="Hashtags_2"/>
    <x v="2"/>
  </r>
  <r>
    <s v="P050"/>
    <x v="1"/>
    <d v="2024-07-03T00:00:00"/>
    <x v="2"/>
    <s v="Check out our latest story on youtube!"/>
    <n v="2754"/>
    <n v="130"/>
    <n v="90"/>
    <n v="22032"/>
    <n v="21288"/>
    <n v="112"/>
    <x v="2"/>
    <n v="0.13498547567175018"/>
    <s v="Hashtags Used"/>
    <x v="3"/>
  </r>
  <r>
    <s v="P050"/>
    <x v="1"/>
    <d v="2024-07-03T00:00:00"/>
    <x v="2"/>
    <s v="Check out our latest story on youtube!"/>
    <n v="2754"/>
    <n v="130"/>
    <n v="90"/>
    <n v="22032"/>
    <n v="21288"/>
    <n v="112"/>
    <x v="2"/>
    <n v="0.13498547567175018"/>
    <s v="Hashtags-1"/>
    <x v="2"/>
  </r>
  <r>
    <s v="P050"/>
    <x v="1"/>
    <d v="2024-07-03T00:00:00"/>
    <x v="2"/>
    <s v="Check out our latest story on youtube!"/>
    <n v="2754"/>
    <n v="130"/>
    <n v="90"/>
    <n v="22032"/>
    <n v="21288"/>
    <n v="112"/>
    <x v="2"/>
    <n v="0.13498547567175018"/>
    <s v="Hashtags_2"/>
    <x v="2"/>
  </r>
  <r>
    <s v="P051"/>
    <x v="3"/>
    <d v="2024-06-13T00:00:00"/>
    <x v="3"/>
    <s v="Check out our latest carousel on facebook!"/>
    <n v="2200"/>
    <n v="504"/>
    <n v="239"/>
    <n v="37400"/>
    <n v="36938"/>
    <n v="225"/>
    <x v="1"/>
    <n v="7.8689839572192513E-2"/>
    <s v="Hashtags Used"/>
    <x v="0"/>
  </r>
  <r>
    <s v="P051"/>
    <x v="3"/>
    <d v="2024-06-13T00:00:00"/>
    <x v="3"/>
    <s v="Check out our latest carousel on facebook!"/>
    <n v="2200"/>
    <n v="504"/>
    <n v="239"/>
    <n v="37400"/>
    <n v="36938"/>
    <n v="225"/>
    <x v="1"/>
    <n v="7.8689839572192513E-2"/>
    <s v="Hashtags-1"/>
    <x v="2"/>
  </r>
  <r>
    <s v="P051"/>
    <x v="3"/>
    <d v="2024-06-13T00:00:00"/>
    <x v="3"/>
    <s v="Check out our latest carousel on facebook!"/>
    <n v="2200"/>
    <n v="504"/>
    <n v="239"/>
    <n v="37400"/>
    <n v="36938"/>
    <n v="225"/>
    <x v="1"/>
    <n v="7.8689839572192513E-2"/>
    <s v="Hashtags_2"/>
    <x v="2"/>
  </r>
  <r>
    <s v="P052"/>
    <x v="3"/>
    <d v="2025-01-03T00:00:00"/>
    <x v="4"/>
    <s v="Check out our latest image on facebook!"/>
    <n v="947"/>
    <n v="338"/>
    <n v="350"/>
    <n v="10417"/>
    <n v="9730"/>
    <n v="34"/>
    <x v="3"/>
    <n v="0.1569549774407219"/>
    <s v="Hashtags Used"/>
    <x v="3"/>
  </r>
  <r>
    <s v="P052"/>
    <x v="3"/>
    <d v="2025-01-03T00:00:00"/>
    <x v="4"/>
    <s v="Check out our latest image on facebook!"/>
    <n v="947"/>
    <n v="338"/>
    <n v="350"/>
    <n v="10417"/>
    <n v="9730"/>
    <n v="34"/>
    <x v="3"/>
    <n v="0.1569549774407219"/>
    <s v="Hashtags-1"/>
    <x v="2"/>
  </r>
  <r>
    <s v="P052"/>
    <x v="3"/>
    <d v="2025-01-03T00:00:00"/>
    <x v="4"/>
    <s v="Check out our latest image on facebook!"/>
    <n v="947"/>
    <n v="338"/>
    <n v="350"/>
    <n v="10417"/>
    <n v="9730"/>
    <n v="34"/>
    <x v="3"/>
    <n v="0.1569549774407219"/>
    <s v="Hashtags_2"/>
    <x v="2"/>
  </r>
  <r>
    <s v="P053"/>
    <x v="1"/>
    <d v="2025-02-24T00:00:00"/>
    <x v="3"/>
    <s v="Check out our latest carousel on youtube!"/>
    <n v="804"/>
    <n v="639"/>
    <n v="43"/>
    <n v="4020"/>
    <n v="3144"/>
    <n v="11"/>
    <x v="4"/>
    <n v="0.36965174129353234"/>
    <s v="Hashtags Used"/>
    <x v="5"/>
  </r>
  <r>
    <s v="P053"/>
    <x v="1"/>
    <d v="2025-02-24T00:00:00"/>
    <x v="3"/>
    <s v="Check out our latest carousel on youtube!"/>
    <n v="804"/>
    <n v="639"/>
    <n v="43"/>
    <n v="4020"/>
    <n v="3144"/>
    <n v="11"/>
    <x v="4"/>
    <n v="0.36965174129353234"/>
    <s v="Hashtags-1"/>
    <x v="4"/>
  </r>
  <r>
    <s v="P053"/>
    <x v="1"/>
    <d v="2025-02-24T00:00:00"/>
    <x v="3"/>
    <s v="Check out our latest carousel on youtube!"/>
    <n v="804"/>
    <n v="639"/>
    <n v="43"/>
    <n v="4020"/>
    <n v="3144"/>
    <n v="11"/>
    <x v="4"/>
    <n v="0.36965174129353234"/>
    <s v="Hashtags_2"/>
    <x v="2"/>
  </r>
  <r>
    <s v="P054"/>
    <x v="1"/>
    <d v="2025-03-13T00:00:00"/>
    <x v="3"/>
    <s v="Check out our latest carousel on youtube!"/>
    <n v="1686"/>
    <n v="904"/>
    <n v="472"/>
    <n v="18546"/>
    <n v="18171"/>
    <n v="52"/>
    <x v="1"/>
    <n v="0.16510298716704411"/>
    <s v="Hashtags Used"/>
    <x v="0"/>
  </r>
  <r>
    <s v="P054"/>
    <x v="1"/>
    <d v="2025-03-13T00:00:00"/>
    <x v="3"/>
    <s v="Check out our latest carousel on youtube!"/>
    <n v="1686"/>
    <n v="904"/>
    <n v="472"/>
    <n v="18546"/>
    <n v="18171"/>
    <n v="52"/>
    <x v="1"/>
    <n v="0.16510298716704411"/>
    <s v="Hashtags-1"/>
    <x v="2"/>
  </r>
  <r>
    <s v="P054"/>
    <x v="1"/>
    <d v="2025-03-13T00:00:00"/>
    <x v="3"/>
    <s v="Check out our latest carousel on youtube!"/>
    <n v="1686"/>
    <n v="904"/>
    <n v="472"/>
    <n v="18546"/>
    <n v="18171"/>
    <n v="52"/>
    <x v="1"/>
    <n v="0.16510298716704411"/>
    <s v="Hashtags_2"/>
    <x v="2"/>
  </r>
  <r>
    <s v="P055"/>
    <x v="3"/>
    <d v="2024-06-17T00:00:00"/>
    <x v="4"/>
    <s v="Check out our latest image on facebook!"/>
    <n v="1226"/>
    <n v="119"/>
    <n v="7"/>
    <n v="14712"/>
    <n v="14049"/>
    <n v="123"/>
    <x v="3"/>
    <n v="9.1897770527460579E-2"/>
    <s v="Hashtags Used"/>
    <x v="5"/>
  </r>
  <r>
    <s v="P055"/>
    <x v="3"/>
    <d v="2024-06-17T00:00:00"/>
    <x v="4"/>
    <s v="Check out our latest image on facebook!"/>
    <n v="1226"/>
    <n v="119"/>
    <n v="7"/>
    <n v="14712"/>
    <n v="14049"/>
    <n v="123"/>
    <x v="3"/>
    <n v="9.1897770527460579E-2"/>
    <s v="Hashtags-1"/>
    <x v="2"/>
  </r>
  <r>
    <s v="P055"/>
    <x v="3"/>
    <d v="2024-06-17T00:00:00"/>
    <x v="4"/>
    <s v="Check out our latest image on facebook!"/>
    <n v="1226"/>
    <n v="119"/>
    <n v="7"/>
    <n v="14712"/>
    <n v="14049"/>
    <n v="123"/>
    <x v="3"/>
    <n v="9.1897770527460579E-2"/>
    <s v="Hashtags_2"/>
    <x v="2"/>
  </r>
  <r>
    <s v="P056"/>
    <x v="3"/>
    <d v="2024-12-18T00:00:00"/>
    <x v="3"/>
    <s v="Check out our latest carousel on facebook!"/>
    <n v="2946"/>
    <n v="498"/>
    <n v="367"/>
    <n v="29460"/>
    <n v="28527"/>
    <n v="60"/>
    <x v="2"/>
    <n v="0.12936184657162253"/>
    <s v="Hashtags Used"/>
    <x v="0"/>
  </r>
  <r>
    <s v="P056"/>
    <x v="3"/>
    <d v="2024-12-18T00:00:00"/>
    <x v="3"/>
    <s v="Check out our latest carousel on facebook!"/>
    <n v="2946"/>
    <n v="498"/>
    <n v="367"/>
    <n v="29460"/>
    <n v="28527"/>
    <n v="60"/>
    <x v="2"/>
    <n v="0.12936184657162253"/>
    <s v="Hashtags-1"/>
    <x v="2"/>
  </r>
  <r>
    <s v="P056"/>
    <x v="3"/>
    <d v="2024-12-18T00:00:00"/>
    <x v="3"/>
    <s v="Check out our latest carousel on facebook!"/>
    <n v="2946"/>
    <n v="498"/>
    <n v="367"/>
    <n v="29460"/>
    <n v="28527"/>
    <n v="60"/>
    <x v="2"/>
    <n v="0.12936184657162253"/>
    <s v="Hashtags_2"/>
    <x v="2"/>
  </r>
  <r>
    <s v="P057"/>
    <x v="0"/>
    <d v="2024-10-21T00:00:00"/>
    <x v="5"/>
    <s v="Check out our latest video on twitter!"/>
    <n v="2825"/>
    <n v="535"/>
    <n v="295"/>
    <n v="45200"/>
    <n v="44739"/>
    <n v="169"/>
    <x v="0"/>
    <n v="8.0862831858407078E-2"/>
    <s v="Hashtags Used"/>
    <x v="3"/>
  </r>
  <r>
    <s v="P057"/>
    <x v="0"/>
    <d v="2024-10-21T00:00:00"/>
    <x v="5"/>
    <s v="Check out our latest video on twitter!"/>
    <n v="2825"/>
    <n v="535"/>
    <n v="295"/>
    <n v="45200"/>
    <n v="44739"/>
    <n v="169"/>
    <x v="0"/>
    <n v="8.0862831858407078E-2"/>
    <s v="Hashtags-1"/>
    <x v="2"/>
  </r>
  <r>
    <s v="P057"/>
    <x v="0"/>
    <d v="2024-10-21T00:00:00"/>
    <x v="5"/>
    <s v="Check out our latest video on twitter!"/>
    <n v="2825"/>
    <n v="535"/>
    <n v="295"/>
    <n v="45200"/>
    <n v="44739"/>
    <n v="169"/>
    <x v="0"/>
    <n v="8.0862831858407078E-2"/>
    <s v="Hashtags_2"/>
    <x v="2"/>
  </r>
  <r>
    <s v="P058"/>
    <x v="2"/>
    <d v="2025-04-15T00:00:00"/>
    <x v="0"/>
    <s v="Check out our latest reel on instagram!"/>
    <n v="103"/>
    <n v="770"/>
    <n v="19"/>
    <n v="1030"/>
    <n v="410"/>
    <n v="262"/>
    <x v="3"/>
    <n v="0.86601941747572819"/>
    <s v="Hashtags Used"/>
    <x v="3"/>
  </r>
  <r>
    <s v="P058"/>
    <x v="2"/>
    <d v="2025-04-15T00:00:00"/>
    <x v="0"/>
    <s v="Check out our latest reel on instagram!"/>
    <n v="103"/>
    <n v="770"/>
    <n v="19"/>
    <n v="1030"/>
    <n v="410"/>
    <n v="262"/>
    <x v="3"/>
    <n v="0.86601941747572819"/>
    <s v="Hashtags-1"/>
    <x v="2"/>
  </r>
  <r>
    <s v="P058"/>
    <x v="2"/>
    <d v="2025-04-15T00:00:00"/>
    <x v="0"/>
    <s v="Check out our latest reel on instagram!"/>
    <n v="103"/>
    <n v="770"/>
    <n v="19"/>
    <n v="1030"/>
    <n v="410"/>
    <n v="262"/>
    <x v="3"/>
    <n v="0.86601941747572819"/>
    <s v="Hashtags_2"/>
    <x v="2"/>
  </r>
  <r>
    <s v="P059"/>
    <x v="2"/>
    <d v="2024-06-22T00:00:00"/>
    <x v="1"/>
    <s v="Check out our latest text on instagram!"/>
    <n v="2180"/>
    <n v="263"/>
    <n v="387"/>
    <n v="30520"/>
    <n v="30059"/>
    <n v="174"/>
    <x v="4"/>
    <n v="9.2726081258191345E-2"/>
    <s v="Hashtags Used"/>
    <x v="5"/>
  </r>
  <r>
    <s v="P059"/>
    <x v="2"/>
    <d v="2024-06-22T00:00:00"/>
    <x v="1"/>
    <s v="Check out our latest text on instagram!"/>
    <n v="2180"/>
    <n v="263"/>
    <n v="387"/>
    <n v="30520"/>
    <n v="30059"/>
    <n v="174"/>
    <x v="4"/>
    <n v="9.2726081258191345E-2"/>
    <s v="Hashtags-1"/>
    <x v="2"/>
  </r>
  <r>
    <s v="P059"/>
    <x v="2"/>
    <d v="2024-06-22T00:00:00"/>
    <x v="1"/>
    <s v="Check out our latest text on instagram!"/>
    <n v="2180"/>
    <n v="263"/>
    <n v="387"/>
    <n v="30520"/>
    <n v="30059"/>
    <n v="174"/>
    <x v="4"/>
    <n v="9.2726081258191345E-2"/>
    <s v="Hashtags_2"/>
    <x v="2"/>
  </r>
  <r>
    <s v="P060"/>
    <x v="2"/>
    <d v="2025-01-28T00:00:00"/>
    <x v="5"/>
    <s v="Check out our latest video on instagram!"/>
    <n v="904"/>
    <n v="973"/>
    <n v="63"/>
    <n v="11752"/>
    <n v="11580"/>
    <n v="84"/>
    <x v="2"/>
    <n v="0.1650782845473111"/>
    <s v="Hashtags Used"/>
    <x v="5"/>
  </r>
  <r>
    <s v="P060"/>
    <x v="2"/>
    <d v="2025-01-28T00:00:00"/>
    <x v="5"/>
    <s v="Check out our latest video on instagram!"/>
    <n v="904"/>
    <n v="973"/>
    <n v="63"/>
    <n v="11752"/>
    <n v="11580"/>
    <n v="84"/>
    <x v="2"/>
    <n v="0.1650782845473111"/>
    <s v="Hashtags-1"/>
    <x v="3"/>
  </r>
  <r>
    <s v="P060"/>
    <x v="2"/>
    <d v="2025-01-28T00:00:00"/>
    <x v="5"/>
    <s v="Check out our latest video on instagram!"/>
    <n v="904"/>
    <n v="973"/>
    <n v="63"/>
    <n v="11752"/>
    <n v="11580"/>
    <n v="84"/>
    <x v="2"/>
    <n v="0.1650782845473111"/>
    <s v="Hashtags_2"/>
    <x v="1"/>
  </r>
  <r>
    <s v="P061"/>
    <x v="0"/>
    <d v="2024-09-05T00:00:00"/>
    <x v="5"/>
    <s v="Check out our latest video on twitter!"/>
    <n v="4886"/>
    <n v="983"/>
    <n v="409"/>
    <n v="43974"/>
    <n v="43239"/>
    <n v="65"/>
    <x v="0"/>
    <n v="0.14276618001546368"/>
    <s v="Hashtags Used"/>
    <x v="3"/>
  </r>
  <r>
    <s v="P061"/>
    <x v="0"/>
    <d v="2024-09-05T00:00:00"/>
    <x v="5"/>
    <s v="Check out our latest video on twitter!"/>
    <n v="4886"/>
    <n v="983"/>
    <n v="409"/>
    <n v="43974"/>
    <n v="43239"/>
    <n v="65"/>
    <x v="0"/>
    <n v="0.14276618001546368"/>
    <s v="Hashtags-1"/>
    <x v="2"/>
  </r>
  <r>
    <s v="P061"/>
    <x v="0"/>
    <d v="2024-09-05T00:00:00"/>
    <x v="5"/>
    <s v="Check out our latest video on twitter!"/>
    <n v="4886"/>
    <n v="983"/>
    <n v="409"/>
    <n v="43974"/>
    <n v="43239"/>
    <n v="65"/>
    <x v="0"/>
    <n v="0.14276618001546368"/>
    <s v="Hashtags_2"/>
    <x v="2"/>
  </r>
  <r>
    <s v="P062"/>
    <x v="0"/>
    <d v="2024-11-22T00:00:00"/>
    <x v="3"/>
    <s v="Check out our latest carousel on twitter!"/>
    <n v="53"/>
    <n v="81"/>
    <n v="379"/>
    <n v="954"/>
    <n v="7"/>
    <n v="148"/>
    <x v="2"/>
    <n v="0.53773584905660377"/>
    <s v="Hashtags Used"/>
    <x v="3"/>
  </r>
  <r>
    <s v="P062"/>
    <x v="0"/>
    <d v="2024-11-22T00:00:00"/>
    <x v="3"/>
    <s v="Check out our latest carousel on twitter!"/>
    <n v="53"/>
    <n v="81"/>
    <n v="379"/>
    <n v="954"/>
    <n v="7"/>
    <n v="148"/>
    <x v="2"/>
    <n v="0.53773584905660377"/>
    <s v="Hashtags-1"/>
    <x v="2"/>
  </r>
  <r>
    <s v="P062"/>
    <x v="0"/>
    <d v="2024-11-22T00:00:00"/>
    <x v="3"/>
    <s v="Check out our latest carousel on twitter!"/>
    <n v="53"/>
    <n v="81"/>
    <n v="379"/>
    <n v="954"/>
    <n v="7"/>
    <n v="148"/>
    <x v="2"/>
    <n v="0.53773584905660377"/>
    <s v="Hashtags_2"/>
    <x v="2"/>
  </r>
  <r>
    <s v="P063"/>
    <x v="0"/>
    <d v="2024-07-31T00:00:00"/>
    <x v="3"/>
    <s v="Check out our latest carousel on twitter!"/>
    <n v="4507"/>
    <n v="217"/>
    <n v="13"/>
    <n v="90140"/>
    <n v="89591"/>
    <n v="125"/>
    <x v="2"/>
    <n v="5.2551586421122697E-2"/>
    <s v="Hashtags Used"/>
    <x v="0"/>
  </r>
  <r>
    <s v="P063"/>
    <x v="0"/>
    <d v="2024-07-31T00:00:00"/>
    <x v="3"/>
    <s v="Check out our latest carousel on twitter!"/>
    <n v="4507"/>
    <n v="217"/>
    <n v="13"/>
    <n v="90140"/>
    <n v="89591"/>
    <n v="125"/>
    <x v="2"/>
    <n v="5.2551586421122697E-2"/>
    <s v="Hashtags-1"/>
    <x v="2"/>
  </r>
  <r>
    <s v="P063"/>
    <x v="0"/>
    <d v="2024-07-31T00:00:00"/>
    <x v="3"/>
    <s v="Check out our latest carousel on twitter!"/>
    <n v="4507"/>
    <n v="217"/>
    <n v="13"/>
    <n v="90140"/>
    <n v="89591"/>
    <n v="125"/>
    <x v="2"/>
    <n v="5.2551586421122697E-2"/>
    <s v="Hashtags_2"/>
    <x v="2"/>
  </r>
  <r>
    <s v="P064"/>
    <x v="3"/>
    <d v="2024-08-17T00:00:00"/>
    <x v="4"/>
    <s v="Check out our latest image on facebook!"/>
    <n v="2878"/>
    <n v="248"/>
    <n v="416"/>
    <n v="43170"/>
    <n v="42667"/>
    <n v="75"/>
    <x v="2"/>
    <n v="8.2047718322909427E-2"/>
    <s v="Hashtags Used"/>
    <x v="0"/>
  </r>
  <r>
    <s v="P064"/>
    <x v="3"/>
    <d v="2024-08-17T00:00:00"/>
    <x v="4"/>
    <s v="Check out our latest image on facebook!"/>
    <n v="2878"/>
    <n v="248"/>
    <n v="416"/>
    <n v="43170"/>
    <n v="42667"/>
    <n v="75"/>
    <x v="2"/>
    <n v="8.2047718322909427E-2"/>
    <s v="Hashtags-1"/>
    <x v="2"/>
  </r>
  <r>
    <s v="P064"/>
    <x v="3"/>
    <d v="2024-08-17T00:00:00"/>
    <x v="4"/>
    <s v="Check out our latest image on facebook!"/>
    <n v="2878"/>
    <n v="248"/>
    <n v="416"/>
    <n v="43170"/>
    <n v="42667"/>
    <n v="75"/>
    <x v="2"/>
    <n v="8.2047718322909427E-2"/>
    <s v="Hashtags_2"/>
    <x v="2"/>
  </r>
  <r>
    <s v="P065"/>
    <x v="2"/>
    <d v="2025-03-28T00:00:00"/>
    <x v="2"/>
    <s v="Check out our latest story on instagram!"/>
    <n v="1881"/>
    <n v="501"/>
    <n v="99"/>
    <n v="20691"/>
    <n v="19987"/>
    <n v="289"/>
    <x v="4"/>
    <n v="0.11990720603160794"/>
    <s v="Hashtags Used"/>
    <x v="5"/>
  </r>
  <r>
    <s v="P065"/>
    <x v="2"/>
    <d v="2025-03-28T00:00:00"/>
    <x v="2"/>
    <s v="Check out our latest story on instagram!"/>
    <n v="1881"/>
    <n v="501"/>
    <n v="99"/>
    <n v="20691"/>
    <n v="19987"/>
    <n v="289"/>
    <x v="4"/>
    <n v="0.11990720603160794"/>
    <s v="Hashtags-1"/>
    <x v="2"/>
  </r>
  <r>
    <s v="P065"/>
    <x v="2"/>
    <d v="2025-03-28T00:00:00"/>
    <x v="2"/>
    <s v="Check out our latest story on instagram!"/>
    <n v="1881"/>
    <n v="501"/>
    <n v="99"/>
    <n v="20691"/>
    <n v="19987"/>
    <n v="289"/>
    <x v="4"/>
    <n v="0.11990720603160794"/>
    <s v="Hashtags_2"/>
    <x v="2"/>
  </r>
  <r>
    <s v="P066"/>
    <x v="0"/>
    <d v="2024-07-26T00:00:00"/>
    <x v="3"/>
    <s v="Check out our latest carousel on twitter!"/>
    <n v="432"/>
    <n v="171"/>
    <n v="280"/>
    <n v="3024"/>
    <n v="2285"/>
    <n v="184"/>
    <x v="0"/>
    <n v="0.29199735449735448"/>
    <s v="Hashtags Used"/>
    <x v="5"/>
  </r>
  <r>
    <s v="P066"/>
    <x v="0"/>
    <d v="2024-07-26T00:00:00"/>
    <x v="3"/>
    <s v="Check out our latest carousel on twitter!"/>
    <n v="432"/>
    <n v="171"/>
    <n v="280"/>
    <n v="3024"/>
    <n v="2285"/>
    <n v="184"/>
    <x v="0"/>
    <n v="0.29199735449735448"/>
    <s v="Hashtags-1"/>
    <x v="2"/>
  </r>
  <r>
    <s v="P066"/>
    <x v="0"/>
    <d v="2024-07-26T00:00:00"/>
    <x v="3"/>
    <s v="Check out our latest carousel on twitter!"/>
    <n v="432"/>
    <n v="171"/>
    <n v="280"/>
    <n v="3024"/>
    <n v="2285"/>
    <n v="184"/>
    <x v="0"/>
    <n v="0.29199735449735448"/>
    <s v="Hashtags_2"/>
    <x v="2"/>
  </r>
  <r>
    <s v="P067"/>
    <x v="3"/>
    <d v="2025-03-29T00:00:00"/>
    <x v="3"/>
    <s v="Check out our latest carousel on facebook!"/>
    <n v="4712"/>
    <n v="568"/>
    <n v="127"/>
    <n v="84816"/>
    <n v="84691"/>
    <n v="100"/>
    <x v="2"/>
    <n v="6.3749764195434822E-2"/>
    <s v="Hashtags Used"/>
    <x v="5"/>
  </r>
  <r>
    <s v="P067"/>
    <x v="3"/>
    <d v="2025-03-29T00:00:00"/>
    <x v="3"/>
    <s v="Check out our latest carousel on facebook!"/>
    <n v="4712"/>
    <n v="568"/>
    <n v="127"/>
    <n v="84816"/>
    <n v="84691"/>
    <n v="100"/>
    <x v="2"/>
    <n v="6.3749764195434822E-2"/>
    <s v="Hashtags-1"/>
    <x v="2"/>
  </r>
  <r>
    <s v="P067"/>
    <x v="3"/>
    <d v="2025-03-29T00:00:00"/>
    <x v="3"/>
    <s v="Check out our latest carousel on facebook!"/>
    <n v="4712"/>
    <n v="568"/>
    <n v="127"/>
    <n v="84816"/>
    <n v="84691"/>
    <n v="100"/>
    <x v="2"/>
    <n v="6.3749764195434822E-2"/>
    <s v="Hashtags_2"/>
    <x v="2"/>
  </r>
  <r>
    <s v="P068"/>
    <x v="2"/>
    <d v="2024-12-08T00:00:00"/>
    <x v="2"/>
    <s v="Check out our latest story on instagram!"/>
    <n v="2610"/>
    <n v="126"/>
    <n v="288"/>
    <n v="15660"/>
    <n v="15145"/>
    <n v="73"/>
    <x v="4"/>
    <n v="0.19310344827586207"/>
    <s v="Hashtags Used"/>
    <x v="5"/>
  </r>
  <r>
    <s v="P068"/>
    <x v="2"/>
    <d v="2024-12-08T00:00:00"/>
    <x v="2"/>
    <s v="Check out our latest story on instagram!"/>
    <n v="2610"/>
    <n v="126"/>
    <n v="288"/>
    <n v="15660"/>
    <n v="15145"/>
    <n v="73"/>
    <x v="4"/>
    <n v="0.19310344827586207"/>
    <s v="Hashtags-1"/>
    <x v="2"/>
  </r>
  <r>
    <s v="P068"/>
    <x v="2"/>
    <d v="2024-12-08T00:00:00"/>
    <x v="2"/>
    <s v="Check out our latest story on instagram!"/>
    <n v="2610"/>
    <n v="126"/>
    <n v="288"/>
    <n v="15660"/>
    <n v="15145"/>
    <n v="73"/>
    <x v="4"/>
    <n v="0.19310344827586207"/>
    <s v="Hashtags_2"/>
    <x v="2"/>
  </r>
  <r>
    <s v="P069"/>
    <x v="0"/>
    <d v="2025-03-08T00:00:00"/>
    <x v="1"/>
    <s v="Check out our latest text on twitter!"/>
    <n v="1292"/>
    <n v="626"/>
    <n v="496"/>
    <n v="25840"/>
    <n v="24916"/>
    <n v="149"/>
    <x v="2"/>
    <n v="9.3421052631578946E-2"/>
    <s v="Hashtags Used"/>
    <x v="0"/>
  </r>
  <r>
    <s v="P069"/>
    <x v="0"/>
    <d v="2025-03-08T00:00:00"/>
    <x v="1"/>
    <s v="Check out our latest text on twitter!"/>
    <n v="1292"/>
    <n v="626"/>
    <n v="496"/>
    <n v="25840"/>
    <n v="24916"/>
    <n v="149"/>
    <x v="2"/>
    <n v="9.3421052631578946E-2"/>
    <s v="Hashtags-1"/>
    <x v="2"/>
  </r>
  <r>
    <s v="P069"/>
    <x v="0"/>
    <d v="2025-03-08T00:00:00"/>
    <x v="1"/>
    <s v="Check out our latest text on twitter!"/>
    <n v="1292"/>
    <n v="626"/>
    <n v="496"/>
    <n v="25840"/>
    <n v="24916"/>
    <n v="149"/>
    <x v="2"/>
    <n v="9.3421052631578946E-2"/>
    <s v="Hashtags_2"/>
    <x v="2"/>
  </r>
  <r>
    <s v="P070"/>
    <x v="3"/>
    <d v="2025-04-02T00:00:00"/>
    <x v="5"/>
    <s v="Check out our latest video on facebook!"/>
    <n v="199"/>
    <n v="772"/>
    <n v="400"/>
    <n v="3582"/>
    <n v="2988"/>
    <n v="43"/>
    <x v="4"/>
    <n v="0.38274706867671693"/>
    <s v="Hashtags Used"/>
    <x v="3"/>
  </r>
  <r>
    <s v="P070"/>
    <x v="3"/>
    <d v="2025-04-02T00:00:00"/>
    <x v="5"/>
    <s v="Check out our latest video on facebook!"/>
    <n v="199"/>
    <n v="772"/>
    <n v="400"/>
    <n v="3582"/>
    <n v="2988"/>
    <n v="43"/>
    <x v="4"/>
    <n v="0.38274706867671693"/>
    <s v="Hashtags-1"/>
    <x v="2"/>
  </r>
  <r>
    <s v="P070"/>
    <x v="3"/>
    <d v="2025-04-02T00:00:00"/>
    <x v="5"/>
    <s v="Check out our latest video on facebook!"/>
    <n v="199"/>
    <n v="772"/>
    <n v="400"/>
    <n v="3582"/>
    <n v="2988"/>
    <n v="43"/>
    <x v="4"/>
    <n v="0.38274706867671693"/>
    <s v="Hashtags_2"/>
    <x v="2"/>
  </r>
  <r>
    <s v="P071"/>
    <x v="1"/>
    <d v="2024-09-02T00:00:00"/>
    <x v="3"/>
    <s v="Check out our latest carousel on youtube!"/>
    <n v="2551"/>
    <n v="915"/>
    <n v="205"/>
    <n v="30612"/>
    <n v="30360"/>
    <n v="227"/>
    <x v="1"/>
    <n v="0.1199202926956749"/>
    <s v="Hashtags Used"/>
    <x v="3"/>
  </r>
  <r>
    <s v="P071"/>
    <x v="1"/>
    <d v="2024-09-02T00:00:00"/>
    <x v="3"/>
    <s v="Check out our latest carousel on youtube!"/>
    <n v="2551"/>
    <n v="915"/>
    <n v="205"/>
    <n v="30612"/>
    <n v="30360"/>
    <n v="227"/>
    <x v="1"/>
    <n v="0.1199202926956749"/>
    <s v="Hashtags-1"/>
    <x v="2"/>
  </r>
  <r>
    <s v="P071"/>
    <x v="1"/>
    <d v="2024-09-02T00:00:00"/>
    <x v="3"/>
    <s v="Check out our latest carousel on youtube!"/>
    <n v="2551"/>
    <n v="915"/>
    <n v="205"/>
    <n v="30612"/>
    <n v="30360"/>
    <n v="227"/>
    <x v="1"/>
    <n v="0.1199202926956749"/>
    <s v="Hashtags_2"/>
    <x v="2"/>
  </r>
  <r>
    <s v="P072"/>
    <x v="1"/>
    <d v="2025-03-03T00:00:00"/>
    <x v="0"/>
    <s v="Check out our latest reel on youtube!"/>
    <n v="296"/>
    <n v="60"/>
    <n v="141"/>
    <n v="5624"/>
    <n v="5239"/>
    <n v="88"/>
    <x v="1"/>
    <n v="8.837126600284495E-2"/>
    <s v="Hashtags Used"/>
    <x v="5"/>
  </r>
  <r>
    <s v="P072"/>
    <x v="1"/>
    <d v="2025-03-03T00:00:00"/>
    <x v="0"/>
    <s v="Check out our latest reel on youtube!"/>
    <n v="296"/>
    <n v="60"/>
    <n v="141"/>
    <n v="5624"/>
    <n v="5239"/>
    <n v="88"/>
    <x v="1"/>
    <n v="8.837126600284495E-2"/>
    <s v="Hashtags-1"/>
    <x v="2"/>
  </r>
  <r>
    <s v="P072"/>
    <x v="1"/>
    <d v="2025-03-03T00:00:00"/>
    <x v="0"/>
    <s v="Check out our latest reel on youtube!"/>
    <n v="296"/>
    <n v="60"/>
    <n v="141"/>
    <n v="5624"/>
    <n v="5239"/>
    <n v="88"/>
    <x v="1"/>
    <n v="8.837126600284495E-2"/>
    <s v="Hashtags_2"/>
    <x v="2"/>
  </r>
  <r>
    <s v="P073"/>
    <x v="3"/>
    <d v="2024-10-18T00:00:00"/>
    <x v="2"/>
    <s v="Check out our latest story on facebook!"/>
    <n v="4126"/>
    <n v="426"/>
    <n v="486"/>
    <n v="78394"/>
    <n v="77798"/>
    <n v="88"/>
    <x v="3"/>
    <n v="6.4265122330790625E-2"/>
    <s v="Hashtags Used"/>
    <x v="0"/>
  </r>
  <r>
    <s v="P073"/>
    <x v="3"/>
    <d v="2024-10-18T00:00:00"/>
    <x v="2"/>
    <s v="Check out our latest story on facebook!"/>
    <n v="4126"/>
    <n v="426"/>
    <n v="486"/>
    <n v="78394"/>
    <n v="77798"/>
    <n v="88"/>
    <x v="3"/>
    <n v="6.4265122330790625E-2"/>
    <s v="Hashtags-1"/>
    <x v="2"/>
  </r>
  <r>
    <s v="P073"/>
    <x v="3"/>
    <d v="2024-10-18T00:00:00"/>
    <x v="2"/>
    <s v="Check out our latest story on facebook!"/>
    <n v="4126"/>
    <n v="426"/>
    <n v="486"/>
    <n v="78394"/>
    <n v="77798"/>
    <n v="88"/>
    <x v="3"/>
    <n v="6.4265122330790625E-2"/>
    <s v="Hashtags_2"/>
    <x v="2"/>
  </r>
  <r>
    <s v="P074"/>
    <x v="1"/>
    <d v="2024-10-28T00:00:00"/>
    <x v="0"/>
    <s v="Check out our latest reel on youtube!"/>
    <n v="1855"/>
    <n v="200"/>
    <n v="174"/>
    <n v="16695"/>
    <n v="16330"/>
    <n v="123"/>
    <x v="2"/>
    <n v="0.13351302785265048"/>
    <s v="Hashtags Used"/>
    <x v="3"/>
  </r>
  <r>
    <s v="P074"/>
    <x v="1"/>
    <d v="2024-10-28T00:00:00"/>
    <x v="0"/>
    <s v="Check out our latest reel on youtube!"/>
    <n v="1855"/>
    <n v="200"/>
    <n v="174"/>
    <n v="16695"/>
    <n v="16330"/>
    <n v="123"/>
    <x v="2"/>
    <n v="0.13351302785265048"/>
    <s v="Hashtags-1"/>
    <x v="2"/>
  </r>
  <r>
    <s v="P074"/>
    <x v="1"/>
    <d v="2024-10-28T00:00:00"/>
    <x v="0"/>
    <s v="Check out our latest reel on youtube!"/>
    <n v="1855"/>
    <n v="200"/>
    <n v="174"/>
    <n v="16695"/>
    <n v="16330"/>
    <n v="123"/>
    <x v="2"/>
    <n v="0.13351302785265048"/>
    <s v="Hashtags_2"/>
    <x v="2"/>
  </r>
  <r>
    <s v="P075"/>
    <x v="2"/>
    <d v="2024-08-01T00:00:00"/>
    <x v="0"/>
    <s v="Check out our latest reel on instagram!"/>
    <n v="1674"/>
    <n v="929"/>
    <n v="37"/>
    <n v="21762"/>
    <n v="20998"/>
    <n v="255"/>
    <x v="3"/>
    <n v="0.12131237937689551"/>
    <s v="Hashtags Used"/>
    <x v="3"/>
  </r>
  <r>
    <s v="P075"/>
    <x v="2"/>
    <d v="2024-08-01T00:00:00"/>
    <x v="0"/>
    <s v="Check out our latest reel on instagram!"/>
    <n v="1674"/>
    <n v="929"/>
    <n v="37"/>
    <n v="21762"/>
    <n v="20998"/>
    <n v="255"/>
    <x v="3"/>
    <n v="0.12131237937689551"/>
    <s v="Hashtags-1"/>
    <x v="2"/>
  </r>
  <r>
    <s v="P075"/>
    <x v="2"/>
    <d v="2024-08-01T00:00:00"/>
    <x v="0"/>
    <s v="Check out our latest reel on instagram!"/>
    <n v="1674"/>
    <n v="929"/>
    <n v="37"/>
    <n v="21762"/>
    <n v="20998"/>
    <n v="255"/>
    <x v="3"/>
    <n v="0.12131237937689551"/>
    <s v="Hashtags_2"/>
    <x v="2"/>
  </r>
  <r>
    <s v="P076"/>
    <x v="0"/>
    <d v="2024-11-07T00:00:00"/>
    <x v="2"/>
    <s v="Check out our latest story on twitter!"/>
    <n v="1121"/>
    <n v="135"/>
    <n v="18"/>
    <n v="15694"/>
    <n v="14957"/>
    <n v="99"/>
    <x v="3"/>
    <n v="8.1177520071364848E-2"/>
    <s v="Hashtags Used"/>
    <x v="3"/>
  </r>
  <r>
    <s v="P076"/>
    <x v="0"/>
    <d v="2024-11-07T00:00:00"/>
    <x v="2"/>
    <s v="Check out our latest story on twitter!"/>
    <n v="1121"/>
    <n v="135"/>
    <n v="18"/>
    <n v="15694"/>
    <n v="14957"/>
    <n v="99"/>
    <x v="3"/>
    <n v="8.1177520071364848E-2"/>
    <s v="Hashtags-1"/>
    <x v="2"/>
  </r>
  <r>
    <s v="P076"/>
    <x v="0"/>
    <d v="2024-11-07T00:00:00"/>
    <x v="2"/>
    <s v="Check out our latest story on twitter!"/>
    <n v="1121"/>
    <n v="135"/>
    <n v="18"/>
    <n v="15694"/>
    <n v="14957"/>
    <n v="99"/>
    <x v="3"/>
    <n v="8.1177520071364848E-2"/>
    <s v="Hashtags_2"/>
    <x v="2"/>
  </r>
  <r>
    <s v="P077"/>
    <x v="3"/>
    <d v="2025-03-04T00:00:00"/>
    <x v="2"/>
    <s v="Check out our latest story on facebook!"/>
    <n v="1249"/>
    <n v="116"/>
    <n v="420"/>
    <n v="8743"/>
    <n v="8538"/>
    <n v="63"/>
    <x v="4"/>
    <n v="0.20416333066453163"/>
    <s v="Hashtags Used"/>
    <x v="3"/>
  </r>
  <r>
    <s v="P077"/>
    <x v="3"/>
    <d v="2025-03-04T00:00:00"/>
    <x v="2"/>
    <s v="Check out our latest story on facebook!"/>
    <n v="1249"/>
    <n v="116"/>
    <n v="420"/>
    <n v="8743"/>
    <n v="8538"/>
    <n v="63"/>
    <x v="4"/>
    <n v="0.20416333066453163"/>
    <s v="Hashtags-1"/>
    <x v="2"/>
  </r>
  <r>
    <s v="P077"/>
    <x v="3"/>
    <d v="2025-03-04T00:00:00"/>
    <x v="2"/>
    <s v="Check out our latest story on facebook!"/>
    <n v="1249"/>
    <n v="116"/>
    <n v="420"/>
    <n v="8743"/>
    <n v="8538"/>
    <n v="63"/>
    <x v="4"/>
    <n v="0.20416333066453163"/>
    <s v="Hashtags_2"/>
    <x v="2"/>
  </r>
  <r>
    <s v="P078"/>
    <x v="0"/>
    <d v="2024-06-17T00:00:00"/>
    <x v="4"/>
    <s v="Check out our latest image on twitter!"/>
    <n v="954"/>
    <n v="324"/>
    <n v="288"/>
    <n v="19080"/>
    <n v="18859"/>
    <n v="21"/>
    <x v="3"/>
    <n v="8.2075471698113203E-2"/>
    <s v="Hashtags Used"/>
    <x v="0"/>
  </r>
  <r>
    <s v="P078"/>
    <x v="0"/>
    <d v="2024-06-17T00:00:00"/>
    <x v="4"/>
    <s v="Check out our latest image on twitter!"/>
    <n v="954"/>
    <n v="324"/>
    <n v="288"/>
    <n v="19080"/>
    <n v="18859"/>
    <n v="21"/>
    <x v="3"/>
    <n v="8.2075471698113203E-2"/>
    <s v="Hashtags-1"/>
    <x v="2"/>
  </r>
  <r>
    <s v="P078"/>
    <x v="0"/>
    <d v="2024-06-17T00:00:00"/>
    <x v="4"/>
    <s v="Check out our latest image on twitter!"/>
    <n v="954"/>
    <n v="324"/>
    <n v="288"/>
    <n v="19080"/>
    <n v="18859"/>
    <n v="21"/>
    <x v="3"/>
    <n v="8.2075471698113203E-2"/>
    <s v="Hashtags_2"/>
    <x v="2"/>
  </r>
  <r>
    <s v="P079"/>
    <x v="2"/>
    <d v="2024-10-09T00:00:00"/>
    <x v="3"/>
    <s v="Check out our latest carousel on instagram!"/>
    <n v="3068"/>
    <n v="137"/>
    <n v="329"/>
    <n v="39884"/>
    <n v="39404"/>
    <n v="266"/>
    <x v="1"/>
    <n v="8.860696018453515E-2"/>
    <s v="Hashtags Used"/>
    <x v="5"/>
  </r>
  <r>
    <s v="P079"/>
    <x v="2"/>
    <d v="2024-10-09T00:00:00"/>
    <x v="3"/>
    <s v="Check out our latest carousel on instagram!"/>
    <n v="3068"/>
    <n v="137"/>
    <n v="329"/>
    <n v="39884"/>
    <n v="39404"/>
    <n v="266"/>
    <x v="1"/>
    <n v="8.860696018453515E-2"/>
    <s v="Hashtags-1"/>
    <x v="2"/>
  </r>
  <r>
    <s v="P079"/>
    <x v="2"/>
    <d v="2024-10-09T00:00:00"/>
    <x v="3"/>
    <s v="Check out our latest carousel on instagram!"/>
    <n v="3068"/>
    <n v="137"/>
    <n v="329"/>
    <n v="39884"/>
    <n v="39404"/>
    <n v="266"/>
    <x v="1"/>
    <n v="8.860696018453515E-2"/>
    <s v="Hashtags_2"/>
    <x v="2"/>
  </r>
  <r>
    <s v="P080"/>
    <x v="2"/>
    <d v="2024-06-13T00:00:00"/>
    <x v="2"/>
    <s v="Check out our latest story on instagram!"/>
    <n v="2103"/>
    <n v="892"/>
    <n v="103"/>
    <n v="39957"/>
    <n v="39466"/>
    <n v="28"/>
    <x v="4"/>
    <n v="7.7533348349475686E-2"/>
    <s v="Hashtags Used"/>
    <x v="0"/>
  </r>
  <r>
    <s v="P080"/>
    <x v="2"/>
    <d v="2024-06-13T00:00:00"/>
    <x v="2"/>
    <s v="Check out our latest story on instagram!"/>
    <n v="2103"/>
    <n v="892"/>
    <n v="103"/>
    <n v="39957"/>
    <n v="39466"/>
    <n v="28"/>
    <x v="4"/>
    <n v="7.7533348349475686E-2"/>
    <s v="Hashtags-1"/>
    <x v="2"/>
  </r>
  <r>
    <s v="P080"/>
    <x v="2"/>
    <d v="2024-06-13T00:00:00"/>
    <x v="2"/>
    <s v="Check out our latest story on instagram!"/>
    <n v="2103"/>
    <n v="892"/>
    <n v="103"/>
    <n v="39957"/>
    <n v="39466"/>
    <n v="28"/>
    <x v="4"/>
    <n v="7.7533348349475686E-2"/>
    <s v="Hashtags_2"/>
    <x v="2"/>
  </r>
  <r>
    <s v="P081"/>
    <x v="2"/>
    <d v="2024-10-19T00:00:00"/>
    <x v="2"/>
    <s v="Check out our latest story on instagram!"/>
    <n v="1816"/>
    <n v="29"/>
    <n v="41"/>
    <n v="19976"/>
    <n v="19262"/>
    <n v="283"/>
    <x v="2"/>
    <n v="9.4413295955146179E-2"/>
    <s v="Hashtags Used"/>
    <x v="3"/>
  </r>
  <r>
    <s v="P081"/>
    <x v="2"/>
    <d v="2024-10-19T00:00:00"/>
    <x v="2"/>
    <s v="Check out our latest story on instagram!"/>
    <n v="1816"/>
    <n v="29"/>
    <n v="41"/>
    <n v="19976"/>
    <n v="19262"/>
    <n v="283"/>
    <x v="2"/>
    <n v="9.4413295955146179E-2"/>
    <s v="Hashtags-1"/>
    <x v="2"/>
  </r>
  <r>
    <s v="P081"/>
    <x v="2"/>
    <d v="2024-10-19T00:00:00"/>
    <x v="2"/>
    <s v="Check out our latest story on instagram!"/>
    <n v="1816"/>
    <n v="29"/>
    <n v="41"/>
    <n v="19976"/>
    <n v="19262"/>
    <n v="283"/>
    <x v="2"/>
    <n v="9.4413295955146179E-2"/>
    <s v="Hashtags_2"/>
    <x v="2"/>
  </r>
  <r>
    <s v="P082"/>
    <x v="2"/>
    <d v="2024-07-24T00:00:00"/>
    <x v="4"/>
    <s v="Check out our latest image on instagram!"/>
    <n v="725"/>
    <n v="88"/>
    <n v="428"/>
    <n v="14500"/>
    <n v="13637"/>
    <n v="200"/>
    <x v="2"/>
    <n v="8.558620689655172E-2"/>
    <s v="Hashtags Used"/>
    <x v="0"/>
  </r>
  <r>
    <s v="P082"/>
    <x v="2"/>
    <d v="2024-07-24T00:00:00"/>
    <x v="4"/>
    <s v="Check out our latest image on instagram!"/>
    <n v="725"/>
    <n v="88"/>
    <n v="428"/>
    <n v="14500"/>
    <n v="13637"/>
    <n v="200"/>
    <x v="2"/>
    <n v="8.558620689655172E-2"/>
    <s v="Hashtags-1"/>
    <x v="3"/>
  </r>
  <r>
    <s v="P082"/>
    <x v="2"/>
    <d v="2024-07-24T00:00:00"/>
    <x v="4"/>
    <s v="Check out our latest image on instagram!"/>
    <n v="725"/>
    <n v="88"/>
    <n v="428"/>
    <n v="14500"/>
    <n v="13637"/>
    <n v="200"/>
    <x v="2"/>
    <n v="8.558620689655172E-2"/>
    <s v="Hashtags_2"/>
    <x v="1"/>
  </r>
  <r>
    <s v="P083"/>
    <x v="1"/>
    <d v="2024-10-15T00:00:00"/>
    <x v="5"/>
    <s v="Check out our latest video on youtube!"/>
    <n v="1094"/>
    <n v="472"/>
    <n v="21"/>
    <n v="9846"/>
    <n v="9609"/>
    <n v="112"/>
    <x v="4"/>
    <n v="0.16118220597196831"/>
    <s v="Hashtags Used"/>
    <x v="5"/>
  </r>
  <r>
    <s v="P083"/>
    <x v="1"/>
    <d v="2024-10-15T00:00:00"/>
    <x v="5"/>
    <s v="Check out our latest video on youtube!"/>
    <n v="1094"/>
    <n v="472"/>
    <n v="21"/>
    <n v="9846"/>
    <n v="9609"/>
    <n v="112"/>
    <x v="4"/>
    <n v="0.16118220597196831"/>
    <s v="Hashtags-1"/>
    <x v="2"/>
  </r>
  <r>
    <s v="P083"/>
    <x v="1"/>
    <d v="2024-10-15T00:00:00"/>
    <x v="5"/>
    <s v="Check out our latest video on youtube!"/>
    <n v="1094"/>
    <n v="472"/>
    <n v="21"/>
    <n v="9846"/>
    <n v="9609"/>
    <n v="112"/>
    <x v="4"/>
    <n v="0.16118220597196831"/>
    <s v="Hashtags_2"/>
    <x v="2"/>
  </r>
  <r>
    <s v="P084"/>
    <x v="3"/>
    <d v="2024-12-09T00:00:00"/>
    <x v="4"/>
    <s v="Check out our latest image on facebook!"/>
    <n v="1841"/>
    <n v="851"/>
    <n v="342"/>
    <n v="34979"/>
    <n v="34154"/>
    <n v="255"/>
    <x v="3"/>
    <n v="8.6737756939878216E-2"/>
    <s v="Hashtags Used"/>
    <x v="0"/>
  </r>
  <r>
    <s v="P084"/>
    <x v="3"/>
    <d v="2024-12-09T00:00:00"/>
    <x v="4"/>
    <s v="Check out our latest image on facebook!"/>
    <n v="1841"/>
    <n v="851"/>
    <n v="342"/>
    <n v="34979"/>
    <n v="34154"/>
    <n v="255"/>
    <x v="3"/>
    <n v="8.6737756939878216E-2"/>
    <s v="Hashtags-1"/>
    <x v="2"/>
  </r>
  <r>
    <s v="P084"/>
    <x v="3"/>
    <d v="2024-12-09T00:00:00"/>
    <x v="4"/>
    <s v="Check out our latest image on facebook!"/>
    <n v="1841"/>
    <n v="851"/>
    <n v="342"/>
    <n v="34979"/>
    <n v="34154"/>
    <n v="255"/>
    <x v="3"/>
    <n v="8.6737756939878216E-2"/>
    <s v="Hashtags_2"/>
    <x v="2"/>
  </r>
  <r>
    <s v="P085"/>
    <x v="2"/>
    <d v="2025-04-19T00:00:00"/>
    <x v="4"/>
    <s v="Check out our latest image on instagram!"/>
    <n v="4177"/>
    <n v="569"/>
    <n v="55"/>
    <n v="25062"/>
    <n v="24847"/>
    <n v="230"/>
    <x v="0"/>
    <n v="0.19156491900087783"/>
    <s v="Hashtags Used"/>
    <x v="0"/>
  </r>
  <r>
    <s v="P085"/>
    <x v="2"/>
    <d v="2025-04-19T00:00:00"/>
    <x v="4"/>
    <s v="Check out our latest image on instagram!"/>
    <n v="4177"/>
    <n v="569"/>
    <n v="55"/>
    <n v="25062"/>
    <n v="24847"/>
    <n v="230"/>
    <x v="0"/>
    <n v="0.19156491900087783"/>
    <s v="Hashtags-1"/>
    <x v="2"/>
  </r>
  <r>
    <s v="P085"/>
    <x v="2"/>
    <d v="2025-04-19T00:00:00"/>
    <x v="4"/>
    <s v="Check out our latest image on instagram!"/>
    <n v="4177"/>
    <n v="569"/>
    <n v="55"/>
    <n v="25062"/>
    <n v="24847"/>
    <n v="230"/>
    <x v="0"/>
    <n v="0.19156491900087783"/>
    <s v="Hashtags_2"/>
    <x v="2"/>
  </r>
  <r>
    <s v="P086"/>
    <x v="1"/>
    <d v="2025-01-27T00:00:00"/>
    <x v="1"/>
    <s v="Check out our latest text on youtube!"/>
    <n v="3428"/>
    <n v="305"/>
    <n v="85"/>
    <n v="58276"/>
    <n v="58052"/>
    <n v="242"/>
    <x v="3"/>
    <n v="6.5515821264328367E-2"/>
    <s v="Hashtags Used"/>
    <x v="5"/>
  </r>
  <r>
    <s v="P086"/>
    <x v="1"/>
    <d v="2025-01-27T00:00:00"/>
    <x v="1"/>
    <s v="Check out our latest text on youtube!"/>
    <n v="3428"/>
    <n v="305"/>
    <n v="85"/>
    <n v="58276"/>
    <n v="58052"/>
    <n v="242"/>
    <x v="3"/>
    <n v="6.5515821264328367E-2"/>
    <s v="Hashtags-1"/>
    <x v="4"/>
  </r>
  <r>
    <s v="P086"/>
    <x v="1"/>
    <d v="2025-01-27T00:00:00"/>
    <x v="1"/>
    <s v="Check out our latest text on youtube!"/>
    <n v="3428"/>
    <n v="305"/>
    <n v="85"/>
    <n v="58276"/>
    <n v="58052"/>
    <n v="242"/>
    <x v="3"/>
    <n v="6.5515821264328367E-2"/>
    <s v="Hashtags_2"/>
    <x v="2"/>
  </r>
  <r>
    <s v="P087"/>
    <x v="0"/>
    <d v="2024-06-06T00:00:00"/>
    <x v="5"/>
    <s v="Check out our latest video on twitter!"/>
    <n v="1436"/>
    <n v="765"/>
    <n v="496"/>
    <n v="12924"/>
    <n v="12701"/>
    <n v="197"/>
    <x v="2"/>
    <n v="0.20868152274837512"/>
    <s v="Hashtags Used"/>
    <x v="0"/>
  </r>
  <r>
    <s v="P087"/>
    <x v="0"/>
    <d v="2024-06-06T00:00:00"/>
    <x v="5"/>
    <s v="Check out our latest video on twitter!"/>
    <n v="1436"/>
    <n v="765"/>
    <n v="496"/>
    <n v="12924"/>
    <n v="12701"/>
    <n v="197"/>
    <x v="2"/>
    <n v="0.20868152274837512"/>
    <s v="Hashtags-1"/>
    <x v="2"/>
  </r>
  <r>
    <s v="P087"/>
    <x v="0"/>
    <d v="2024-06-06T00:00:00"/>
    <x v="5"/>
    <s v="Check out our latest video on twitter!"/>
    <n v="1436"/>
    <n v="765"/>
    <n v="496"/>
    <n v="12924"/>
    <n v="12701"/>
    <n v="197"/>
    <x v="2"/>
    <n v="0.20868152274837512"/>
    <s v="Hashtags_2"/>
    <x v="2"/>
  </r>
  <r>
    <s v="P088"/>
    <x v="3"/>
    <d v="2024-07-07T00:00:00"/>
    <x v="2"/>
    <s v="Check out our latest story on facebook!"/>
    <n v="302"/>
    <n v="47"/>
    <n v="430"/>
    <n v="5738"/>
    <n v="4890"/>
    <n v="25"/>
    <x v="3"/>
    <n v="0.13576158940397351"/>
    <s v="Hashtags Used"/>
    <x v="3"/>
  </r>
  <r>
    <s v="P088"/>
    <x v="3"/>
    <d v="2024-07-07T00:00:00"/>
    <x v="2"/>
    <s v="Check out our latest story on facebook!"/>
    <n v="302"/>
    <n v="47"/>
    <n v="430"/>
    <n v="5738"/>
    <n v="4890"/>
    <n v="25"/>
    <x v="3"/>
    <n v="0.13576158940397351"/>
    <s v="Hashtags-1"/>
    <x v="2"/>
  </r>
  <r>
    <s v="P088"/>
    <x v="3"/>
    <d v="2024-07-07T00:00:00"/>
    <x v="2"/>
    <s v="Check out our latest story on facebook!"/>
    <n v="302"/>
    <n v="47"/>
    <n v="430"/>
    <n v="5738"/>
    <n v="4890"/>
    <n v="25"/>
    <x v="3"/>
    <n v="0.13576158940397351"/>
    <s v="Hashtags_2"/>
    <x v="2"/>
  </r>
  <r>
    <s v="P089"/>
    <x v="0"/>
    <d v="2025-01-10T00:00:00"/>
    <x v="4"/>
    <s v="Check out our latest image on twitter!"/>
    <n v="2214"/>
    <n v="249"/>
    <n v="152"/>
    <n v="15498"/>
    <n v="14800"/>
    <n v="180"/>
    <x v="4"/>
    <n v="0.16873144921925409"/>
    <s v="Hashtags Used"/>
    <x v="5"/>
  </r>
  <r>
    <s v="P089"/>
    <x v="0"/>
    <d v="2025-01-10T00:00:00"/>
    <x v="4"/>
    <s v="Check out our latest image on twitter!"/>
    <n v="2214"/>
    <n v="249"/>
    <n v="152"/>
    <n v="15498"/>
    <n v="14800"/>
    <n v="180"/>
    <x v="4"/>
    <n v="0.16873144921925409"/>
    <s v="Hashtags-1"/>
    <x v="2"/>
  </r>
  <r>
    <s v="P089"/>
    <x v="0"/>
    <d v="2025-01-10T00:00:00"/>
    <x v="4"/>
    <s v="Check out our latest image on twitter!"/>
    <n v="2214"/>
    <n v="249"/>
    <n v="152"/>
    <n v="15498"/>
    <n v="14800"/>
    <n v="180"/>
    <x v="4"/>
    <n v="0.16873144921925409"/>
    <s v="Hashtags_2"/>
    <x v="2"/>
  </r>
  <r>
    <s v="P090"/>
    <x v="2"/>
    <d v="2024-06-03T00:00:00"/>
    <x v="4"/>
    <s v="Check out our latest image on instagram!"/>
    <n v="3861"/>
    <n v="960"/>
    <n v="101"/>
    <n v="69498"/>
    <n v="68817"/>
    <n v="297"/>
    <x v="3"/>
    <n v="7.0822181933293038E-2"/>
    <s v="Hashtags Used"/>
    <x v="3"/>
  </r>
  <r>
    <s v="P090"/>
    <x v="2"/>
    <d v="2024-06-03T00:00:00"/>
    <x v="4"/>
    <s v="Check out our latest image on instagram!"/>
    <n v="3861"/>
    <n v="960"/>
    <n v="101"/>
    <n v="69498"/>
    <n v="68817"/>
    <n v="297"/>
    <x v="3"/>
    <n v="7.0822181933293038E-2"/>
    <s v="Hashtags-1"/>
    <x v="2"/>
  </r>
  <r>
    <s v="P090"/>
    <x v="2"/>
    <d v="2024-06-03T00:00:00"/>
    <x v="4"/>
    <s v="Check out our latest image on instagram!"/>
    <n v="3861"/>
    <n v="960"/>
    <n v="101"/>
    <n v="69498"/>
    <n v="68817"/>
    <n v="297"/>
    <x v="3"/>
    <n v="7.0822181933293038E-2"/>
    <s v="Hashtags_2"/>
    <x v="2"/>
  </r>
  <r>
    <s v="P091"/>
    <x v="3"/>
    <d v="2025-03-24T00:00:00"/>
    <x v="4"/>
    <s v="Check out our latest image on facebook!"/>
    <n v="1263"/>
    <n v="397"/>
    <n v="357"/>
    <n v="25260"/>
    <n v="24615"/>
    <n v="137"/>
    <x v="3"/>
    <n v="7.984956452889945E-2"/>
    <s v="Hashtags Used"/>
    <x v="5"/>
  </r>
  <r>
    <s v="P091"/>
    <x v="3"/>
    <d v="2025-03-24T00:00:00"/>
    <x v="4"/>
    <s v="Check out our latest image on facebook!"/>
    <n v="1263"/>
    <n v="397"/>
    <n v="357"/>
    <n v="25260"/>
    <n v="24615"/>
    <n v="137"/>
    <x v="3"/>
    <n v="7.984956452889945E-2"/>
    <s v="Hashtags-1"/>
    <x v="2"/>
  </r>
  <r>
    <s v="P091"/>
    <x v="3"/>
    <d v="2025-03-24T00:00:00"/>
    <x v="4"/>
    <s v="Check out our latest image on facebook!"/>
    <n v="1263"/>
    <n v="397"/>
    <n v="357"/>
    <n v="25260"/>
    <n v="24615"/>
    <n v="137"/>
    <x v="3"/>
    <n v="7.984956452889945E-2"/>
    <s v="Hashtags_2"/>
    <x v="2"/>
  </r>
  <r>
    <s v="P092"/>
    <x v="0"/>
    <d v="2024-10-21T00:00:00"/>
    <x v="2"/>
    <s v="Check out our latest story on twitter!"/>
    <n v="3801"/>
    <n v="967"/>
    <n v="401"/>
    <n v="38010"/>
    <n v="37625"/>
    <n v="236"/>
    <x v="2"/>
    <n v="0.13599052880820836"/>
    <s v="Hashtags Used"/>
    <x v="0"/>
  </r>
  <r>
    <s v="P092"/>
    <x v="0"/>
    <d v="2024-10-21T00:00:00"/>
    <x v="2"/>
    <s v="Check out our latest story on twitter!"/>
    <n v="3801"/>
    <n v="967"/>
    <n v="401"/>
    <n v="38010"/>
    <n v="37625"/>
    <n v="236"/>
    <x v="2"/>
    <n v="0.13599052880820836"/>
    <s v="Hashtags-1"/>
    <x v="2"/>
  </r>
  <r>
    <s v="P092"/>
    <x v="0"/>
    <d v="2024-10-21T00:00:00"/>
    <x v="2"/>
    <s v="Check out our latest story on twitter!"/>
    <n v="3801"/>
    <n v="967"/>
    <n v="401"/>
    <n v="38010"/>
    <n v="37625"/>
    <n v="236"/>
    <x v="2"/>
    <n v="0.13599052880820836"/>
    <s v="Hashtags_2"/>
    <x v="2"/>
  </r>
  <r>
    <s v="P093"/>
    <x v="2"/>
    <d v="2024-12-11T00:00:00"/>
    <x v="5"/>
    <s v="Check out our latest video on instagram!"/>
    <n v="1431"/>
    <n v="951"/>
    <n v="26"/>
    <n v="8586"/>
    <n v="8396"/>
    <n v="150"/>
    <x v="2"/>
    <n v="0.28045655718611695"/>
    <s v="Hashtags Used"/>
    <x v="5"/>
  </r>
  <r>
    <s v="P093"/>
    <x v="2"/>
    <d v="2024-12-11T00:00:00"/>
    <x v="5"/>
    <s v="Check out our latest video on instagram!"/>
    <n v="1431"/>
    <n v="951"/>
    <n v="26"/>
    <n v="8586"/>
    <n v="8396"/>
    <n v="150"/>
    <x v="2"/>
    <n v="0.28045655718611695"/>
    <s v="Hashtags-1"/>
    <x v="2"/>
  </r>
  <r>
    <s v="P093"/>
    <x v="2"/>
    <d v="2024-12-11T00:00:00"/>
    <x v="5"/>
    <s v="Check out our latest video on instagram!"/>
    <n v="1431"/>
    <n v="951"/>
    <n v="26"/>
    <n v="8586"/>
    <n v="8396"/>
    <n v="150"/>
    <x v="2"/>
    <n v="0.28045655718611695"/>
    <s v="Hashtags_2"/>
    <x v="2"/>
  </r>
  <r>
    <s v="P094"/>
    <x v="2"/>
    <d v="2024-11-07T00:00:00"/>
    <x v="4"/>
    <s v="Check out our latest image on instagram!"/>
    <n v="2647"/>
    <n v="304"/>
    <n v="170"/>
    <n v="18529"/>
    <n v="17841"/>
    <n v="46"/>
    <x v="2"/>
    <n v="0.16843866371633656"/>
    <s v="Hashtags Used"/>
    <x v="0"/>
  </r>
  <r>
    <s v="P094"/>
    <x v="2"/>
    <d v="2024-11-07T00:00:00"/>
    <x v="4"/>
    <s v="Check out our latest image on instagram!"/>
    <n v="2647"/>
    <n v="304"/>
    <n v="170"/>
    <n v="18529"/>
    <n v="17841"/>
    <n v="46"/>
    <x v="2"/>
    <n v="0.16843866371633656"/>
    <s v="Hashtags-1"/>
    <x v="2"/>
  </r>
  <r>
    <s v="P094"/>
    <x v="2"/>
    <d v="2024-11-07T00:00:00"/>
    <x v="4"/>
    <s v="Check out our latest image on instagram!"/>
    <n v="2647"/>
    <n v="304"/>
    <n v="170"/>
    <n v="18529"/>
    <n v="17841"/>
    <n v="46"/>
    <x v="2"/>
    <n v="0.16843866371633656"/>
    <s v="Hashtags_2"/>
    <x v="2"/>
  </r>
  <r>
    <s v="P095"/>
    <x v="2"/>
    <d v="2024-11-08T00:00:00"/>
    <x v="1"/>
    <s v="Check out our latest text on instagram!"/>
    <n v="3182"/>
    <n v="559"/>
    <n v="160"/>
    <n v="57276"/>
    <n v="56890"/>
    <n v="163"/>
    <x v="3"/>
    <n v="6.8108806480899509E-2"/>
    <s v="Hashtags Used"/>
    <x v="0"/>
  </r>
  <r>
    <s v="P095"/>
    <x v="2"/>
    <d v="2024-11-08T00:00:00"/>
    <x v="1"/>
    <s v="Check out our latest text on instagram!"/>
    <n v="3182"/>
    <n v="559"/>
    <n v="160"/>
    <n v="57276"/>
    <n v="56890"/>
    <n v="163"/>
    <x v="3"/>
    <n v="6.8108806480899509E-2"/>
    <s v="Hashtags-1"/>
    <x v="2"/>
  </r>
  <r>
    <s v="P095"/>
    <x v="2"/>
    <d v="2024-11-08T00:00:00"/>
    <x v="1"/>
    <s v="Check out our latest text on instagram!"/>
    <n v="3182"/>
    <n v="559"/>
    <n v="160"/>
    <n v="57276"/>
    <n v="56890"/>
    <n v="163"/>
    <x v="3"/>
    <n v="6.8108806480899509E-2"/>
    <s v="Hashtags_2"/>
    <x v="2"/>
  </r>
  <r>
    <s v="P096"/>
    <x v="0"/>
    <d v="2024-09-10T00:00:00"/>
    <x v="4"/>
    <s v="Check out our latest image on twitter!"/>
    <n v="1238"/>
    <n v="366"/>
    <n v="444"/>
    <n v="19808"/>
    <n v="19334"/>
    <n v="123"/>
    <x v="4"/>
    <n v="0.10339256865912763"/>
    <s v="Hashtags Used"/>
    <x v="0"/>
  </r>
  <r>
    <s v="P096"/>
    <x v="0"/>
    <d v="2024-09-10T00:00:00"/>
    <x v="4"/>
    <s v="Check out our latest image on twitter!"/>
    <n v="1238"/>
    <n v="366"/>
    <n v="444"/>
    <n v="19808"/>
    <n v="19334"/>
    <n v="123"/>
    <x v="4"/>
    <n v="0.10339256865912763"/>
    <s v="Hashtags-1"/>
    <x v="2"/>
  </r>
  <r>
    <s v="P096"/>
    <x v="0"/>
    <d v="2024-09-10T00:00:00"/>
    <x v="4"/>
    <s v="Check out our latest image on twitter!"/>
    <n v="1238"/>
    <n v="366"/>
    <n v="444"/>
    <n v="19808"/>
    <n v="19334"/>
    <n v="123"/>
    <x v="4"/>
    <n v="0.10339256865912763"/>
    <s v="Hashtags_2"/>
    <x v="2"/>
  </r>
  <r>
    <s v="P097"/>
    <x v="2"/>
    <d v="2024-08-13T00:00:00"/>
    <x v="4"/>
    <s v="Check out our latest image on instagram!"/>
    <n v="4739"/>
    <n v="527"/>
    <n v="135"/>
    <n v="61607"/>
    <n v="61333"/>
    <n v="36"/>
    <x v="1"/>
    <n v="8.7668609086629767E-2"/>
    <s v="Hashtags Used"/>
    <x v="3"/>
  </r>
  <r>
    <s v="P097"/>
    <x v="2"/>
    <d v="2024-08-13T00:00:00"/>
    <x v="4"/>
    <s v="Check out our latest image on instagram!"/>
    <n v="4739"/>
    <n v="527"/>
    <n v="135"/>
    <n v="61607"/>
    <n v="61333"/>
    <n v="36"/>
    <x v="1"/>
    <n v="8.7668609086629767E-2"/>
    <s v="Hashtags-1"/>
    <x v="1"/>
  </r>
  <r>
    <s v="P097"/>
    <x v="2"/>
    <d v="2024-08-13T00:00:00"/>
    <x v="4"/>
    <s v="Check out our latest image on instagram!"/>
    <n v="4739"/>
    <n v="527"/>
    <n v="135"/>
    <n v="61607"/>
    <n v="61333"/>
    <n v="36"/>
    <x v="1"/>
    <n v="8.7668609086629767E-2"/>
    <s v="Hashtags_2"/>
    <x v="2"/>
  </r>
  <r>
    <s v="P098"/>
    <x v="0"/>
    <d v="2024-06-10T00:00:00"/>
    <x v="2"/>
    <s v="Check out our latest story on twitter!"/>
    <n v="1575"/>
    <n v="771"/>
    <n v="486"/>
    <n v="25200"/>
    <n v="24826"/>
    <n v="17"/>
    <x v="3"/>
    <n v="0.11238095238095239"/>
    <s v="Hashtags Used"/>
    <x v="0"/>
  </r>
  <r>
    <s v="P098"/>
    <x v="0"/>
    <d v="2024-06-10T00:00:00"/>
    <x v="2"/>
    <s v="Check out our latest story on twitter!"/>
    <n v="1575"/>
    <n v="771"/>
    <n v="486"/>
    <n v="25200"/>
    <n v="24826"/>
    <n v="17"/>
    <x v="3"/>
    <n v="0.11238095238095239"/>
    <s v="Hashtags-1"/>
    <x v="2"/>
  </r>
  <r>
    <s v="P098"/>
    <x v="0"/>
    <d v="2024-06-10T00:00:00"/>
    <x v="2"/>
    <s v="Check out our latest story on twitter!"/>
    <n v="1575"/>
    <n v="771"/>
    <n v="486"/>
    <n v="25200"/>
    <n v="24826"/>
    <n v="17"/>
    <x v="3"/>
    <n v="0.11238095238095239"/>
    <s v="Hashtags_2"/>
    <x v="2"/>
  </r>
  <r>
    <s v="P099"/>
    <x v="1"/>
    <d v="2024-07-02T00:00:00"/>
    <x v="3"/>
    <s v="Check out our latest carousel on youtube!"/>
    <n v="4171"/>
    <n v="548"/>
    <n v="86"/>
    <n v="66736"/>
    <n v="66634"/>
    <n v="173"/>
    <x v="2"/>
    <n v="7.2000119875329657E-2"/>
    <s v="Hashtags Used"/>
    <x v="0"/>
  </r>
  <r>
    <s v="P099"/>
    <x v="1"/>
    <d v="2024-07-02T00:00:00"/>
    <x v="3"/>
    <s v="Check out our latest carousel on youtube!"/>
    <n v="4171"/>
    <n v="548"/>
    <n v="86"/>
    <n v="66736"/>
    <n v="66634"/>
    <n v="173"/>
    <x v="2"/>
    <n v="7.2000119875329657E-2"/>
    <s v="Hashtags-1"/>
    <x v="2"/>
  </r>
  <r>
    <s v="P099"/>
    <x v="1"/>
    <d v="2024-07-02T00:00:00"/>
    <x v="3"/>
    <s v="Check out our latest carousel on youtube!"/>
    <n v="4171"/>
    <n v="548"/>
    <n v="86"/>
    <n v="66736"/>
    <n v="66634"/>
    <n v="173"/>
    <x v="2"/>
    <n v="7.2000119875329657E-2"/>
    <s v="Hashtags_2"/>
    <x v="2"/>
  </r>
  <r>
    <s v="P100"/>
    <x v="1"/>
    <d v="2025-02-10T00:00:00"/>
    <x v="5"/>
    <s v="Check out our latest video on youtube!"/>
    <n v="1766"/>
    <n v="92"/>
    <n v="424"/>
    <n v="24724"/>
    <n v="24333"/>
    <n v="52"/>
    <x v="4"/>
    <n v="9.2298980747451867E-2"/>
    <s v="Hashtags Used"/>
    <x v="5"/>
  </r>
  <r>
    <s v="P100"/>
    <x v="1"/>
    <d v="2025-02-10T00:00:00"/>
    <x v="5"/>
    <s v="Check out our latest video on youtube!"/>
    <n v="1766"/>
    <n v="92"/>
    <n v="424"/>
    <n v="24724"/>
    <n v="24333"/>
    <n v="52"/>
    <x v="4"/>
    <n v="9.2298980747451867E-2"/>
    <s v="Hashtags-1"/>
    <x v="2"/>
  </r>
  <r>
    <s v="P100"/>
    <x v="1"/>
    <d v="2025-02-10T00:00:00"/>
    <x v="5"/>
    <s v="Check out our latest video on youtube!"/>
    <n v="1766"/>
    <n v="92"/>
    <n v="424"/>
    <n v="24724"/>
    <n v="24333"/>
    <n v="52"/>
    <x v="4"/>
    <n v="9.2298980747451867E-2"/>
    <s v="Hashtags_2"/>
    <x v="2"/>
  </r>
  <r>
    <s v="P101"/>
    <x v="1"/>
    <d v="2024-10-18T00:00:00"/>
    <x v="5"/>
    <s v="Check out our latest video on youtube!"/>
    <n v="4450"/>
    <n v="983"/>
    <n v="143"/>
    <n v="75650"/>
    <n v="75008"/>
    <n v="12"/>
    <x v="2"/>
    <n v="7.3707865168539333E-2"/>
    <s v="Hashtags Used"/>
    <x v="0"/>
  </r>
  <r>
    <s v="P101"/>
    <x v="1"/>
    <d v="2024-10-18T00:00:00"/>
    <x v="5"/>
    <s v="Check out our latest video on youtube!"/>
    <n v="4450"/>
    <n v="983"/>
    <n v="143"/>
    <n v="75650"/>
    <n v="75008"/>
    <n v="12"/>
    <x v="2"/>
    <n v="7.3707865168539333E-2"/>
    <s v="Hashtags-1"/>
    <x v="2"/>
  </r>
  <r>
    <s v="P101"/>
    <x v="1"/>
    <d v="2024-10-18T00:00:00"/>
    <x v="5"/>
    <s v="Check out our latest video on youtube!"/>
    <n v="4450"/>
    <n v="983"/>
    <n v="143"/>
    <n v="75650"/>
    <n v="75008"/>
    <n v="12"/>
    <x v="2"/>
    <n v="7.3707865168539333E-2"/>
    <s v="Hashtags_2"/>
    <x v="2"/>
  </r>
  <r>
    <s v="P102"/>
    <x v="0"/>
    <d v="2024-09-18T00:00:00"/>
    <x v="0"/>
    <s v="Check out our latest reel on twitter!"/>
    <n v="1000"/>
    <n v="978"/>
    <n v="162"/>
    <n v="6000"/>
    <n v="5221"/>
    <n v="223"/>
    <x v="1"/>
    <n v="0.35666666666666669"/>
    <s v="Hashtags Used"/>
    <x v="5"/>
  </r>
  <r>
    <s v="P102"/>
    <x v="0"/>
    <d v="2024-09-18T00:00:00"/>
    <x v="0"/>
    <s v="Check out our latest reel on twitter!"/>
    <n v="1000"/>
    <n v="978"/>
    <n v="162"/>
    <n v="6000"/>
    <n v="5221"/>
    <n v="223"/>
    <x v="1"/>
    <n v="0.35666666666666669"/>
    <s v="Hashtags-1"/>
    <x v="2"/>
  </r>
  <r>
    <s v="P102"/>
    <x v="0"/>
    <d v="2024-09-18T00:00:00"/>
    <x v="0"/>
    <s v="Check out our latest reel on twitter!"/>
    <n v="1000"/>
    <n v="978"/>
    <n v="162"/>
    <n v="6000"/>
    <n v="5221"/>
    <n v="223"/>
    <x v="1"/>
    <n v="0.35666666666666669"/>
    <s v="Hashtags_2"/>
    <x v="2"/>
  </r>
  <r>
    <s v="P103"/>
    <x v="3"/>
    <d v="2024-06-11T00:00:00"/>
    <x v="4"/>
    <s v="Check out our latest image on facebook!"/>
    <n v="3689"/>
    <n v="48"/>
    <n v="306"/>
    <n v="40579"/>
    <n v="39588"/>
    <n v="212"/>
    <x v="1"/>
    <n v="9.9632815002833983E-2"/>
    <s v="Hashtags Used"/>
    <x v="5"/>
  </r>
  <r>
    <s v="P103"/>
    <x v="3"/>
    <d v="2024-06-11T00:00:00"/>
    <x v="4"/>
    <s v="Check out our latest image on facebook!"/>
    <n v="3689"/>
    <n v="48"/>
    <n v="306"/>
    <n v="40579"/>
    <n v="39588"/>
    <n v="212"/>
    <x v="1"/>
    <n v="9.9632815002833983E-2"/>
    <s v="Hashtags-1"/>
    <x v="2"/>
  </r>
  <r>
    <s v="P103"/>
    <x v="3"/>
    <d v="2024-06-11T00:00:00"/>
    <x v="4"/>
    <s v="Check out our latest image on facebook!"/>
    <n v="3689"/>
    <n v="48"/>
    <n v="306"/>
    <n v="40579"/>
    <n v="39588"/>
    <n v="212"/>
    <x v="1"/>
    <n v="9.9632815002833983E-2"/>
    <s v="Hashtags_2"/>
    <x v="2"/>
  </r>
  <r>
    <s v="P104"/>
    <x v="1"/>
    <d v="2025-03-23T00:00:00"/>
    <x v="2"/>
    <s v="Check out our latest story on youtube!"/>
    <n v="3655"/>
    <n v="568"/>
    <n v="286"/>
    <n v="32895"/>
    <n v="32015"/>
    <n v="199"/>
    <x v="2"/>
    <n v="0.13707250341997265"/>
    <s v="Hashtags Used"/>
    <x v="3"/>
  </r>
  <r>
    <s v="P104"/>
    <x v="1"/>
    <d v="2025-03-23T00:00:00"/>
    <x v="2"/>
    <s v="Check out our latest story on youtube!"/>
    <n v="3655"/>
    <n v="568"/>
    <n v="286"/>
    <n v="32895"/>
    <n v="32015"/>
    <n v="199"/>
    <x v="2"/>
    <n v="0.13707250341997265"/>
    <s v="Hashtags-1"/>
    <x v="2"/>
  </r>
  <r>
    <s v="P104"/>
    <x v="1"/>
    <d v="2025-03-23T00:00:00"/>
    <x v="2"/>
    <s v="Check out our latest story on youtube!"/>
    <n v="3655"/>
    <n v="568"/>
    <n v="286"/>
    <n v="32895"/>
    <n v="32015"/>
    <n v="199"/>
    <x v="2"/>
    <n v="0.13707250341997265"/>
    <s v="Hashtags_2"/>
    <x v="2"/>
  </r>
  <r>
    <s v="P105"/>
    <x v="2"/>
    <d v="2024-06-14T00:00:00"/>
    <x v="3"/>
    <s v="Check out our latest carousel on instagram!"/>
    <n v="498"/>
    <n v="38"/>
    <n v="42"/>
    <n v="4482"/>
    <n v="3647"/>
    <n v="32"/>
    <x v="0"/>
    <n v="0.12896028558679162"/>
    <s v="Hashtags Used"/>
    <x v="0"/>
  </r>
  <r>
    <s v="P105"/>
    <x v="2"/>
    <d v="2024-06-14T00:00:00"/>
    <x v="3"/>
    <s v="Check out our latest carousel on instagram!"/>
    <n v="498"/>
    <n v="38"/>
    <n v="42"/>
    <n v="4482"/>
    <n v="3647"/>
    <n v="32"/>
    <x v="0"/>
    <n v="0.12896028558679162"/>
    <s v="Hashtags-1"/>
    <x v="2"/>
  </r>
  <r>
    <s v="P105"/>
    <x v="2"/>
    <d v="2024-06-14T00:00:00"/>
    <x v="3"/>
    <s v="Check out our latest carousel on instagram!"/>
    <n v="498"/>
    <n v="38"/>
    <n v="42"/>
    <n v="4482"/>
    <n v="3647"/>
    <n v="32"/>
    <x v="0"/>
    <n v="0.12896028558679162"/>
    <s v="Hashtags_2"/>
    <x v="2"/>
  </r>
  <r>
    <s v="P106"/>
    <x v="2"/>
    <d v="2025-02-04T00:00:00"/>
    <x v="4"/>
    <s v="Check out our latest image on instagram!"/>
    <n v="4619"/>
    <n v="821"/>
    <n v="499"/>
    <n v="69285"/>
    <n v="69141"/>
    <n v="298"/>
    <x v="3"/>
    <n v="8.5718409468138843E-2"/>
    <s v="Hashtags Used"/>
    <x v="3"/>
  </r>
  <r>
    <s v="P106"/>
    <x v="2"/>
    <d v="2025-02-04T00:00:00"/>
    <x v="4"/>
    <s v="Check out our latest image on instagram!"/>
    <n v="4619"/>
    <n v="821"/>
    <n v="499"/>
    <n v="69285"/>
    <n v="69141"/>
    <n v="298"/>
    <x v="3"/>
    <n v="8.5718409468138843E-2"/>
    <s v="Hashtags-1"/>
    <x v="2"/>
  </r>
  <r>
    <s v="P106"/>
    <x v="2"/>
    <d v="2025-02-04T00:00:00"/>
    <x v="4"/>
    <s v="Check out our latest image on instagram!"/>
    <n v="4619"/>
    <n v="821"/>
    <n v="499"/>
    <n v="69285"/>
    <n v="69141"/>
    <n v="298"/>
    <x v="3"/>
    <n v="8.5718409468138843E-2"/>
    <s v="Hashtags_2"/>
    <x v="2"/>
  </r>
  <r>
    <s v="P107"/>
    <x v="1"/>
    <d v="2024-06-21T00:00:00"/>
    <x v="4"/>
    <s v="Check out our latest image on youtube!"/>
    <n v="4832"/>
    <n v="893"/>
    <n v="10"/>
    <n v="91808"/>
    <n v="91296"/>
    <n v="182"/>
    <x v="4"/>
    <n v="6.2467323109097243E-2"/>
    <s v="Hashtags Used"/>
    <x v="3"/>
  </r>
  <r>
    <s v="P107"/>
    <x v="1"/>
    <d v="2024-06-21T00:00:00"/>
    <x v="4"/>
    <s v="Check out our latest image on youtube!"/>
    <n v="4832"/>
    <n v="893"/>
    <n v="10"/>
    <n v="91808"/>
    <n v="91296"/>
    <n v="182"/>
    <x v="4"/>
    <n v="6.2467323109097243E-2"/>
    <s v="Hashtags-1"/>
    <x v="2"/>
  </r>
  <r>
    <s v="P107"/>
    <x v="1"/>
    <d v="2024-06-21T00:00:00"/>
    <x v="4"/>
    <s v="Check out our latest image on youtube!"/>
    <n v="4832"/>
    <n v="893"/>
    <n v="10"/>
    <n v="91808"/>
    <n v="91296"/>
    <n v="182"/>
    <x v="4"/>
    <n v="6.2467323109097243E-2"/>
    <s v="Hashtags_2"/>
    <x v="2"/>
  </r>
  <r>
    <s v="P108"/>
    <x v="0"/>
    <d v="2025-03-25T00:00:00"/>
    <x v="5"/>
    <s v="Check out our latest video on twitter!"/>
    <n v="4050"/>
    <n v="871"/>
    <n v="347"/>
    <n v="52650"/>
    <n v="51755"/>
    <n v="209"/>
    <x v="1"/>
    <n v="0.10005698005698006"/>
    <s v="Hashtags Used"/>
    <x v="3"/>
  </r>
  <r>
    <s v="P108"/>
    <x v="0"/>
    <d v="2025-03-25T00:00:00"/>
    <x v="5"/>
    <s v="Check out our latest video on twitter!"/>
    <n v="4050"/>
    <n v="871"/>
    <n v="347"/>
    <n v="52650"/>
    <n v="51755"/>
    <n v="209"/>
    <x v="1"/>
    <n v="0.10005698005698006"/>
    <s v="Hashtags-1"/>
    <x v="2"/>
  </r>
  <r>
    <s v="P108"/>
    <x v="0"/>
    <d v="2025-03-25T00:00:00"/>
    <x v="5"/>
    <s v="Check out our latest video on twitter!"/>
    <n v="4050"/>
    <n v="871"/>
    <n v="347"/>
    <n v="52650"/>
    <n v="51755"/>
    <n v="209"/>
    <x v="1"/>
    <n v="0.10005698005698006"/>
    <s v="Hashtags_2"/>
    <x v="2"/>
  </r>
  <r>
    <s v="P109"/>
    <x v="0"/>
    <d v="2024-08-08T00:00:00"/>
    <x v="2"/>
    <s v="Check out our latest story on twitter!"/>
    <n v="3649"/>
    <n v="215"/>
    <n v="413"/>
    <n v="25543"/>
    <n v="24963"/>
    <n v="167"/>
    <x v="2"/>
    <n v="0.16744313510550835"/>
    <s v="Hashtags Used"/>
    <x v="0"/>
  </r>
  <r>
    <s v="P109"/>
    <x v="0"/>
    <d v="2024-08-08T00:00:00"/>
    <x v="2"/>
    <s v="Check out our latest story on twitter!"/>
    <n v="3649"/>
    <n v="215"/>
    <n v="413"/>
    <n v="25543"/>
    <n v="24963"/>
    <n v="167"/>
    <x v="2"/>
    <n v="0.16744313510550835"/>
    <s v="Hashtags-1"/>
    <x v="2"/>
  </r>
  <r>
    <s v="P109"/>
    <x v="0"/>
    <d v="2024-08-08T00:00:00"/>
    <x v="2"/>
    <s v="Check out our latest story on twitter!"/>
    <n v="3649"/>
    <n v="215"/>
    <n v="413"/>
    <n v="25543"/>
    <n v="24963"/>
    <n v="167"/>
    <x v="2"/>
    <n v="0.16744313510550835"/>
    <s v="Hashtags_2"/>
    <x v="2"/>
  </r>
  <r>
    <s v="P110"/>
    <x v="2"/>
    <d v="2024-07-29T00:00:00"/>
    <x v="0"/>
    <s v="Check out our latest reel on instagram!"/>
    <n v="3523"/>
    <n v="753"/>
    <n v="482"/>
    <n v="38753"/>
    <n v="38579"/>
    <n v="270"/>
    <x v="1"/>
    <n v="0.12277759141227776"/>
    <s v="Hashtags Used"/>
    <x v="5"/>
  </r>
  <r>
    <s v="P110"/>
    <x v="2"/>
    <d v="2024-07-29T00:00:00"/>
    <x v="0"/>
    <s v="Check out our latest reel on instagram!"/>
    <n v="3523"/>
    <n v="753"/>
    <n v="482"/>
    <n v="38753"/>
    <n v="38579"/>
    <n v="270"/>
    <x v="1"/>
    <n v="0.12277759141227776"/>
    <s v="Hashtags-1"/>
    <x v="2"/>
  </r>
  <r>
    <s v="P110"/>
    <x v="2"/>
    <d v="2024-07-29T00:00:00"/>
    <x v="0"/>
    <s v="Check out our latest reel on instagram!"/>
    <n v="3523"/>
    <n v="753"/>
    <n v="482"/>
    <n v="38753"/>
    <n v="38579"/>
    <n v="270"/>
    <x v="1"/>
    <n v="0.12277759141227776"/>
    <s v="Hashtags_2"/>
    <x v="2"/>
  </r>
  <r>
    <s v="P111"/>
    <x v="1"/>
    <d v="2024-11-23T00:00:00"/>
    <x v="4"/>
    <s v="Check out our latest image on youtube!"/>
    <n v="2719"/>
    <n v="17"/>
    <n v="285"/>
    <n v="40785"/>
    <n v="40281"/>
    <n v="40"/>
    <x v="1"/>
    <n v="7.4071349760941527E-2"/>
    <s v="Hashtags Used"/>
    <x v="3"/>
  </r>
  <r>
    <s v="P111"/>
    <x v="1"/>
    <d v="2024-11-23T00:00:00"/>
    <x v="4"/>
    <s v="Check out our latest image on youtube!"/>
    <n v="2719"/>
    <n v="17"/>
    <n v="285"/>
    <n v="40785"/>
    <n v="40281"/>
    <n v="40"/>
    <x v="1"/>
    <n v="7.4071349760941527E-2"/>
    <s v="Hashtags-1"/>
    <x v="2"/>
  </r>
  <r>
    <s v="P111"/>
    <x v="1"/>
    <d v="2024-11-23T00:00:00"/>
    <x v="4"/>
    <s v="Check out our latest image on youtube!"/>
    <n v="2719"/>
    <n v="17"/>
    <n v="285"/>
    <n v="40785"/>
    <n v="40281"/>
    <n v="40"/>
    <x v="1"/>
    <n v="7.4071349760941527E-2"/>
    <s v="Hashtags_2"/>
    <x v="2"/>
  </r>
  <r>
    <s v="P112"/>
    <x v="0"/>
    <d v="2024-10-05T00:00:00"/>
    <x v="2"/>
    <s v="Check out our latest story on twitter!"/>
    <n v="1957"/>
    <n v="877"/>
    <n v="238"/>
    <n v="17613"/>
    <n v="16865"/>
    <n v="297"/>
    <x v="2"/>
    <n v="0.17441662408448305"/>
    <s v="Hashtags Used"/>
    <x v="0"/>
  </r>
  <r>
    <s v="P112"/>
    <x v="0"/>
    <d v="2024-10-05T00:00:00"/>
    <x v="2"/>
    <s v="Check out our latest story on twitter!"/>
    <n v="1957"/>
    <n v="877"/>
    <n v="238"/>
    <n v="17613"/>
    <n v="16865"/>
    <n v="297"/>
    <x v="2"/>
    <n v="0.17441662408448305"/>
    <s v="Hashtags-1"/>
    <x v="2"/>
  </r>
  <r>
    <s v="P112"/>
    <x v="0"/>
    <d v="2024-10-05T00:00:00"/>
    <x v="2"/>
    <s v="Check out our latest story on twitter!"/>
    <n v="1957"/>
    <n v="877"/>
    <n v="238"/>
    <n v="17613"/>
    <n v="16865"/>
    <n v="297"/>
    <x v="2"/>
    <n v="0.17441662408448305"/>
    <s v="Hashtags_2"/>
    <x v="2"/>
  </r>
  <r>
    <s v="P113"/>
    <x v="0"/>
    <d v="2024-10-02T00:00:00"/>
    <x v="3"/>
    <s v="Check out our latest carousel on twitter!"/>
    <n v="4419"/>
    <n v="236"/>
    <n v="369"/>
    <n v="44190"/>
    <n v="43582"/>
    <n v="10"/>
    <x v="0"/>
    <n v="0.11369088028965829"/>
    <s v="Hashtags Used"/>
    <x v="5"/>
  </r>
  <r>
    <s v="P113"/>
    <x v="0"/>
    <d v="2024-10-02T00:00:00"/>
    <x v="3"/>
    <s v="Check out our latest carousel on twitter!"/>
    <n v="4419"/>
    <n v="236"/>
    <n v="369"/>
    <n v="44190"/>
    <n v="43582"/>
    <n v="10"/>
    <x v="0"/>
    <n v="0.11369088028965829"/>
    <s v="Hashtags-1"/>
    <x v="2"/>
  </r>
  <r>
    <s v="P113"/>
    <x v="0"/>
    <d v="2024-10-02T00:00:00"/>
    <x v="3"/>
    <s v="Check out our latest carousel on twitter!"/>
    <n v="4419"/>
    <n v="236"/>
    <n v="369"/>
    <n v="44190"/>
    <n v="43582"/>
    <n v="10"/>
    <x v="0"/>
    <n v="0.11369088028965829"/>
    <s v="Hashtags_2"/>
    <x v="2"/>
  </r>
  <r>
    <s v="P114"/>
    <x v="0"/>
    <d v="2024-11-14T00:00:00"/>
    <x v="2"/>
    <s v="Check out our latest story on twitter!"/>
    <n v="4000"/>
    <n v="689"/>
    <n v="488"/>
    <n v="40000"/>
    <n v="39569"/>
    <n v="44"/>
    <x v="0"/>
    <n v="0.12942500000000001"/>
    <s v="Hashtags Used"/>
    <x v="0"/>
  </r>
  <r>
    <s v="P114"/>
    <x v="0"/>
    <d v="2024-11-14T00:00:00"/>
    <x v="2"/>
    <s v="Check out our latest story on twitter!"/>
    <n v="4000"/>
    <n v="689"/>
    <n v="488"/>
    <n v="40000"/>
    <n v="39569"/>
    <n v="44"/>
    <x v="0"/>
    <n v="0.12942500000000001"/>
    <s v="Hashtags-1"/>
    <x v="2"/>
  </r>
  <r>
    <s v="P114"/>
    <x v="0"/>
    <d v="2024-11-14T00:00:00"/>
    <x v="2"/>
    <s v="Check out our latest story on twitter!"/>
    <n v="4000"/>
    <n v="689"/>
    <n v="488"/>
    <n v="40000"/>
    <n v="39569"/>
    <n v="44"/>
    <x v="0"/>
    <n v="0.12942500000000001"/>
    <s v="Hashtags_2"/>
    <x v="2"/>
  </r>
  <r>
    <s v="P115"/>
    <x v="0"/>
    <d v="2025-05-11T00:00:00"/>
    <x v="4"/>
    <s v="Check out our latest image on twitter!"/>
    <n v="2493"/>
    <n v="97"/>
    <n v="44"/>
    <n v="42381"/>
    <n v="41991"/>
    <n v="242"/>
    <x v="3"/>
    <n v="6.2150491965739366E-2"/>
    <s v="Hashtags Used"/>
    <x v="3"/>
  </r>
  <r>
    <s v="P115"/>
    <x v="0"/>
    <d v="2025-05-11T00:00:00"/>
    <x v="4"/>
    <s v="Check out our latest image on twitter!"/>
    <n v="2493"/>
    <n v="97"/>
    <n v="44"/>
    <n v="42381"/>
    <n v="41991"/>
    <n v="242"/>
    <x v="3"/>
    <n v="6.2150491965739366E-2"/>
    <s v="Hashtags-1"/>
    <x v="1"/>
  </r>
  <r>
    <s v="P115"/>
    <x v="0"/>
    <d v="2025-05-11T00:00:00"/>
    <x v="4"/>
    <s v="Check out our latest image on twitter!"/>
    <n v="2493"/>
    <n v="97"/>
    <n v="44"/>
    <n v="42381"/>
    <n v="41991"/>
    <n v="242"/>
    <x v="3"/>
    <n v="6.2150491965739366E-2"/>
    <s v="Hashtags_2"/>
    <x v="2"/>
  </r>
  <r>
    <s v="P116"/>
    <x v="1"/>
    <d v="2025-03-18T00:00:00"/>
    <x v="0"/>
    <s v="Check out our latest reel on youtube!"/>
    <n v="3704"/>
    <n v="186"/>
    <n v="458"/>
    <n v="25928"/>
    <n v="25081"/>
    <n v="131"/>
    <x v="4"/>
    <n v="0.16769515581610614"/>
    <s v="Hashtags Used"/>
    <x v="3"/>
  </r>
  <r>
    <s v="P116"/>
    <x v="1"/>
    <d v="2025-03-18T00:00:00"/>
    <x v="0"/>
    <s v="Check out our latest reel on youtube!"/>
    <n v="3704"/>
    <n v="186"/>
    <n v="458"/>
    <n v="25928"/>
    <n v="25081"/>
    <n v="131"/>
    <x v="4"/>
    <n v="0.16769515581610614"/>
    <s v="Hashtags-1"/>
    <x v="2"/>
  </r>
  <r>
    <s v="P116"/>
    <x v="1"/>
    <d v="2025-03-18T00:00:00"/>
    <x v="0"/>
    <s v="Check out our latest reel on youtube!"/>
    <n v="3704"/>
    <n v="186"/>
    <n v="458"/>
    <n v="25928"/>
    <n v="25081"/>
    <n v="131"/>
    <x v="4"/>
    <n v="0.16769515581610614"/>
    <s v="Hashtags_2"/>
    <x v="2"/>
  </r>
  <r>
    <s v="P117"/>
    <x v="0"/>
    <d v="2024-11-04T00:00:00"/>
    <x v="4"/>
    <s v="Check out our latest image on twitter!"/>
    <n v="1606"/>
    <n v="451"/>
    <n v="405"/>
    <n v="20878"/>
    <n v="20190"/>
    <n v="219"/>
    <x v="3"/>
    <n v="0.11792317271769326"/>
    <s v="Hashtags Used"/>
    <x v="5"/>
  </r>
  <r>
    <s v="P117"/>
    <x v="0"/>
    <d v="2024-11-04T00:00:00"/>
    <x v="4"/>
    <s v="Check out our latest image on twitter!"/>
    <n v="1606"/>
    <n v="451"/>
    <n v="405"/>
    <n v="20878"/>
    <n v="20190"/>
    <n v="219"/>
    <x v="3"/>
    <n v="0.11792317271769326"/>
    <s v="Hashtags-1"/>
    <x v="2"/>
  </r>
  <r>
    <s v="P117"/>
    <x v="0"/>
    <d v="2024-11-04T00:00:00"/>
    <x v="4"/>
    <s v="Check out our latest image on twitter!"/>
    <n v="1606"/>
    <n v="451"/>
    <n v="405"/>
    <n v="20878"/>
    <n v="20190"/>
    <n v="219"/>
    <x v="3"/>
    <n v="0.11792317271769326"/>
    <s v="Hashtags_2"/>
    <x v="2"/>
  </r>
  <r>
    <s v="P118"/>
    <x v="3"/>
    <d v="2024-11-04T00:00:00"/>
    <x v="4"/>
    <s v="Check out our latest image on facebook!"/>
    <n v="4551"/>
    <n v="714"/>
    <n v="207"/>
    <n v="68265"/>
    <n v="67754"/>
    <n v="57"/>
    <x v="2"/>
    <n v="8.0158206987475278E-2"/>
    <s v="Hashtags Used"/>
    <x v="0"/>
  </r>
  <r>
    <s v="P118"/>
    <x v="3"/>
    <d v="2024-11-04T00:00:00"/>
    <x v="4"/>
    <s v="Check out our latest image on facebook!"/>
    <n v="4551"/>
    <n v="714"/>
    <n v="207"/>
    <n v="68265"/>
    <n v="67754"/>
    <n v="57"/>
    <x v="2"/>
    <n v="8.0158206987475278E-2"/>
    <s v="Hashtags-1"/>
    <x v="2"/>
  </r>
  <r>
    <s v="P118"/>
    <x v="3"/>
    <d v="2024-11-04T00:00:00"/>
    <x v="4"/>
    <s v="Check out our latest image on facebook!"/>
    <n v="4551"/>
    <n v="714"/>
    <n v="207"/>
    <n v="68265"/>
    <n v="67754"/>
    <n v="57"/>
    <x v="2"/>
    <n v="8.0158206987475278E-2"/>
    <s v="Hashtags_2"/>
    <x v="2"/>
  </r>
  <r>
    <s v="P119"/>
    <x v="2"/>
    <d v="2025-02-07T00:00:00"/>
    <x v="0"/>
    <s v="Check out our latest reel on instagram!"/>
    <n v="1970"/>
    <n v="675"/>
    <n v="478"/>
    <n v="9850"/>
    <n v="8924"/>
    <n v="117"/>
    <x v="4"/>
    <n v="0.31705583756345179"/>
    <s v="Hashtags Used"/>
    <x v="0"/>
  </r>
  <r>
    <s v="P119"/>
    <x v="2"/>
    <d v="2025-02-07T00:00:00"/>
    <x v="0"/>
    <s v="Check out our latest reel on instagram!"/>
    <n v="1970"/>
    <n v="675"/>
    <n v="478"/>
    <n v="9850"/>
    <n v="8924"/>
    <n v="117"/>
    <x v="4"/>
    <n v="0.31705583756345179"/>
    <s v="Hashtags-1"/>
    <x v="2"/>
  </r>
  <r>
    <s v="P119"/>
    <x v="2"/>
    <d v="2025-02-07T00:00:00"/>
    <x v="0"/>
    <s v="Check out our latest reel on instagram!"/>
    <n v="1970"/>
    <n v="675"/>
    <n v="478"/>
    <n v="9850"/>
    <n v="8924"/>
    <n v="117"/>
    <x v="4"/>
    <n v="0.31705583756345179"/>
    <s v="Hashtags_2"/>
    <x v="2"/>
  </r>
  <r>
    <s v="P120"/>
    <x v="3"/>
    <d v="2024-10-21T00:00:00"/>
    <x v="2"/>
    <s v="Check out our latest story on facebook!"/>
    <n v="780"/>
    <n v="928"/>
    <n v="301"/>
    <n v="8580"/>
    <n v="8081"/>
    <n v="91"/>
    <x v="2"/>
    <n v="0.23414918414918415"/>
    <s v="Hashtags Used"/>
    <x v="5"/>
  </r>
  <r>
    <s v="P120"/>
    <x v="3"/>
    <d v="2024-10-21T00:00:00"/>
    <x v="2"/>
    <s v="Check out our latest story on facebook!"/>
    <n v="780"/>
    <n v="928"/>
    <n v="301"/>
    <n v="8580"/>
    <n v="8081"/>
    <n v="91"/>
    <x v="2"/>
    <n v="0.23414918414918415"/>
    <s v="Hashtags-1"/>
    <x v="2"/>
  </r>
  <r>
    <s v="P120"/>
    <x v="3"/>
    <d v="2024-10-21T00:00:00"/>
    <x v="2"/>
    <s v="Check out our latest story on facebook!"/>
    <n v="780"/>
    <n v="928"/>
    <n v="301"/>
    <n v="8580"/>
    <n v="8081"/>
    <n v="91"/>
    <x v="2"/>
    <n v="0.23414918414918415"/>
    <s v="Hashtags_2"/>
    <x v="2"/>
  </r>
  <r>
    <s v="P121"/>
    <x v="2"/>
    <d v="2024-07-29T00:00:00"/>
    <x v="2"/>
    <s v="Check out our latest story on instagram!"/>
    <n v="498"/>
    <n v="701"/>
    <n v="412"/>
    <n v="4980"/>
    <n v="4185"/>
    <n v="185"/>
    <x v="4"/>
    <n v="0.32349397590361445"/>
    <s v="Hashtags Used"/>
    <x v="0"/>
  </r>
  <r>
    <s v="P121"/>
    <x v="2"/>
    <d v="2024-07-29T00:00:00"/>
    <x v="2"/>
    <s v="Check out our latest story on instagram!"/>
    <n v="498"/>
    <n v="701"/>
    <n v="412"/>
    <n v="4980"/>
    <n v="4185"/>
    <n v="185"/>
    <x v="4"/>
    <n v="0.32349397590361445"/>
    <s v="Hashtags-1"/>
    <x v="2"/>
  </r>
  <r>
    <s v="P121"/>
    <x v="2"/>
    <d v="2024-07-29T00:00:00"/>
    <x v="2"/>
    <s v="Check out our latest story on instagram!"/>
    <n v="498"/>
    <n v="701"/>
    <n v="412"/>
    <n v="4980"/>
    <n v="4185"/>
    <n v="185"/>
    <x v="4"/>
    <n v="0.32349397590361445"/>
    <s v="Hashtags_2"/>
    <x v="2"/>
  </r>
  <r>
    <s v="P122"/>
    <x v="2"/>
    <d v="2024-10-02T00:00:00"/>
    <x v="1"/>
    <s v="Check out our latest text on instagram!"/>
    <n v="3432"/>
    <n v="869"/>
    <n v="123"/>
    <n v="54912"/>
    <n v="53916"/>
    <n v="264"/>
    <x v="1"/>
    <n v="8.0565268065268064E-2"/>
    <s v="Hashtags Used"/>
    <x v="5"/>
  </r>
  <r>
    <s v="P122"/>
    <x v="2"/>
    <d v="2024-10-02T00:00:00"/>
    <x v="1"/>
    <s v="Check out our latest text on instagram!"/>
    <n v="3432"/>
    <n v="869"/>
    <n v="123"/>
    <n v="54912"/>
    <n v="53916"/>
    <n v="264"/>
    <x v="1"/>
    <n v="8.0565268065268064E-2"/>
    <s v="Hashtags-1"/>
    <x v="2"/>
  </r>
  <r>
    <s v="P122"/>
    <x v="2"/>
    <d v="2024-10-02T00:00:00"/>
    <x v="1"/>
    <s v="Check out our latest text on instagram!"/>
    <n v="3432"/>
    <n v="869"/>
    <n v="123"/>
    <n v="54912"/>
    <n v="53916"/>
    <n v="264"/>
    <x v="1"/>
    <n v="8.0565268065268064E-2"/>
    <s v="Hashtags_2"/>
    <x v="2"/>
  </r>
  <r>
    <s v="P123"/>
    <x v="2"/>
    <d v="2024-06-14T00:00:00"/>
    <x v="2"/>
    <s v="Check out our latest story on instagram!"/>
    <n v="4363"/>
    <n v="649"/>
    <n v="140"/>
    <n v="21815"/>
    <n v="21481"/>
    <n v="157"/>
    <x v="0"/>
    <n v="0.23616777446710979"/>
    <s v="Hashtags Used"/>
    <x v="5"/>
  </r>
  <r>
    <s v="P123"/>
    <x v="2"/>
    <d v="2024-06-14T00:00:00"/>
    <x v="2"/>
    <s v="Check out our latest story on instagram!"/>
    <n v="4363"/>
    <n v="649"/>
    <n v="140"/>
    <n v="21815"/>
    <n v="21481"/>
    <n v="157"/>
    <x v="0"/>
    <n v="0.23616777446710979"/>
    <s v="Hashtags-1"/>
    <x v="2"/>
  </r>
  <r>
    <s v="P123"/>
    <x v="2"/>
    <d v="2024-06-14T00:00:00"/>
    <x v="2"/>
    <s v="Check out our latest story on instagram!"/>
    <n v="4363"/>
    <n v="649"/>
    <n v="140"/>
    <n v="21815"/>
    <n v="21481"/>
    <n v="157"/>
    <x v="0"/>
    <n v="0.23616777446710979"/>
    <s v="Hashtags_2"/>
    <x v="2"/>
  </r>
  <r>
    <s v="P124"/>
    <x v="1"/>
    <d v="2025-04-06T00:00:00"/>
    <x v="3"/>
    <s v="Check out our latest carousel on youtube!"/>
    <n v="736"/>
    <n v="771"/>
    <n v="225"/>
    <n v="5152"/>
    <n v="4706"/>
    <n v="19"/>
    <x v="0"/>
    <n v="0.33618012422360249"/>
    <s v="Hashtags Used"/>
    <x v="5"/>
  </r>
  <r>
    <s v="P124"/>
    <x v="1"/>
    <d v="2025-04-06T00:00:00"/>
    <x v="3"/>
    <s v="Check out our latest carousel on youtube!"/>
    <n v="736"/>
    <n v="771"/>
    <n v="225"/>
    <n v="5152"/>
    <n v="4706"/>
    <n v="19"/>
    <x v="0"/>
    <n v="0.33618012422360249"/>
    <s v="Hashtags-1"/>
    <x v="2"/>
  </r>
  <r>
    <s v="P124"/>
    <x v="1"/>
    <d v="2025-04-06T00:00:00"/>
    <x v="3"/>
    <s v="Check out our latest carousel on youtube!"/>
    <n v="736"/>
    <n v="771"/>
    <n v="225"/>
    <n v="5152"/>
    <n v="4706"/>
    <n v="19"/>
    <x v="0"/>
    <n v="0.33618012422360249"/>
    <s v="Hashtags_2"/>
    <x v="2"/>
  </r>
  <r>
    <s v="P125"/>
    <x v="0"/>
    <d v="2024-09-08T00:00:00"/>
    <x v="3"/>
    <s v="Check out our latest carousel on twitter!"/>
    <n v="3811"/>
    <n v="866"/>
    <n v="216"/>
    <n v="34299"/>
    <n v="34088"/>
    <n v="233"/>
    <x v="3"/>
    <n v="0.14265722032712325"/>
    <s v="Hashtags Used"/>
    <x v="3"/>
  </r>
  <r>
    <s v="P125"/>
    <x v="0"/>
    <d v="2024-09-08T00:00:00"/>
    <x v="3"/>
    <s v="Check out our latest carousel on twitter!"/>
    <n v="3811"/>
    <n v="866"/>
    <n v="216"/>
    <n v="34299"/>
    <n v="34088"/>
    <n v="233"/>
    <x v="3"/>
    <n v="0.14265722032712325"/>
    <s v="Hashtags-1"/>
    <x v="2"/>
  </r>
  <r>
    <s v="P125"/>
    <x v="0"/>
    <d v="2024-09-08T00:00:00"/>
    <x v="3"/>
    <s v="Check out our latest carousel on twitter!"/>
    <n v="3811"/>
    <n v="866"/>
    <n v="216"/>
    <n v="34299"/>
    <n v="34088"/>
    <n v="233"/>
    <x v="3"/>
    <n v="0.14265722032712325"/>
    <s v="Hashtags_2"/>
    <x v="2"/>
  </r>
  <r>
    <s v="P126"/>
    <x v="2"/>
    <d v="2025-03-28T00:00:00"/>
    <x v="3"/>
    <s v="Check out our latest carousel on instagram!"/>
    <n v="4158"/>
    <n v="167"/>
    <n v="241"/>
    <n v="45738"/>
    <n v="45183"/>
    <n v="142"/>
    <x v="4"/>
    <n v="9.9829463465827106E-2"/>
    <s v="Hashtags Used"/>
    <x v="0"/>
  </r>
  <r>
    <s v="P126"/>
    <x v="2"/>
    <d v="2025-03-28T00:00:00"/>
    <x v="3"/>
    <s v="Check out our latest carousel on instagram!"/>
    <n v="4158"/>
    <n v="167"/>
    <n v="241"/>
    <n v="45738"/>
    <n v="45183"/>
    <n v="142"/>
    <x v="4"/>
    <n v="9.9829463465827106E-2"/>
    <s v="Hashtags-1"/>
    <x v="2"/>
  </r>
  <r>
    <s v="P126"/>
    <x v="2"/>
    <d v="2025-03-28T00:00:00"/>
    <x v="3"/>
    <s v="Check out our latest carousel on instagram!"/>
    <n v="4158"/>
    <n v="167"/>
    <n v="241"/>
    <n v="45738"/>
    <n v="45183"/>
    <n v="142"/>
    <x v="4"/>
    <n v="9.9829463465827106E-2"/>
    <s v="Hashtags_2"/>
    <x v="2"/>
  </r>
  <r>
    <s v="P127"/>
    <x v="3"/>
    <d v="2025-01-27T00:00:00"/>
    <x v="0"/>
    <s v="Check out our latest reel on facebook!"/>
    <n v="3452"/>
    <n v="652"/>
    <n v="442"/>
    <n v="65588"/>
    <n v="65049"/>
    <n v="158"/>
    <x v="2"/>
    <n v="6.9311459413307311E-2"/>
    <s v="Hashtags Used"/>
    <x v="0"/>
  </r>
  <r>
    <s v="P127"/>
    <x v="3"/>
    <d v="2025-01-27T00:00:00"/>
    <x v="0"/>
    <s v="Check out our latest reel on facebook!"/>
    <n v="3452"/>
    <n v="652"/>
    <n v="442"/>
    <n v="65588"/>
    <n v="65049"/>
    <n v="158"/>
    <x v="2"/>
    <n v="6.9311459413307311E-2"/>
    <s v="Hashtags-1"/>
    <x v="2"/>
  </r>
  <r>
    <s v="P127"/>
    <x v="3"/>
    <d v="2025-01-27T00:00:00"/>
    <x v="0"/>
    <s v="Check out our latest reel on facebook!"/>
    <n v="3452"/>
    <n v="652"/>
    <n v="442"/>
    <n v="65588"/>
    <n v="65049"/>
    <n v="158"/>
    <x v="2"/>
    <n v="6.9311459413307311E-2"/>
    <s v="Hashtags_2"/>
    <x v="2"/>
  </r>
  <r>
    <s v="P128"/>
    <x v="0"/>
    <d v="2025-01-10T00:00:00"/>
    <x v="4"/>
    <s v="Check out our latest image on twitter!"/>
    <n v="3092"/>
    <n v="106"/>
    <n v="291"/>
    <n v="27828"/>
    <n v="27217"/>
    <n v="102"/>
    <x v="4"/>
    <n v="0.12537731780940059"/>
    <s v="Hashtags Used"/>
    <x v="0"/>
  </r>
  <r>
    <s v="P128"/>
    <x v="0"/>
    <d v="2025-01-10T00:00:00"/>
    <x v="4"/>
    <s v="Check out our latest image on twitter!"/>
    <n v="3092"/>
    <n v="106"/>
    <n v="291"/>
    <n v="27828"/>
    <n v="27217"/>
    <n v="102"/>
    <x v="4"/>
    <n v="0.12537731780940059"/>
    <s v="Hashtags-1"/>
    <x v="2"/>
  </r>
  <r>
    <s v="P128"/>
    <x v="0"/>
    <d v="2025-01-10T00:00:00"/>
    <x v="4"/>
    <s v="Check out our latest image on twitter!"/>
    <n v="3092"/>
    <n v="106"/>
    <n v="291"/>
    <n v="27828"/>
    <n v="27217"/>
    <n v="102"/>
    <x v="4"/>
    <n v="0.12537731780940059"/>
    <s v="Hashtags_2"/>
    <x v="2"/>
  </r>
  <r>
    <s v="P129"/>
    <x v="0"/>
    <d v="2024-07-21T00:00:00"/>
    <x v="1"/>
    <s v="Check out our latest text on twitter!"/>
    <n v="2147"/>
    <n v="430"/>
    <n v="393"/>
    <n v="17176"/>
    <n v="16483"/>
    <n v="170"/>
    <x v="4"/>
    <n v="0.17291569632044715"/>
    <s v="Hashtags Used"/>
    <x v="3"/>
  </r>
  <r>
    <s v="P129"/>
    <x v="0"/>
    <d v="2024-07-21T00:00:00"/>
    <x v="1"/>
    <s v="Check out our latest text on twitter!"/>
    <n v="2147"/>
    <n v="430"/>
    <n v="393"/>
    <n v="17176"/>
    <n v="16483"/>
    <n v="170"/>
    <x v="4"/>
    <n v="0.17291569632044715"/>
    <s v="Hashtags-1"/>
    <x v="2"/>
  </r>
  <r>
    <s v="P129"/>
    <x v="0"/>
    <d v="2024-07-21T00:00:00"/>
    <x v="1"/>
    <s v="Check out our latest text on twitter!"/>
    <n v="2147"/>
    <n v="430"/>
    <n v="393"/>
    <n v="17176"/>
    <n v="16483"/>
    <n v="170"/>
    <x v="4"/>
    <n v="0.17291569632044715"/>
    <s v="Hashtags_2"/>
    <x v="2"/>
  </r>
  <r>
    <s v="P130"/>
    <x v="1"/>
    <d v="2024-09-29T00:00:00"/>
    <x v="0"/>
    <s v="Check out our latest reel on youtube!"/>
    <n v="2936"/>
    <n v="439"/>
    <n v="44"/>
    <n v="38168"/>
    <n v="37571"/>
    <n v="22"/>
    <x v="3"/>
    <n v="8.9577656675749323E-2"/>
    <s v="Hashtags Used"/>
    <x v="5"/>
  </r>
  <r>
    <s v="P130"/>
    <x v="1"/>
    <d v="2024-09-29T00:00:00"/>
    <x v="0"/>
    <s v="Check out our latest reel on youtube!"/>
    <n v="2936"/>
    <n v="439"/>
    <n v="44"/>
    <n v="38168"/>
    <n v="37571"/>
    <n v="22"/>
    <x v="3"/>
    <n v="8.9577656675749323E-2"/>
    <s v="Hashtags-1"/>
    <x v="2"/>
  </r>
  <r>
    <s v="P130"/>
    <x v="1"/>
    <d v="2024-09-29T00:00:00"/>
    <x v="0"/>
    <s v="Check out our latest reel on youtube!"/>
    <n v="2936"/>
    <n v="439"/>
    <n v="44"/>
    <n v="38168"/>
    <n v="37571"/>
    <n v="22"/>
    <x v="3"/>
    <n v="8.9577656675749323E-2"/>
    <s v="Hashtags_2"/>
    <x v="2"/>
  </r>
  <r>
    <s v="P131"/>
    <x v="2"/>
    <d v="2024-10-21T00:00:00"/>
    <x v="0"/>
    <s v="Check out our latest reel on instagram!"/>
    <n v="4840"/>
    <n v="658"/>
    <n v="211"/>
    <n v="43560"/>
    <n v="43225"/>
    <n v="57"/>
    <x v="2"/>
    <n v="0.13106060606060607"/>
    <s v="Hashtags Used"/>
    <x v="0"/>
  </r>
  <r>
    <s v="P131"/>
    <x v="2"/>
    <d v="2024-10-21T00:00:00"/>
    <x v="0"/>
    <s v="Check out our latest reel on instagram!"/>
    <n v="4840"/>
    <n v="658"/>
    <n v="211"/>
    <n v="43560"/>
    <n v="43225"/>
    <n v="57"/>
    <x v="2"/>
    <n v="0.13106060606060607"/>
    <s v="Hashtags-1"/>
    <x v="2"/>
  </r>
  <r>
    <s v="P131"/>
    <x v="2"/>
    <d v="2024-10-21T00:00:00"/>
    <x v="0"/>
    <s v="Check out our latest reel on instagram!"/>
    <n v="4840"/>
    <n v="658"/>
    <n v="211"/>
    <n v="43560"/>
    <n v="43225"/>
    <n v="57"/>
    <x v="2"/>
    <n v="0.13106060606060607"/>
    <s v="Hashtags_2"/>
    <x v="2"/>
  </r>
  <r>
    <s v="P132"/>
    <x v="2"/>
    <d v="2025-03-04T00:00:00"/>
    <x v="2"/>
    <s v="Check out our latest story on instagram!"/>
    <n v="1947"/>
    <n v="842"/>
    <n v="101"/>
    <n v="21417"/>
    <n v="20967"/>
    <n v="186"/>
    <x v="1"/>
    <n v="0.13493953401503478"/>
    <s v="Hashtags Used"/>
    <x v="0"/>
  </r>
  <r>
    <s v="P132"/>
    <x v="2"/>
    <d v="2025-03-04T00:00:00"/>
    <x v="2"/>
    <s v="Check out our latest story on instagram!"/>
    <n v="1947"/>
    <n v="842"/>
    <n v="101"/>
    <n v="21417"/>
    <n v="20967"/>
    <n v="186"/>
    <x v="1"/>
    <n v="0.13493953401503478"/>
    <s v="Hashtags-1"/>
    <x v="2"/>
  </r>
  <r>
    <s v="P132"/>
    <x v="2"/>
    <d v="2025-03-04T00:00:00"/>
    <x v="2"/>
    <s v="Check out our latest story on instagram!"/>
    <n v="1947"/>
    <n v="842"/>
    <n v="101"/>
    <n v="21417"/>
    <n v="20967"/>
    <n v="186"/>
    <x v="1"/>
    <n v="0.13493953401503478"/>
    <s v="Hashtags_2"/>
    <x v="2"/>
  </r>
  <r>
    <s v="P133"/>
    <x v="3"/>
    <d v="2025-02-06T00:00:00"/>
    <x v="4"/>
    <s v="Check out our latest image on facebook!"/>
    <n v="2072"/>
    <n v="532"/>
    <n v="71"/>
    <n v="37296"/>
    <n v="36467"/>
    <n v="25"/>
    <x v="3"/>
    <n v="7.172350922350923E-2"/>
    <s v="Hashtags Used"/>
    <x v="3"/>
  </r>
  <r>
    <s v="P133"/>
    <x v="3"/>
    <d v="2025-02-06T00:00:00"/>
    <x v="4"/>
    <s v="Check out our latest image on facebook!"/>
    <n v="2072"/>
    <n v="532"/>
    <n v="71"/>
    <n v="37296"/>
    <n v="36467"/>
    <n v="25"/>
    <x v="3"/>
    <n v="7.172350922350923E-2"/>
    <s v="Hashtags-1"/>
    <x v="2"/>
  </r>
  <r>
    <s v="P133"/>
    <x v="3"/>
    <d v="2025-02-06T00:00:00"/>
    <x v="4"/>
    <s v="Check out our latest image on facebook!"/>
    <n v="2072"/>
    <n v="532"/>
    <n v="71"/>
    <n v="37296"/>
    <n v="36467"/>
    <n v="25"/>
    <x v="3"/>
    <n v="7.172350922350923E-2"/>
    <s v="Hashtags_2"/>
    <x v="2"/>
  </r>
  <r>
    <s v="P134"/>
    <x v="0"/>
    <d v="2025-04-24T00:00:00"/>
    <x v="0"/>
    <s v="Check out our latest reel on twitter!"/>
    <n v="3731"/>
    <n v="115"/>
    <n v="135"/>
    <n v="55965"/>
    <n v="55436"/>
    <n v="103"/>
    <x v="0"/>
    <n v="7.1133744304476013E-2"/>
    <s v="Hashtags Used"/>
    <x v="3"/>
  </r>
  <r>
    <s v="P134"/>
    <x v="0"/>
    <d v="2025-04-24T00:00:00"/>
    <x v="0"/>
    <s v="Check out our latest reel on twitter!"/>
    <n v="3731"/>
    <n v="115"/>
    <n v="135"/>
    <n v="55965"/>
    <n v="55436"/>
    <n v="103"/>
    <x v="0"/>
    <n v="7.1133744304476013E-2"/>
    <s v="Hashtags-1"/>
    <x v="2"/>
  </r>
  <r>
    <s v="P134"/>
    <x v="0"/>
    <d v="2025-04-24T00:00:00"/>
    <x v="0"/>
    <s v="Check out our latest reel on twitter!"/>
    <n v="3731"/>
    <n v="115"/>
    <n v="135"/>
    <n v="55965"/>
    <n v="55436"/>
    <n v="103"/>
    <x v="0"/>
    <n v="7.1133744304476013E-2"/>
    <s v="Hashtags_2"/>
    <x v="2"/>
  </r>
  <r>
    <s v="P135"/>
    <x v="3"/>
    <d v="2024-11-28T00:00:00"/>
    <x v="1"/>
    <s v="Check out our latest text on facebook!"/>
    <n v="4213"/>
    <n v="253"/>
    <n v="434"/>
    <n v="75834"/>
    <n v="75437"/>
    <n v="272"/>
    <x v="3"/>
    <n v="6.461481657304112E-2"/>
    <s v="Hashtags Used"/>
    <x v="0"/>
  </r>
  <r>
    <s v="P135"/>
    <x v="3"/>
    <d v="2024-11-28T00:00:00"/>
    <x v="1"/>
    <s v="Check out our latest text on facebook!"/>
    <n v="4213"/>
    <n v="253"/>
    <n v="434"/>
    <n v="75834"/>
    <n v="75437"/>
    <n v="272"/>
    <x v="3"/>
    <n v="6.461481657304112E-2"/>
    <s v="Hashtags-1"/>
    <x v="2"/>
  </r>
  <r>
    <s v="P135"/>
    <x v="3"/>
    <d v="2024-11-28T00:00:00"/>
    <x v="1"/>
    <s v="Check out our latest text on facebook!"/>
    <n v="4213"/>
    <n v="253"/>
    <n v="434"/>
    <n v="75834"/>
    <n v="75437"/>
    <n v="272"/>
    <x v="3"/>
    <n v="6.461481657304112E-2"/>
    <s v="Hashtags_2"/>
    <x v="2"/>
  </r>
  <r>
    <s v="P136"/>
    <x v="2"/>
    <d v="2024-07-11T00:00:00"/>
    <x v="1"/>
    <s v="Check out our latest text on instagram!"/>
    <n v="3134"/>
    <n v="888"/>
    <n v="444"/>
    <n v="21938"/>
    <n v="21337"/>
    <n v="130"/>
    <x v="3"/>
    <n v="0.20357370772176134"/>
    <s v="Hashtags Used"/>
    <x v="5"/>
  </r>
  <r>
    <s v="P136"/>
    <x v="2"/>
    <d v="2024-07-11T00:00:00"/>
    <x v="1"/>
    <s v="Check out our latest text on instagram!"/>
    <n v="3134"/>
    <n v="888"/>
    <n v="444"/>
    <n v="21938"/>
    <n v="21337"/>
    <n v="130"/>
    <x v="3"/>
    <n v="0.20357370772176134"/>
    <s v="Hashtags-1"/>
    <x v="2"/>
  </r>
  <r>
    <s v="P136"/>
    <x v="2"/>
    <d v="2024-07-11T00:00:00"/>
    <x v="1"/>
    <s v="Check out our latest text on instagram!"/>
    <n v="3134"/>
    <n v="888"/>
    <n v="444"/>
    <n v="21938"/>
    <n v="21337"/>
    <n v="130"/>
    <x v="3"/>
    <n v="0.20357370772176134"/>
    <s v="Hashtags_2"/>
    <x v="2"/>
  </r>
  <r>
    <s v="P137"/>
    <x v="3"/>
    <d v="2024-07-31T00:00:00"/>
    <x v="5"/>
    <s v="Check out our latest video on facebook!"/>
    <n v="3008"/>
    <n v="94"/>
    <n v="37"/>
    <n v="15040"/>
    <n v="14639"/>
    <n v="277"/>
    <x v="4"/>
    <n v="0.20871010638297871"/>
    <s v="Hashtags Used"/>
    <x v="0"/>
  </r>
  <r>
    <s v="P137"/>
    <x v="3"/>
    <d v="2024-07-31T00:00:00"/>
    <x v="5"/>
    <s v="Check out our latest video on facebook!"/>
    <n v="3008"/>
    <n v="94"/>
    <n v="37"/>
    <n v="15040"/>
    <n v="14639"/>
    <n v="277"/>
    <x v="4"/>
    <n v="0.20871010638297871"/>
    <s v="Hashtags-1"/>
    <x v="2"/>
  </r>
  <r>
    <s v="P137"/>
    <x v="3"/>
    <d v="2024-07-31T00:00:00"/>
    <x v="5"/>
    <s v="Check out our latest video on facebook!"/>
    <n v="3008"/>
    <n v="94"/>
    <n v="37"/>
    <n v="15040"/>
    <n v="14639"/>
    <n v="277"/>
    <x v="4"/>
    <n v="0.20871010638297871"/>
    <s v="Hashtags_2"/>
    <x v="2"/>
  </r>
  <r>
    <s v="P138"/>
    <x v="0"/>
    <d v="2025-03-29T00:00:00"/>
    <x v="4"/>
    <s v="Check out our latest image on twitter!"/>
    <n v="305"/>
    <n v="187"/>
    <n v="243"/>
    <n v="4575"/>
    <n v="3704"/>
    <n v="234"/>
    <x v="2"/>
    <n v="0.16065573770491803"/>
    <s v="Hashtags Used"/>
    <x v="0"/>
  </r>
  <r>
    <s v="P138"/>
    <x v="0"/>
    <d v="2025-03-29T00:00:00"/>
    <x v="4"/>
    <s v="Check out our latest image on twitter!"/>
    <n v="305"/>
    <n v="187"/>
    <n v="243"/>
    <n v="4575"/>
    <n v="3704"/>
    <n v="234"/>
    <x v="2"/>
    <n v="0.16065573770491803"/>
    <s v="Hashtags-1"/>
    <x v="2"/>
  </r>
  <r>
    <s v="P138"/>
    <x v="0"/>
    <d v="2025-03-29T00:00:00"/>
    <x v="4"/>
    <s v="Check out our latest image on twitter!"/>
    <n v="305"/>
    <n v="187"/>
    <n v="243"/>
    <n v="4575"/>
    <n v="3704"/>
    <n v="234"/>
    <x v="2"/>
    <n v="0.16065573770491803"/>
    <s v="Hashtags_2"/>
    <x v="2"/>
  </r>
  <r>
    <s v="P139"/>
    <x v="1"/>
    <d v="2024-10-29T00:00:00"/>
    <x v="1"/>
    <s v="Check out our latest text on youtube!"/>
    <n v="2746"/>
    <n v="156"/>
    <n v="203"/>
    <n v="32952"/>
    <n v="32147"/>
    <n v="147"/>
    <x v="0"/>
    <n v="9.422796795338674E-2"/>
    <s v="Hashtags Used"/>
    <x v="5"/>
  </r>
  <r>
    <s v="P139"/>
    <x v="1"/>
    <d v="2024-10-29T00:00:00"/>
    <x v="1"/>
    <s v="Check out our latest text on youtube!"/>
    <n v="2746"/>
    <n v="156"/>
    <n v="203"/>
    <n v="32952"/>
    <n v="32147"/>
    <n v="147"/>
    <x v="0"/>
    <n v="9.422796795338674E-2"/>
    <s v="Hashtags-1"/>
    <x v="2"/>
  </r>
  <r>
    <s v="P139"/>
    <x v="1"/>
    <d v="2024-10-29T00:00:00"/>
    <x v="1"/>
    <s v="Check out our latest text on youtube!"/>
    <n v="2746"/>
    <n v="156"/>
    <n v="203"/>
    <n v="32952"/>
    <n v="32147"/>
    <n v="147"/>
    <x v="0"/>
    <n v="9.422796795338674E-2"/>
    <s v="Hashtags_2"/>
    <x v="2"/>
  </r>
  <r>
    <s v="P140"/>
    <x v="3"/>
    <d v="2024-07-15T00:00:00"/>
    <x v="4"/>
    <s v="Check out our latest image on facebook!"/>
    <n v="2291"/>
    <n v="78"/>
    <n v="485"/>
    <n v="18328"/>
    <n v="18101"/>
    <n v="10"/>
    <x v="1"/>
    <n v="0.15571802706241816"/>
    <s v="Hashtags Used"/>
    <x v="5"/>
  </r>
  <r>
    <s v="P140"/>
    <x v="3"/>
    <d v="2024-07-15T00:00:00"/>
    <x v="4"/>
    <s v="Check out our latest image on facebook!"/>
    <n v="2291"/>
    <n v="78"/>
    <n v="485"/>
    <n v="18328"/>
    <n v="18101"/>
    <n v="10"/>
    <x v="1"/>
    <n v="0.15571802706241816"/>
    <s v="Hashtags-1"/>
    <x v="6"/>
  </r>
  <r>
    <s v="P140"/>
    <x v="3"/>
    <d v="2024-07-15T00:00:00"/>
    <x v="4"/>
    <s v="Check out our latest image on facebook!"/>
    <n v="2291"/>
    <n v="78"/>
    <n v="485"/>
    <n v="18328"/>
    <n v="18101"/>
    <n v="10"/>
    <x v="1"/>
    <n v="0.15571802706241816"/>
    <s v="Hashtags_2"/>
    <x v="2"/>
  </r>
  <r>
    <s v="P141"/>
    <x v="0"/>
    <d v="2024-08-31T00:00:00"/>
    <x v="4"/>
    <s v="Check out our latest image on twitter!"/>
    <n v="3170"/>
    <n v="857"/>
    <n v="379"/>
    <n v="19020"/>
    <n v="18559"/>
    <n v="240"/>
    <x v="4"/>
    <n v="0.2316508937960042"/>
    <s v="Hashtags Used"/>
    <x v="0"/>
  </r>
  <r>
    <s v="P141"/>
    <x v="0"/>
    <d v="2024-08-31T00:00:00"/>
    <x v="4"/>
    <s v="Check out our latest image on twitter!"/>
    <n v="3170"/>
    <n v="857"/>
    <n v="379"/>
    <n v="19020"/>
    <n v="18559"/>
    <n v="240"/>
    <x v="4"/>
    <n v="0.2316508937960042"/>
    <s v="Hashtags-1"/>
    <x v="2"/>
  </r>
  <r>
    <s v="P141"/>
    <x v="0"/>
    <d v="2024-08-31T00:00:00"/>
    <x v="4"/>
    <s v="Check out our latest image on twitter!"/>
    <n v="3170"/>
    <n v="857"/>
    <n v="379"/>
    <n v="19020"/>
    <n v="18559"/>
    <n v="240"/>
    <x v="4"/>
    <n v="0.2316508937960042"/>
    <s v="Hashtags_2"/>
    <x v="2"/>
  </r>
  <r>
    <s v="P142"/>
    <x v="1"/>
    <d v="2025-03-25T00:00:00"/>
    <x v="2"/>
    <s v="Check out our latest story on youtube!"/>
    <n v="2070"/>
    <n v="275"/>
    <n v="386"/>
    <n v="39330"/>
    <n v="38627"/>
    <n v="114"/>
    <x v="3"/>
    <n v="6.9438087973557078E-2"/>
    <s v="Hashtags Used"/>
    <x v="0"/>
  </r>
  <r>
    <s v="P142"/>
    <x v="1"/>
    <d v="2025-03-25T00:00:00"/>
    <x v="2"/>
    <s v="Check out our latest story on youtube!"/>
    <n v="2070"/>
    <n v="275"/>
    <n v="386"/>
    <n v="39330"/>
    <n v="38627"/>
    <n v="114"/>
    <x v="3"/>
    <n v="6.9438087973557078E-2"/>
    <s v="Hashtags-1"/>
    <x v="2"/>
  </r>
  <r>
    <s v="P142"/>
    <x v="1"/>
    <d v="2025-03-25T00:00:00"/>
    <x v="2"/>
    <s v="Check out our latest story on youtube!"/>
    <n v="2070"/>
    <n v="275"/>
    <n v="386"/>
    <n v="39330"/>
    <n v="38627"/>
    <n v="114"/>
    <x v="3"/>
    <n v="6.9438087973557078E-2"/>
    <s v="Hashtags_2"/>
    <x v="2"/>
  </r>
  <r>
    <s v="P143"/>
    <x v="1"/>
    <d v="2024-10-02T00:00:00"/>
    <x v="3"/>
    <s v="Check out our latest carousel on youtube!"/>
    <n v="80"/>
    <n v="362"/>
    <n v="80"/>
    <n v="1040"/>
    <n v="349"/>
    <n v="117"/>
    <x v="2"/>
    <n v="0.50192307692307692"/>
    <s v="Hashtags Used"/>
    <x v="3"/>
  </r>
  <r>
    <s v="P143"/>
    <x v="1"/>
    <d v="2024-10-02T00:00:00"/>
    <x v="3"/>
    <s v="Check out our latest carousel on youtube!"/>
    <n v="80"/>
    <n v="362"/>
    <n v="80"/>
    <n v="1040"/>
    <n v="349"/>
    <n v="117"/>
    <x v="2"/>
    <n v="0.50192307692307692"/>
    <s v="Hashtags-1"/>
    <x v="2"/>
  </r>
  <r>
    <s v="P143"/>
    <x v="1"/>
    <d v="2024-10-02T00:00:00"/>
    <x v="3"/>
    <s v="Check out our latest carousel on youtube!"/>
    <n v="80"/>
    <n v="362"/>
    <n v="80"/>
    <n v="1040"/>
    <n v="349"/>
    <n v="117"/>
    <x v="2"/>
    <n v="0.50192307692307692"/>
    <s v="Hashtags_2"/>
    <x v="2"/>
  </r>
  <r>
    <s v="P144"/>
    <x v="1"/>
    <d v="2024-10-28T00:00:00"/>
    <x v="2"/>
    <s v="Check out our latest story on youtube!"/>
    <n v="4929"/>
    <n v="749"/>
    <n v="452"/>
    <n v="93651"/>
    <n v="92810"/>
    <n v="66"/>
    <x v="3"/>
    <n v="6.5455787978772245E-2"/>
    <s v="Hashtags Used"/>
    <x v="5"/>
  </r>
  <r>
    <s v="P144"/>
    <x v="1"/>
    <d v="2024-10-28T00:00:00"/>
    <x v="2"/>
    <s v="Check out our latest story on youtube!"/>
    <n v="4929"/>
    <n v="749"/>
    <n v="452"/>
    <n v="93651"/>
    <n v="92810"/>
    <n v="66"/>
    <x v="3"/>
    <n v="6.5455787978772245E-2"/>
    <s v="Hashtags-1"/>
    <x v="2"/>
  </r>
  <r>
    <s v="P144"/>
    <x v="1"/>
    <d v="2024-10-28T00:00:00"/>
    <x v="2"/>
    <s v="Check out our latest story on youtube!"/>
    <n v="4929"/>
    <n v="749"/>
    <n v="452"/>
    <n v="93651"/>
    <n v="92810"/>
    <n v="66"/>
    <x v="3"/>
    <n v="6.5455787978772245E-2"/>
    <s v="Hashtags_2"/>
    <x v="2"/>
  </r>
  <r>
    <s v="P145"/>
    <x v="2"/>
    <d v="2024-08-12T00:00:00"/>
    <x v="3"/>
    <s v="Check out our latest carousel on instagram!"/>
    <n v="1878"/>
    <n v="62"/>
    <n v="179"/>
    <n v="37560"/>
    <n v="36874"/>
    <n v="142"/>
    <x v="3"/>
    <n v="5.6416400425985093E-2"/>
    <s v="Hashtags Used"/>
    <x v="3"/>
  </r>
  <r>
    <s v="P145"/>
    <x v="2"/>
    <d v="2024-08-12T00:00:00"/>
    <x v="3"/>
    <s v="Check out our latest carousel on instagram!"/>
    <n v="1878"/>
    <n v="62"/>
    <n v="179"/>
    <n v="37560"/>
    <n v="36874"/>
    <n v="142"/>
    <x v="3"/>
    <n v="5.6416400425985093E-2"/>
    <s v="Hashtags-1"/>
    <x v="2"/>
  </r>
  <r>
    <s v="P145"/>
    <x v="2"/>
    <d v="2024-08-12T00:00:00"/>
    <x v="3"/>
    <s v="Check out our latest carousel on instagram!"/>
    <n v="1878"/>
    <n v="62"/>
    <n v="179"/>
    <n v="37560"/>
    <n v="36874"/>
    <n v="142"/>
    <x v="3"/>
    <n v="5.6416400425985093E-2"/>
    <s v="Hashtags_2"/>
    <x v="2"/>
  </r>
  <r>
    <s v="P146"/>
    <x v="1"/>
    <d v="2024-06-05T00:00:00"/>
    <x v="0"/>
    <s v="Check out our latest reel on youtube!"/>
    <n v="3065"/>
    <n v="772"/>
    <n v="142"/>
    <n v="18390"/>
    <n v="17875"/>
    <n v="200"/>
    <x v="4"/>
    <n v="0.21636759108210984"/>
    <s v="Hashtags Used"/>
    <x v="5"/>
  </r>
  <r>
    <s v="P146"/>
    <x v="1"/>
    <d v="2024-06-05T00:00:00"/>
    <x v="0"/>
    <s v="Check out our latest reel on youtube!"/>
    <n v="3065"/>
    <n v="772"/>
    <n v="142"/>
    <n v="18390"/>
    <n v="17875"/>
    <n v="200"/>
    <x v="4"/>
    <n v="0.21636759108210984"/>
    <s v="Hashtags-1"/>
    <x v="1"/>
  </r>
  <r>
    <s v="P146"/>
    <x v="1"/>
    <d v="2024-06-05T00:00:00"/>
    <x v="0"/>
    <s v="Check out our latest reel on youtube!"/>
    <n v="3065"/>
    <n v="772"/>
    <n v="142"/>
    <n v="18390"/>
    <n v="17875"/>
    <n v="200"/>
    <x v="4"/>
    <n v="0.21636759108210984"/>
    <s v="Hashtags_2"/>
    <x v="2"/>
  </r>
  <r>
    <s v="P147"/>
    <x v="2"/>
    <d v="2024-10-21T00:00:00"/>
    <x v="0"/>
    <s v="Check out our latest reel on instagram!"/>
    <n v="3256"/>
    <n v="459"/>
    <n v="266"/>
    <n v="26048"/>
    <n v="25529"/>
    <n v="143"/>
    <x v="1"/>
    <n v="0.15283323095823095"/>
    <s v="Hashtags Used"/>
    <x v="3"/>
  </r>
  <r>
    <s v="P147"/>
    <x v="2"/>
    <d v="2024-10-21T00:00:00"/>
    <x v="0"/>
    <s v="Check out our latest reel on instagram!"/>
    <n v="3256"/>
    <n v="459"/>
    <n v="266"/>
    <n v="26048"/>
    <n v="25529"/>
    <n v="143"/>
    <x v="1"/>
    <n v="0.15283323095823095"/>
    <s v="Hashtags-1"/>
    <x v="2"/>
  </r>
  <r>
    <s v="P147"/>
    <x v="2"/>
    <d v="2024-10-21T00:00:00"/>
    <x v="0"/>
    <s v="Check out our latest reel on instagram!"/>
    <n v="3256"/>
    <n v="459"/>
    <n v="266"/>
    <n v="26048"/>
    <n v="25529"/>
    <n v="143"/>
    <x v="1"/>
    <n v="0.15283323095823095"/>
    <s v="Hashtags_2"/>
    <x v="2"/>
  </r>
  <r>
    <s v="P148"/>
    <x v="2"/>
    <d v="2025-04-15T00:00:00"/>
    <x v="5"/>
    <s v="Check out our latest video on instagram!"/>
    <n v="4133"/>
    <n v="466"/>
    <n v="327"/>
    <n v="24798"/>
    <n v="24620"/>
    <n v="176"/>
    <x v="3"/>
    <n v="0.19864505202032423"/>
    <s v="Hashtags Used"/>
    <x v="5"/>
  </r>
  <r>
    <s v="P148"/>
    <x v="2"/>
    <d v="2025-04-15T00:00:00"/>
    <x v="5"/>
    <s v="Check out our latest video on instagram!"/>
    <n v="4133"/>
    <n v="466"/>
    <n v="327"/>
    <n v="24798"/>
    <n v="24620"/>
    <n v="176"/>
    <x v="3"/>
    <n v="0.19864505202032423"/>
    <s v="Hashtags-1"/>
    <x v="2"/>
  </r>
  <r>
    <s v="P148"/>
    <x v="2"/>
    <d v="2025-04-15T00:00:00"/>
    <x v="5"/>
    <s v="Check out our latest video on instagram!"/>
    <n v="4133"/>
    <n v="466"/>
    <n v="327"/>
    <n v="24798"/>
    <n v="24620"/>
    <n v="176"/>
    <x v="3"/>
    <n v="0.19864505202032423"/>
    <s v="Hashtags_2"/>
    <x v="2"/>
  </r>
  <r>
    <s v="P149"/>
    <x v="0"/>
    <d v="2024-06-16T00:00:00"/>
    <x v="5"/>
    <s v="Check out our latest video on twitter!"/>
    <n v="1702"/>
    <n v="750"/>
    <n v="179"/>
    <n v="34040"/>
    <n v="33174"/>
    <n v="76"/>
    <x v="0"/>
    <n v="7.7291421856639245E-2"/>
    <s v="Hashtags Used"/>
    <x v="5"/>
  </r>
  <r>
    <s v="P149"/>
    <x v="0"/>
    <d v="2024-06-16T00:00:00"/>
    <x v="5"/>
    <s v="Check out our latest video on twitter!"/>
    <n v="1702"/>
    <n v="750"/>
    <n v="179"/>
    <n v="34040"/>
    <n v="33174"/>
    <n v="76"/>
    <x v="0"/>
    <n v="7.7291421856639245E-2"/>
    <s v="Hashtags-1"/>
    <x v="2"/>
  </r>
  <r>
    <s v="P149"/>
    <x v="0"/>
    <d v="2024-06-16T00:00:00"/>
    <x v="5"/>
    <s v="Check out our latest video on twitter!"/>
    <n v="1702"/>
    <n v="750"/>
    <n v="179"/>
    <n v="34040"/>
    <n v="33174"/>
    <n v="76"/>
    <x v="0"/>
    <n v="7.7291421856639245E-2"/>
    <s v="Hashtags_2"/>
    <x v="2"/>
  </r>
  <r>
    <s v="P150"/>
    <x v="1"/>
    <d v="2024-08-22T00:00:00"/>
    <x v="3"/>
    <s v="Check out our latest carousel on youtube!"/>
    <n v="4295"/>
    <n v="853"/>
    <n v="325"/>
    <n v="85900"/>
    <n v="85788"/>
    <n v="290"/>
    <x v="3"/>
    <n v="6.3713620488940623E-2"/>
    <s v="Hashtags Used"/>
    <x v="3"/>
  </r>
  <r>
    <s v="P150"/>
    <x v="1"/>
    <d v="2024-08-22T00:00:00"/>
    <x v="3"/>
    <s v="Check out our latest carousel on youtube!"/>
    <n v="4295"/>
    <n v="853"/>
    <n v="325"/>
    <n v="85900"/>
    <n v="85788"/>
    <n v="290"/>
    <x v="3"/>
    <n v="6.3713620488940623E-2"/>
    <s v="Hashtags-1"/>
    <x v="2"/>
  </r>
  <r>
    <s v="P150"/>
    <x v="1"/>
    <d v="2024-08-22T00:00:00"/>
    <x v="3"/>
    <s v="Check out our latest carousel on youtube!"/>
    <n v="4295"/>
    <n v="853"/>
    <n v="325"/>
    <n v="85900"/>
    <n v="85788"/>
    <n v="290"/>
    <x v="3"/>
    <n v="6.3713620488940623E-2"/>
    <s v="Hashtags_2"/>
    <x v="2"/>
  </r>
  <r>
    <s v="P151"/>
    <x v="2"/>
    <d v="2024-07-26T00:00:00"/>
    <x v="4"/>
    <s v="Check out our latest image on instagram!"/>
    <n v="3559"/>
    <n v="59"/>
    <n v="289"/>
    <n v="35590"/>
    <n v="35105"/>
    <n v="122"/>
    <x v="0"/>
    <n v="0.10977802753582468"/>
    <s v="Hashtags Used"/>
    <x v="5"/>
  </r>
  <r>
    <s v="P151"/>
    <x v="2"/>
    <d v="2024-07-26T00:00:00"/>
    <x v="4"/>
    <s v="Check out our latest image on instagram!"/>
    <n v="3559"/>
    <n v="59"/>
    <n v="289"/>
    <n v="35590"/>
    <n v="35105"/>
    <n v="122"/>
    <x v="0"/>
    <n v="0.10977802753582468"/>
    <s v="Hashtags-1"/>
    <x v="2"/>
  </r>
  <r>
    <s v="P151"/>
    <x v="2"/>
    <d v="2024-07-26T00:00:00"/>
    <x v="4"/>
    <s v="Check out our latest image on instagram!"/>
    <n v="3559"/>
    <n v="59"/>
    <n v="289"/>
    <n v="35590"/>
    <n v="35105"/>
    <n v="122"/>
    <x v="0"/>
    <n v="0.10977802753582468"/>
    <s v="Hashtags_2"/>
    <x v="2"/>
  </r>
  <r>
    <s v="P152"/>
    <x v="3"/>
    <d v="2025-04-22T00:00:00"/>
    <x v="4"/>
    <s v="Check out our latest image on facebook!"/>
    <n v="4804"/>
    <n v="550"/>
    <n v="270"/>
    <n v="28824"/>
    <n v="28370"/>
    <n v="47"/>
    <x v="3"/>
    <n v="0.19511518179295032"/>
    <s v="Hashtags Used"/>
    <x v="5"/>
  </r>
  <r>
    <s v="P152"/>
    <x v="3"/>
    <d v="2025-04-22T00:00:00"/>
    <x v="4"/>
    <s v="Check out our latest image on facebook!"/>
    <n v="4804"/>
    <n v="550"/>
    <n v="270"/>
    <n v="28824"/>
    <n v="28370"/>
    <n v="47"/>
    <x v="3"/>
    <n v="0.19511518179295032"/>
    <s v="Hashtags-1"/>
    <x v="2"/>
  </r>
  <r>
    <s v="P152"/>
    <x v="3"/>
    <d v="2025-04-22T00:00:00"/>
    <x v="4"/>
    <s v="Check out our latest image on facebook!"/>
    <n v="4804"/>
    <n v="550"/>
    <n v="270"/>
    <n v="28824"/>
    <n v="28370"/>
    <n v="47"/>
    <x v="3"/>
    <n v="0.19511518179295032"/>
    <s v="Hashtags_2"/>
    <x v="2"/>
  </r>
  <r>
    <s v="P153"/>
    <x v="0"/>
    <d v="2025-01-01T00:00:00"/>
    <x v="5"/>
    <s v="Check out our latest video on twitter!"/>
    <n v="754"/>
    <n v="197"/>
    <n v="257"/>
    <n v="6786"/>
    <n v="6221"/>
    <n v="212"/>
    <x v="2"/>
    <n v="0.17801355732390214"/>
    <s v="Hashtags Used"/>
    <x v="3"/>
  </r>
  <r>
    <s v="P153"/>
    <x v="0"/>
    <d v="2025-01-01T00:00:00"/>
    <x v="5"/>
    <s v="Check out our latest video on twitter!"/>
    <n v="754"/>
    <n v="197"/>
    <n v="257"/>
    <n v="6786"/>
    <n v="6221"/>
    <n v="212"/>
    <x v="2"/>
    <n v="0.17801355732390214"/>
    <s v="Hashtags-1"/>
    <x v="2"/>
  </r>
  <r>
    <s v="P153"/>
    <x v="0"/>
    <d v="2025-01-01T00:00:00"/>
    <x v="5"/>
    <s v="Check out our latest video on twitter!"/>
    <n v="754"/>
    <n v="197"/>
    <n v="257"/>
    <n v="6786"/>
    <n v="6221"/>
    <n v="212"/>
    <x v="2"/>
    <n v="0.17801355732390214"/>
    <s v="Hashtags_2"/>
    <x v="2"/>
  </r>
  <r>
    <s v="P154"/>
    <x v="2"/>
    <d v="2024-10-09T00:00:00"/>
    <x v="3"/>
    <s v="Check out our latest carousel on instagram!"/>
    <n v="985"/>
    <n v="932"/>
    <n v="287"/>
    <n v="6895"/>
    <n v="6757"/>
    <n v="64"/>
    <x v="3"/>
    <n v="0.31965192168237855"/>
    <s v="Hashtags Used"/>
    <x v="0"/>
  </r>
  <r>
    <s v="P154"/>
    <x v="2"/>
    <d v="2024-10-09T00:00:00"/>
    <x v="3"/>
    <s v="Check out our latest carousel on instagram!"/>
    <n v="985"/>
    <n v="932"/>
    <n v="287"/>
    <n v="6895"/>
    <n v="6757"/>
    <n v="64"/>
    <x v="3"/>
    <n v="0.31965192168237855"/>
    <s v="Hashtags-1"/>
    <x v="2"/>
  </r>
  <r>
    <s v="P154"/>
    <x v="2"/>
    <d v="2024-10-09T00:00:00"/>
    <x v="3"/>
    <s v="Check out our latest carousel on instagram!"/>
    <n v="985"/>
    <n v="932"/>
    <n v="287"/>
    <n v="6895"/>
    <n v="6757"/>
    <n v="64"/>
    <x v="3"/>
    <n v="0.31965192168237855"/>
    <s v="Hashtags_2"/>
    <x v="2"/>
  </r>
  <r>
    <s v="P155"/>
    <x v="1"/>
    <d v="2024-12-21T00:00:00"/>
    <x v="4"/>
    <s v="Check out our latest image on youtube!"/>
    <n v="2283"/>
    <n v="210"/>
    <n v="130"/>
    <n v="22830"/>
    <n v="22617"/>
    <n v="143"/>
    <x v="1"/>
    <n v="0.11489268506351293"/>
    <s v="Hashtags Used"/>
    <x v="0"/>
  </r>
  <r>
    <s v="P155"/>
    <x v="1"/>
    <d v="2024-12-21T00:00:00"/>
    <x v="4"/>
    <s v="Check out our latest image on youtube!"/>
    <n v="2283"/>
    <n v="210"/>
    <n v="130"/>
    <n v="22830"/>
    <n v="22617"/>
    <n v="143"/>
    <x v="1"/>
    <n v="0.11489268506351293"/>
    <s v="Hashtags-1"/>
    <x v="2"/>
  </r>
  <r>
    <s v="P155"/>
    <x v="1"/>
    <d v="2024-12-21T00:00:00"/>
    <x v="4"/>
    <s v="Check out our latest image on youtube!"/>
    <n v="2283"/>
    <n v="210"/>
    <n v="130"/>
    <n v="22830"/>
    <n v="22617"/>
    <n v="143"/>
    <x v="1"/>
    <n v="0.11489268506351293"/>
    <s v="Hashtags_2"/>
    <x v="2"/>
  </r>
  <r>
    <s v="P156"/>
    <x v="3"/>
    <d v="2024-10-22T00:00:00"/>
    <x v="3"/>
    <s v="Check out our latest carousel on facebook!"/>
    <n v="3352"/>
    <n v="941"/>
    <n v="482"/>
    <n v="43576"/>
    <n v="43338"/>
    <n v="240"/>
    <x v="1"/>
    <n v="0.1095786671562328"/>
    <s v="Hashtags Used"/>
    <x v="0"/>
  </r>
  <r>
    <s v="P156"/>
    <x v="3"/>
    <d v="2024-10-22T00:00:00"/>
    <x v="3"/>
    <s v="Check out our latest carousel on facebook!"/>
    <n v="3352"/>
    <n v="941"/>
    <n v="482"/>
    <n v="43576"/>
    <n v="43338"/>
    <n v="240"/>
    <x v="1"/>
    <n v="0.1095786671562328"/>
    <s v="Hashtags-1"/>
    <x v="2"/>
  </r>
  <r>
    <s v="P156"/>
    <x v="3"/>
    <d v="2024-10-22T00:00:00"/>
    <x v="3"/>
    <s v="Check out our latest carousel on facebook!"/>
    <n v="3352"/>
    <n v="941"/>
    <n v="482"/>
    <n v="43576"/>
    <n v="43338"/>
    <n v="240"/>
    <x v="1"/>
    <n v="0.1095786671562328"/>
    <s v="Hashtags_2"/>
    <x v="2"/>
  </r>
  <r>
    <s v="P157"/>
    <x v="1"/>
    <d v="2024-07-23T00:00:00"/>
    <x v="2"/>
    <s v="Check out our latest story on youtube!"/>
    <n v="4775"/>
    <n v="173"/>
    <n v="206"/>
    <n v="47750"/>
    <n v="47544"/>
    <n v="187"/>
    <x v="1"/>
    <n v="0.10793717277486911"/>
    <s v="Hashtags Used"/>
    <x v="0"/>
  </r>
  <r>
    <s v="P157"/>
    <x v="1"/>
    <d v="2024-07-23T00:00:00"/>
    <x v="2"/>
    <s v="Check out our latest story on youtube!"/>
    <n v="4775"/>
    <n v="173"/>
    <n v="206"/>
    <n v="47750"/>
    <n v="47544"/>
    <n v="187"/>
    <x v="1"/>
    <n v="0.10793717277486911"/>
    <s v="Hashtags-1"/>
    <x v="2"/>
  </r>
  <r>
    <s v="P157"/>
    <x v="1"/>
    <d v="2024-07-23T00:00:00"/>
    <x v="2"/>
    <s v="Check out our latest story on youtube!"/>
    <n v="4775"/>
    <n v="173"/>
    <n v="206"/>
    <n v="47750"/>
    <n v="47544"/>
    <n v="187"/>
    <x v="1"/>
    <n v="0.10793717277486911"/>
    <s v="Hashtags_2"/>
    <x v="2"/>
  </r>
  <r>
    <s v="P158"/>
    <x v="2"/>
    <d v="2024-08-11T00:00:00"/>
    <x v="2"/>
    <s v="Check out our latest story on instagram!"/>
    <n v="1762"/>
    <n v="405"/>
    <n v="423"/>
    <n v="22906"/>
    <n v="21925"/>
    <n v="25"/>
    <x v="0"/>
    <n v="0.11307081114118571"/>
    <s v="Hashtags Used"/>
    <x v="3"/>
  </r>
  <r>
    <s v="P158"/>
    <x v="2"/>
    <d v="2024-08-11T00:00:00"/>
    <x v="2"/>
    <s v="Check out our latest story on instagram!"/>
    <n v="1762"/>
    <n v="405"/>
    <n v="423"/>
    <n v="22906"/>
    <n v="21925"/>
    <n v="25"/>
    <x v="0"/>
    <n v="0.11307081114118571"/>
    <s v="Hashtags-1"/>
    <x v="2"/>
  </r>
  <r>
    <s v="P158"/>
    <x v="2"/>
    <d v="2024-08-11T00:00:00"/>
    <x v="2"/>
    <s v="Check out our latest story on instagram!"/>
    <n v="1762"/>
    <n v="405"/>
    <n v="423"/>
    <n v="22906"/>
    <n v="21925"/>
    <n v="25"/>
    <x v="0"/>
    <n v="0.11307081114118571"/>
    <s v="Hashtags_2"/>
    <x v="2"/>
  </r>
  <r>
    <s v="P159"/>
    <x v="3"/>
    <d v="2024-11-25T00:00:00"/>
    <x v="2"/>
    <s v="Check out our latest story on facebook!"/>
    <n v="2120"/>
    <n v="158"/>
    <n v="488"/>
    <n v="12720"/>
    <n v="12085"/>
    <n v="17"/>
    <x v="1"/>
    <n v="0.21745283018867925"/>
    <s v="Hashtags Used"/>
    <x v="0"/>
  </r>
  <r>
    <s v="P159"/>
    <x v="3"/>
    <d v="2024-11-25T00:00:00"/>
    <x v="2"/>
    <s v="Check out our latest story on facebook!"/>
    <n v="2120"/>
    <n v="158"/>
    <n v="488"/>
    <n v="12720"/>
    <n v="12085"/>
    <n v="17"/>
    <x v="1"/>
    <n v="0.21745283018867925"/>
    <s v="Hashtags-1"/>
    <x v="2"/>
  </r>
  <r>
    <s v="P159"/>
    <x v="3"/>
    <d v="2024-11-25T00:00:00"/>
    <x v="2"/>
    <s v="Check out our latest story on facebook!"/>
    <n v="2120"/>
    <n v="158"/>
    <n v="488"/>
    <n v="12720"/>
    <n v="12085"/>
    <n v="17"/>
    <x v="1"/>
    <n v="0.21745283018867925"/>
    <s v="Hashtags_2"/>
    <x v="2"/>
  </r>
  <r>
    <s v="P160"/>
    <x v="0"/>
    <d v="2024-08-24T00:00:00"/>
    <x v="5"/>
    <s v="Check out our latest video on twitter!"/>
    <n v="1082"/>
    <n v="209"/>
    <n v="484"/>
    <n v="19476"/>
    <n v="18654"/>
    <n v="20"/>
    <x v="4"/>
    <n v="9.1137810638734856E-2"/>
    <s v="Hashtags Used"/>
    <x v="3"/>
  </r>
  <r>
    <s v="P160"/>
    <x v="0"/>
    <d v="2024-08-24T00:00:00"/>
    <x v="5"/>
    <s v="Check out our latest video on twitter!"/>
    <n v="1082"/>
    <n v="209"/>
    <n v="484"/>
    <n v="19476"/>
    <n v="18654"/>
    <n v="20"/>
    <x v="4"/>
    <n v="9.1137810638734856E-2"/>
    <s v="Hashtags-1"/>
    <x v="2"/>
  </r>
  <r>
    <s v="P160"/>
    <x v="0"/>
    <d v="2024-08-24T00:00:00"/>
    <x v="5"/>
    <s v="Check out our latest video on twitter!"/>
    <n v="1082"/>
    <n v="209"/>
    <n v="484"/>
    <n v="19476"/>
    <n v="18654"/>
    <n v="20"/>
    <x v="4"/>
    <n v="9.1137810638734856E-2"/>
    <s v="Hashtags_2"/>
    <x v="2"/>
  </r>
  <r>
    <s v="P161"/>
    <x v="0"/>
    <d v="2025-02-19T00:00:00"/>
    <x v="1"/>
    <s v="Check out our latest text on twitter!"/>
    <n v="4671"/>
    <n v="876"/>
    <n v="366"/>
    <n v="51381"/>
    <n v="50565"/>
    <n v="245"/>
    <x v="3"/>
    <n v="0.11508145034156594"/>
    <s v="Hashtags Used"/>
    <x v="3"/>
  </r>
  <r>
    <s v="P161"/>
    <x v="0"/>
    <d v="2025-02-19T00:00:00"/>
    <x v="1"/>
    <s v="Check out our latest text on twitter!"/>
    <n v="4671"/>
    <n v="876"/>
    <n v="366"/>
    <n v="51381"/>
    <n v="50565"/>
    <n v="245"/>
    <x v="3"/>
    <n v="0.11508145034156594"/>
    <s v="Hashtags-1"/>
    <x v="2"/>
  </r>
  <r>
    <s v="P161"/>
    <x v="0"/>
    <d v="2025-02-19T00:00:00"/>
    <x v="1"/>
    <s v="Check out our latest text on twitter!"/>
    <n v="4671"/>
    <n v="876"/>
    <n v="366"/>
    <n v="51381"/>
    <n v="50565"/>
    <n v="245"/>
    <x v="3"/>
    <n v="0.11508145034156594"/>
    <s v="Hashtags_2"/>
    <x v="2"/>
  </r>
  <r>
    <s v="P162"/>
    <x v="3"/>
    <d v="2025-04-01T00:00:00"/>
    <x v="2"/>
    <s v="Check out our latest story on facebook!"/>
    <n v="3430"/>
    <n v="566"/>
    <n v="164"/>
    <n v="48020"/>
    <n v="47305"/>
    <n v="120"/>
    <x v="4"/>
    <n v="8.6630570595585168E-2"/>
    <s v="Hashtags Used"/>
    <x v="0"/>
  </r>
  <r>
    <s v="P162"/>
    <x v="3"/>
    <d v="2025-04-01T00:00:00"/>
    <x v="2"/>
    <s v="Check out our latest story on facebook!"/>
    <n v="3430"/>
    <n v="566"/>
    <n v="164"/>
    <n v="48020"/>
    <n v="47305"/>
    <n v="120"/>
    <x v="4"/>
    <n v="8.6630570595585168E-2"/>
    <s v="Hashtags-1"/>
    <x v="2"/>
  </r>
  <r>
    <s v="P162"/>
    <x v="3"/>
    <d v="2025-04-01T00:00:00"/>
    <x v="2"/>
    <s v="Check out our latest story on facebook!"/>
    <n v="3430"/>
    <n v="566"/>
    <n v="164"/>
    <n v="48020"/>
    <n v="47305"/>
    <n v="120"/>
    <x v="4"/>
    <n v="8.6630570595585168E-2"/>
    <s v="Hashtags_2"/>
    <x v="2"/>
  </r>
  <r>
    <s v="P163"/>
    <x v="2"/>
    <d v="2025-04-08T00:00:00"/>
    <x v="4"/>
    <s v="Check out our latest image on instagram!"/>
    <n v="4501"/>
    <n v="375"/>
    <n v="323"/>
    <n v="22505"/>
    <n v="21836"/>
    <n v="132"/>
    <x v="1"/>
    <n v="0.23101532992668297"/>
    <s v="Hashtags Used"/>
    <x v="3"/>
  </r>
  <r>
    <s v="P163"/>
    <x v="2"/>
    <d v="2025-04-08T00:00:00"/>
    <x v="4"/>
    <s v="Check out our latest image on instagram!"/>
    <n v="4501"/>
    <n v="375"/>
    <n v="323"/>
    <n v="22505"/>
    <n v="21836"/>
    <n v="132"/>
    <x v="1"/>
    <n v="0.23101532992668297"/>
    <s v="Hashtags-1"/>
    <x v="2"/>
  </r>
  <r>
    <s v="P163"/>
    <x v="2"/>
    <d v="2025-04-08T00:00:00"/>
    <x v="4"/>
    <s v="Check out our latest image on instagram!"/>
    <n v="4501"/>
    <n v="375"/>
    <n v="323"/>
    <n v="22505"/>
    <n v="21836"/>
    <n v="132"/>
    <x v="1"/>
    <n v="0.23101532992668297"/>
    <s v="Hashtags_2"/>
    <x v="2"/>
  </r>
  <r>
    <s v="P164"/>
    <x v="1"/>
    <d v="2025-02-27T00:00:00"/>
    <x v="1"/>
    <s v="Check out our latest text on youtube!"/>
    <n v="4934"/>
    <n v="971"/>
    <n v="156"/>
    <n v="39472"/>
    <n v="39025"/>
    <n v="169"/>
    <x v="3"/>
    <n v="0.15355188488042157"/>
    <s v="Hashtags Used"/>
    <x v="3"/>
  </r>
  <r>
    <s v="P164"/>
    <x v="1"/>
    <d v="2025-02-27T00:00:00"/>
    <x v="1"/>
    <s v="Check out our latest text on youtube!"/>
    <n v="4934"/>
    <n v="971"/>
    <n v="156"/>
    <n v="39472"/>
    <n v="39025"/>
    <n v="169"/>
    <x v="3"/>
    <n v="0.15355188488042157"/>
    <s v="Hashtags-1"/>
    <x v="1"/>
  </r>
  <r>
    <s v="P164"/>
    <x v="1"/>
    <d v="2025-02-27T00:00:00"/>
    <x v="1"/>
    <s v="Check out our latest text on youtube!"/>
    <n v="4934"/>
    <n v="971"/>
    <n v="156"/>
    <n v="39472"/>
    <n v="39025"/>
    <n v="169"/>
    <x v="3"/>
    <n v="0.15355188488042157"/>
    <s v="Hashtags_2"/>
    <x v="2"/>
  </r>
  <r>
    <s v="P165"/>
    <x v="0"/>
    <d v="2024-12-11T00:00:00"/>
    <x v="1"/>
    <s v="Check out our latest text on twitter!"/>
    <n v="3239"/>
    <n v="43"/>
    <n v="211"/>
    <n v="22673"/>
    <n v="22171"/>
    <n v="230"/>
    <x v="1"/>
    <n v="0.15405989502933004"/>
    <s v="Hashtags Used"/>
    <x v="3"/>
  </r>
  <r>
    <s v="P165"/>
    <x v="0"/>
    <d v="2024-12-11T00:00:00"/>
    <x v="1"/>
    <s v="Check out our latest text on twitter!"/>
    <n v="3239"/>
    <n v="43"/>
    <n v="211"/>
    <n v="22673"/>
    <n v="22171"/>
    <n v="230"/>
    <x v="1"/>
    <n v="0.15405989502933004"/>
    <s v="Hashtags-1"/>
    <x v="2"/>
  </r>
  <r>
    <s v="P165"/>
    <x v="0"/>
    <d v="2024-12-11T00:00:00"/>
    <x v="1"/>
    <s v="Check out our latest text on twitter!"/>
    <n v="3239"/>
    <n v="43"/>
    <n v="211"/>
    <n v="22673"/>
    <n v="22171"/>
    <n v="230"/>
    <x v="1"/>
    <n v="0.15405989502933004"/>
    <s v="Hashtags_2"/>
    <x v="2"/>
  </r>
  <r>
    <s v="P166"/>
    <x v="0"/>
    <d v="2025-02-16T00:00:00"/>
    <x v="0"/>
    <s v="Check out our latest reel on twitter!"/>
    <n v="1076"/>
    <n v="313"/>
    <n v="306"/>
    <n v="11836"/>
    <n v="11596"/>
    <n v="104"/>
    <x v="0"/>
    <n v="0.14320716458262928"/>
    <s v="Hashtags Used"/>
    <x v="0"/>
  </r>
  <r>
    <s v="P166"/>
    <x v="0"/>
    <d v="2025-02-16T00:00:00"/>
    <x v="0"/>
    <s v="Check out our latest reel on twitter!"/>
    <n v="1076"/>
    <n v="313"/>
    <n v="306"/>
    <n v="11836"/>
    <n v="11596"/>
    <n v="104"/>
    <x v="0"/>
    <n v="0.14320716458262928"/>
    <s v="Hashtags-1"/>
    <x v="2"/>
  </r>
  <r>
    <s v="P166"/>
    <x v="0"/>
    <d v="2025-02-16T00:00:00"/>
    <x v="0"/>
    <s v="Check out our latest reel on twitter!"/>
    <n v="1076"/>
    <n v="313"/>
    <n v="306"/>
    <n v="11836"/>
    <n v="11596"/>
    <n v="104"/>
    <x v="0"/>
    <n v="0.14320716458262928"/>
    <s v="Hashtags_2"/>
    <x v="2"/>
  </r>
  <r>
    <s v="P167"/>
    <x v="2"/>
    <d v="2024-11-28T00:00:00"/>
    <x v="1"/>
    <s v="Check out our latest text on instagram!"/>
    <n v="4771"/>
    <n v="818"/>
    <n v="56"/>
    <n v="57252"/>
    <n v="56378"/>
    <n v="150"/>
    <x v="4"/>
    <n v="9.859917557465242E-2"/>
    <s v="Hashtags Used"/>
    <x v="0"/>
  </r>
  <r>
    <s v="P167"/>
    <x v="2"/>
    <d v="2024-11-28T00:00:00"/>
    <x v="1"/>
    <s v="Check out our latest text on instagram!"/>
    <n v="4771"/>
    <n v="818"/>
    <n v="56"/>
    <n v="57252"/>
    <n v="56378"/>
    <n v="150"/>
    <x v="4"/>
    <n v="9.859917557465242E-2"/>
    <s v="Hashtags-1"/>
    <x v="2"/>
  </r>
  <r>
    <s v="P167"/>
    <x v="2"/>
    <d v="2024-11-28T00:00:00"/>
    <x v="1"/>
    <s v="Check out our latest text on instagram!"/>
    <n v="4771"/>
    <n v="818"/>
    <n v="56"/>
    <n v="57252"/>
    <n v="56378"/>
    <n v="150"/>
    <x v="4"/>
    <n v="9.859917557465242E-2"/>
    <s v="Hashtags_2"/>
    <x v="2"/>
  </r>
  <r>
    <s v="P168"/>
    <x v="3"/>
    <d v="2024-11-12T00:00:00"/>
    <x v="1"/>
    <s v="Check out our latest text on facebook!"/>
    <n v="2418"/>
    <n v="754"/>
    <n v="54"/>
    <n v="43524"/>
    <n v="42743"/>
    <n v="182"/>
    <x v="0"/>
    <n v="7.412002573292896E-2"/>
    <s v="Hashtags Used"/>
    <x v="5"/>
  </r>
  <r>
    <s v="P168"/>
    <x v="3"/>
    <d v="2024-11-12T00:00:00"/>
    <x v="1"/>
    <s v="Check out our latest text on facebook!"/>
    <n v="2418"/>
    <n v="754"/>
    <n v="54"/>
    <n v="43524"/>
    <n v="42743"/>
    <n v="182"/>
    <x v="0"/>
    <n v="7.412002573292896E-2"/>
    <s v="Hashtags-1"/>
    <x v="2"/>
  </r>
  <r>
    <s v="P168"/>
    <x v="3"/>
    <d v="2024-11-12T00:00:00"/>
    <x v="1"/>
    <s v="Check out our latest text on facebook!"/>
    <n v="2418"/>
    <n v="754"/>
    <n v="54"/>
    <n v="43524"/>
    <n v="42743"/>
    <n v="182"/>
    <x v="0"/>
    <n v="7.412002573292896E-2"/>
    <s v="Hashtags_2"/>
    <x v="2"/>
  </r>
  <r>
    <s v="P169"/>
    <x v="1"/>
    <d v="2024-12-03T00:00:00"/>
    <x v="5"/>
    <s v="Check out our latest video on youtube!"/>
    <n v="3809"/>
    <n v="273"/>
    <n v="200"/>
    <n v="34281"/>
    <n v="33534"/>
    <n v="83"/>
    <x v="0"/>
    <n v="0.12490884163239112"/>
    <s v="Hashtags Used"/>
    <x v="5"/>
  </r>
  <r>
    <s v="P169"/>
    <x v="1"/>
    <d v="2024-12-03T00:00:00"/>
    <x v="5"/>
    <s v="Check out our latest video on youtube!"/>
    <n v="3809"/>
    <n v="273"/>
    <n v="200"/>
    <n v="34281"/>
    <n v="33534"/>
    <n v="83"/>
    <x v="0"/>
    <n v="0.12490884163239112"/>
    <s v="Hashtags-1"/>
    <x v="2"/>
  </r>
  <r>
    <s v="P169"/>
    <x v="1"/>
    <d v="2024-12-03T00:00:00"/>
    <x v="5"/>
    <s v="Check out our latest video on youtube!"/>
    <n v="3809"/>
    <n v="273"/>
    <n v="200"/>
    <n v="34281"/>
    <n v="33534"/>
    <n v="83"/>
    <x v="0"/>
    <n v="0.12490884163239112"/>
    <s v="Hashtags_2"/>
    <x v="2"/>
  </r>
  <r>
    <s v="P170"/>
    <x v="0"/>
    <d v="2025-04-28T00:00:00"/>
    <x v="1"/>
    <s v="Check out our latest text on twitter!"/>
    <n v="3577"/>
    <n v="596"/>
    <n v="493"/>
    <n v="67963"/>
    <n v="67839"/>
    <n v="53"/>
    <x v="2"/>
    <n v="6.8655003457763777E-2"/>
    <s v="Hashtags Used"/>
    <x v="3"/>
  </r>
  <r>
    <s v="P170"/>
    <x v="0"/>
    <d v="2025-04-28T00:00:00"/>
    <x v="1"/>
    <s v="Check out our latest text on twitter!"/>
    <n v="3577"/>
    <n v="596"/>
    <n v="493"/>
    <n v="67963"/>
    <n v="67839"/>
    <n v="53"/>
    <x v="2"/>
    <n v="6.8655003457763777E-2"/>
    <s v="Hashtags-1"/>
    <x v="2"/>
  </r>
  <r>
    <s v="P170"/>
    <x v="0"/>
    <d v="2025-04-28T00:00:00"/>
    <x v="1"/>
    <s v="Check out our latest text on twitter!"/>
    <n v="3577"/>
    <n v="596"/>
    <n v="493"/>
    <n v="67963"/>
    <n v="67839"/>
    <n v="53"/>
    <x v="2"/>
    <n v="6.8655003457763777E-2"/>
    <s v="Hashtags_2"/>
    <x v="2"/>
  </r>
  <r>
    <s v="P171"/>
    <x v="1"/>
    <d v="2024-12-31T00:00:00"/>
    <x v="5"/>
    <s v="Check out our latest video on youtube!"/>
    <n v="1018"/>
    <n v="447"/>
    <n v="332"/>
    <n v="18324"/>
    <n v="18164"/>
    <n v="38"/>
    <x v="1"/>
    <n v="9.8068107400130972E-2"/>
    <s v="Hashtags Used"/>
    <x v="0"/>
  </r>
  <r>
    <s v="P171"/>
    <x v="1"/>
    <d v="2024-12-31T00:00:00"/>
    <x v="5"/>
    <s v="Check out our latest video on youtube!"/>
    <n v="1018"/>
    <n v="447"/>
    <n v="332"/>
    <n v="18324"/>
    <n v="18164"/>
    <n v="38"/>
    <x v="1"/>
    <n v="9.8068107400130972E-2"/>
    <s v="Hashtags-1"/>
    <x v="2"/>
  </r>
  <r>
    <s v="P171"/>
    <x v="1"/>
    <d v="2024-12-31T00:00:00"/>
    <x v="5"/>
    <s v="Check out our latest video on youtube!"/>
    <n v="1018"/>
    <n v="447"/>
    <n v="332"/>
    <n v="18324"/>
    <n v="18164"/>
    <n v="38"/>
    <x v="1"/>
    <n v="9.8068107400130972E-2"/>
    <s v="Hashtags_2"/>
    <x v="2"/>
  </r>
  <r>
    <s v="P172"/>
    <x v="3"/>
    <d v="2024-08-14T00:00:00"/>
    <x v="3"/>
    <s v="Check out our latest carousel on facebook!"/>
    <n v="3073"/>
    <n v="553"/>
    <n v="174"/>
    <n v="52241"/>
    <n v="51605"/>
    <n v="246"/>
    <x v="2"/>
    <n v="7.2739802071170159E-2"/>
    <s v="Hashtags Used"/>
    <x v="5"/>
  </r>
  <r>
    <s v="P172"/>
    <x v="3"/>
    <d v="2024-08-14T00:00:00"/>
    <x v="3"/>
    <s v="Check out our latest carousel on facebook!"/>
    <n v="3073"/>
    <n v="553"/>
    <n v="174"/>
    <n v="52241"/>
    <n v="51605"/>
    <n v="246"/>
    <x v="2"/>
    <n v="7.2739802071170159E-2"/>
    <s v="Hashtags-1"/>
    <x v="2"/>
  </r>
  <r>
    <s v="P172"/>
    <x v="3"/>
    <d v="2024-08-14T00:00:00"/>
    <x v="3"/>
    <s v="Check out our latest carousel on facebook!"/>
    <n v="3073"/>
    <n v="553"/>
    <n v="174"/>
    <n v="52241"/>
    <n v="51605"/>
    <n v="246"/>
    <x v="2"/>
    <n v="7.2739802071170159E-2"/>
    <s v="Hashtags_2"/>
    <x v="2"/>
  </r>
  <r>
    <s v="P173"/>
    <x v="0"/>
    <d v="2024-12-05T00:00:00"/>
    <x v="5"/>
    <s v="Check out our latest video on twitter!"/>
    <n v="1330"/>
    <n v="925"/>
    <n v="35"/>
    <n v="15960"/>
    <n v="15379"/>
    <n v="229"/>
    <x v="2"/>
    <n v="0.14348370927318296"/>
    <s v="Hashtags Used"/>
    <x v="0"/>
  </r>
  <r>
    <s v="P173"/>
    <x v="0"/>
    <d v="2024-12-05T00:00:00"/>
    <x v="5"/>
    <s v="Check out our latest video on twitter!"/>
    <n v="1330"/>
    <n v="925"/>
    <n v="35"/>
    <n v="15960"/>
    <n v="15379"/>
    <n v="229"/>
    <x v="2"/>
    <n v="0.14348370927318296"/>
    <s v="Hashtags-1"/>
    <x v="2"/>
  </r>
  <r>
    <s v="P173"/>
    <x v="0"/>
    <d v="2024-12-05T00:00:00"/>
    <x v="5"/>
    <s v="Check out our latest video on twitter!"/>
    <n v="1330"/>
    <n v="925"/>
    <n v="35"/>
    <n v="15960"/>
    <n v="15379"/>
    <n v="229"/>
    <x v="2"/>
    <n v="0.14348370927318296"/>
    <s v="Hashtags_2"/>
    <x v="2"/>
  </r>
  <r>
    <s v="P174"/>
    <x v="3"/>
    <d v="2024-06-22T00:00:00"/>
    <x v="1"/>
    <s v="Check out our latest text on facebook!"/>
    <n v="3828"/>
    <n v="148"/>
    <n v="253"/>
    <n v="30624"/>
    <n v="30229"/>
    <n v="235"/>
    <x v="4"/>
    <n v="0.13809430512016718"/>
    <s v="Hashtags Used"/>
    <x v="5"/>
  </r>
  <r>
    <s v="P174"/>
    <x v="3"/>
    <d v="2024-06-22T00:00:00"/>
    <x v="1"/>
    <s v="Check out our latest text on facebook!"/>
    <n v="3828"/>
    <n v="148"/>
    <n v="253"/>
    <n v="30624"/>
    <n v="30229"/>
    <n v="235"/>
    <x v="4"/>
    <n v="0.13809430512016718"/>
    <s v="Hashtags-1"/>
    <x v="2"/>
  </r>
  <r>
    <s v="P174"/>
    <x v="3"/>
    <d v="2024-06-22T00:00:00"/>
    <x v="1"/>
    <s v="Check out our latest text on facebook!"/>
    <n v="3828"/>
    <n v="148"/>
    <n v="253"/>
    <n v="30624"/>
    <n v="30229"/>
    <n v="235"/>
    <x v="4"/>
    <n v="0.13809430512016718"/>
    <s v="Hashtags_2"/>
    <x v="2"/>
  </r>
  <r>
    <s v="P175"/>
    <x v="2"/>
    <d v="2025-01-17T00:00:00"/>
    <x v="0"/>
    <s v="Check out our latest reel on instagram!"/>
    <n v="142"/>
    <n v="784"/>
    <n v="183"/>
    <n v="1704"/>
    <n v="995"/>
    <n v="154"/>
    <x v="3"/>
    <n v="0.6508215962441315"/>
    <s v="Hashtags Used"/>
    <x v="0"/>
  </r>
  <r>
    <s v="P175"/>
    <x v="2"/>
    <d v="2025-01-17T00:00:00"/>
    <x v="0"/>
    <s v="Check out our latest reel on instagram!"/>
    <n v="142"/>
    <n v="784"/>
    <n v="183"/>
    <n v="1704"/>
    <n v="995"/>
    <n v="154"/>
    <x v="3"/>
    <n v="0.6508215962441315"/>
    <s v="Hashtags-1"/>
    <x v="2"/>
  </r>
  <r>
    <s v="P175"/>
    <x v="2"/>
    <d v="2025-01-17T00:00:00"/>
    <x v="0"/>
    <s v="Check out our latest reel on instagram!"/>
    <n v="142"/>
    <n v="784"/>
    <n v="183"/>
    <n v="1704"/>
    <n v="995"/>
    <n v="154"/>
    <x v="3"/>
    <n v="0.6508215962441315"/>
    <s v="Hashtags_2"/>
    <x v="2"/>
  </r>
  <r>
    <s v="P176"/>
    <x v="3"/>
    <d v="2024-06-20T00:00:00"/>
    <x v="5"/>
    <s v="Check out our latest video on facebook!"/>
    <n v="3798"/>
    <n v="31"/>
    <n v="279"/>
    <n v="75960"/>
    <n v="75813"/>
    <n v="266"/>
    <x v="0"/>
    <n v="5.4081095313322801E-2"/>
    <s v="Hashtags Used"/>
    <x v="3"/>
  </r>
  <r>
    <s v="P176"/>
    <x v="3"/>
    <d v="2024-06-20T00:00:00"/>
    <x v="5"/>
    <s v="Check out our latest video on facebook!"/>
    <n v="3798"/>
    <n v="31"/>
    <n v="279"/>
    <n v="75960"/>
    <n v="75813"/>
    <n v="266"/>
    <x v="0"/>
    <n v="5.4081095313322801E-2"/>
    <s v="Hashtags-1"/>
    <x v="2"/>
  </r>
  <r>
    <s v="P176"/>
    <x v="3"/>
    <d v="2024-06-20T00:00:00"/>
    <x v="5"/>
    <s v="Check out our latest video on facebook!"/>
    <n v="3798"/>
    <n v="31"/>
    <n v="279"/>
    <n v="75960"/>
    <n v="75813"/>
    <n v="266"/>
    <x v="0"/>
    <n v="5.4081095313322801E-2"/>
    <s v="Hashtags_2"/>
    <x v="2"/>
  </r>
  <r>
    <s v="P177"/>
    <x v="2"/>
    <d v="2024-07-10T00:00:00"/>
    <x v="3"/>
    <s v="Check out our latest carousel on instagram!"/>
    <n v="3099"/>
    <n v="694"/>
    <n v="171"/>
    <n v="43386"/>
    <n v="42921"/>
    <n v="52"/>
    <x v="2"/>
    <n v="9.1365878393951966E-2"/>
    <s v="Hashtags Used"/>
    <x v="3"/>
  </r>
  <r>
    <s v="P177"/>
    <x v="2"/>
    <d v="2024-07-10T00:00:00"/>
    <x v="3"/>
    <s v="Check out our latest carousel on instagram!"/>
    <n v="3099"/>
    <n v="694"/>
    <n v="171"/>
    <n v="43386"/>
    <n v="42921"/>
    <n v="52"/>
    <x v="2"/>
    <n v="9.1365878393951966E-2"/>
    <s v="Hashtags-1"/>
    <x v="2"/>
  </r>
  <r>
    <s v="P177"/>
    <x v="2"/>
    <d v="2024-07-10T00:00:00"/>
    <x v="3"/>
    <s v="Check out our latest carousel on instagram!"/>
    <n v="3099"/>
    <n v="694"/>
    <n v="171"/>
    <n v="43386"/>
    <n v="42921"/>
    <n v="52"/>
    <x v="2"/>
    <n v="9.1365878393951966E-2"/>
    <s v="Hashtags_2"/>
    <x v="2"/>
  </r>
  <r>
    <s v="P178"/>
    <x v="2"/>
    <d v="2024-11-07T00:00:00"/>
    <x v="5"/>
    <s v="Check out our latest video on instagram!"/>
    <n v="129"/>
    <n v="643"/>
    <n v="136"/>
    <n v="1290"/>
    <n v="839"/>
    <n v="238"/>
    <x v="3"/>
    <n v="0.70387596899224802"/>
    <s v="Hashtags Used"/>
    <x v="3"/>
  </r>
  <r>
    <s v="P178"/>
    <x v="2"/>
    <d v="2024-11-07T00:00:00"/>
    <x v="5"/>
    <s v="Check out our latest video on instagram!"/>
    <n v="129"/>
    <n v="643"/>
    <n v="136"/>
    <n v="1290"/>
    <n v="839"/>
    <n v="238"/>
    <x v="3"/>
    <n v="0.70387596899224802"/>
    <s v="Hashtags-1"/>
    <x v="2"/>
  </r>
  <r>
    <s v="P178"/>
    <x v="2"/>
    <d v="2024-11-07T00:00:00"/>
    <x v="5"/>
    <s v="Check out our latest video on instagram!"/>
    <n v="129"/>
    <n v="643"/>
    <n v="136"/>
    <n v="1290"/>
    <n v="839"/>
    <n v="238"/>
    <x v="3"/>
    <n v="0.70387596899224802"/>
    <s v="Hashtags_2"/>
    <x v="2"/>
  </r>
  <r>
    <s v="P179"/>
    <x v="3"/>
    <d v="2024-07-15T00:00:00"/>
    <x v="3"/>
    <s v="Check out our latest carousel on facebook!"/>
    <n v="3796"/>
    <n v="667"/>
    <n v="395"/>
    <n v="64532"/>
    <n v="63550"/>
    <n v="292"/>
    <x v="4"/>
    <n v="7.5280481001673588E-2"/>
    <s v="Hashtags Used"/>
    <x v="3"/>
  </r>
  <r>
    <s v="P179"/>
    <x v="3"/>
    <d v="2024-07-15T00:00:00"/>
    <x v="3"/>
    <s v="Check out our latest carousel on facebook!"/>
    <n v="3796"/>
    <n v="667"/>
    <n v="395"/>
    <n v="64532"/>
    <n v="63550"/>
    <n v="292"/>
    <x v="4"/>
    <n v="7.5280481001673588E-2"/>
    <s v="Hashtags-1"/>
    <x v="2"/>
  </r>
  <r>
    <s v="P179"/>
    <x v="3"/>
    <d v="2024-07-15T00:00:00"/>
    <x v="3"/>
    <s v="Check out our latest carousel on facebook!"/>
    <n v="3796"/>
    <n v="667"/>
    <n v="395"/>
    <n v="64532"/>
    <n v="63550"/>
    <n v="292"/>
    <x v="4"/>
    <n v="7.5280481001673588E-2"/>
    <s v="Hashtags_2"/>
    <x v="2"/>
  </r>
  <r>
    <s v="P180"/>
    <x v="1"/>
    <d v="2024-12-03T00:00:00"/>
    <x v="1"/>
    <s v="Check out our latest text on youtube!"/>
    <n v="3711"/>
    <n v="352"/>
    <n v="290"/>
    <n v="48243"/>
    <n v="47579"/>
    <n v="11"/>
    <x v="0"/>
    <n v="9.023070704558174E-2"/>
    <s v="Hashtags Used"/>
    <x v="3"/>
  </r>
  <r>
    <s v="P180"/>
    <x v="1"/>
    <d v="2024-12-03T00:00:00"/>
    <x v="1"/>
    <s v="Check out our latest text on youtube!"/>
    <n v="3711"/>
    <n v="352"/>
    <n v="290"/>
    <n v="48243"/>
    <n v="47579"/>
    <n v="11"/>
    <x v="0"/>
    <n v="9.023070704558174E-2"/>
    <s v="Hashtags-1"/>
    <x v="2"/>
  </r>
  <r>
    <s v="P180"/>
    <x v="1"/>
    <d v="2024-12-03T00:00:00"/>
    <x v="1"/>
    <s v="Check out our latest text on youtube!"/>
    <n v="3711"/>
    <n v="352"/>
    <n v="290"/>
    <n v="48243"/>
    <n v="47579"/>
    <n v="11"/>
    <x v="0"/>
    <n v="9.023070704558174E-2"/>
    <s v="Hashtags_2"/>
    <x v="2"/>
  </r>
  <r>
    <s v="P181"/>
    <x v="1"/>
    <d v="2025-03-21T00:00:00"/>
    <x v="4"/>
    <s v="Check out our latest image on youtube!"/>
    <n v="606"/>
    <n v="789"/>
    <n v="470"/>
    <n v="7878"/>
    <n v="7389"/>
    <n v="239"/>
    <x v="2"/>
    <n v="0.23673521198273673"/>
    <s v="Hashtags Used"/>
    <x v="5"/>
  </r>
  <r>
    <s v="P181"/>
    <x v="1"/>
    <d v="2025-03-21T00:00:00"/>
    <x v="4"/>
    <s v="Check out our latest image on youtube!"/>
    <n v="606"/>
    <n v="789"/>
    <n v="470"/>
    <n v="7878"/>
    <n v="7389"/>
    <n v="239"/>
    <x v="2"/>
    <n v="0.23673521198273673"/>
    <s v="Hashtags-1"/>
    <x v="2"/>
  </r>
  <r>
    <s v="P181"/>
    <x v="1"/>
    <d v="2025-03-21T00:00:00"/>
    <x v="4"/>
    <s v="Check out our latest image on youtube!"/>
    <n v="606"/>
    <n v="789"/>
    <n v="470"/>
    <n v="7878"/>
    <n v="7389"/>
    <n v="239"/>
    <x v="2"/>
    <n v="0.23673521198273673"/>
    <s v="Hashtags_2"/>
    <x v="2"/>
  </r>
  <r>
    <s v="P182"/>
    <x v="3"/>
    <d v="2024-07-31T00:00:00"/>
    <x v="4"/>
    <s v="Check out our latest image on facebook!"/>
    <n v="4689"/>
    <n v="134"/>
    <n v="403"/>
    <n v="51579"/>
    <n v="50924"/>
    <n v="173"/>
    <x v="3"/>
    <n v="0.10132030477519921"/>
    <s v="Hashtags Used"/>
    <x v="3"/>
  </r>
  <r>
    <s v="P182"/>
    <x v="3"/>
    <d v="2024-07-31T00:00:00"/>
    <x v="4"/>
    <s v="Check out our latest image on facebook!"/>
    <n v="4689"/>
    <n v="134"/>
    <n v="403"/>
    <n v="51579"/>
    <n v="50924"/>
    <n v="173"/>
    <x v="3"/>
    <n v="0.10132030477519921"/>
    <s v="Hashtags-1"/>
    <x v="2"/>
  </r>
  <r>
    <s v="P182"/>
    <x v="3"/>
    <d v="2024-07-31T00:00:00"/>
    <x v="4"/>
    <s v="Check out our latest image on facebook!"/>
    <n v="4689"/>
    <n v="134"/>
    <n v="403"/>
    <n v="51579"/>
    <n v="50924"/>
    <n v="173"/>
    <x v="3"/>
    <n v="0.10132030477519921"/>
    <s v="Hashtags_2"/>
    <x v="2"/>
  </r>
  <r>
    <s v="P183"/>
    <x v="2"/>
    <d v="2024-12-17T00:00:00"/>
    <x v="2"/>
    <s v="Check out our latest story on instagram!"/>
    <n v="360"/>
    <n v="590"/>
    <n v="393"/>
    <n v="4680"/>
    <n v="4322"/>
    <n v="208"/>
    <x v="1"/>
    <n v="0.28696581196581195"/>
    <s v="Hashtags Used"/>
    <x v="0"/>
  </r>
  <r>
    <s v="P183"/>
    <x v="2"/>
    <d v="2024-12-17T00:00:00"/>
    <x v="2"/>
    <s v="Check out our latest story on instagram!"/>
    <n v="360"/>
    <n v="590"/>
    <n v="393"/>
    <n v="4680"/>
    <n v="4322"/>
    <n v="208"/>
    <x v="1"/>
    <n v="0.28696581196581195"/>
    <s v="Hashtags-1"/>
    <x v="2"/>
  </r>
  <r>
    <s v="P183"/>
    <x v="2"/>
    <d v="2024-12-17T00:00:00"/>
    <x v="2"/>
    <s v="Check out our latest story on instagram!"/>
    <n v="360"/>
    <n v="590"/>
    <n v="393"/>
    <n v="4680"/>
    <n v="4322"/>
    <n v="208"/>
    <x v="1"/>
    <n v="0.28696581196581195"/>
    <s v="Hashtags_2"/>
    <x v="2"/>
  </r>
  <r>
    <s v="P184"/>
    <x v="0"/>
    <d v="2024-07-28T00:00:00"/>
    <x v="4"/>
    <s v="Check out our latest image on twitter!"/>
    <n v="3215"/>
    <n v="960"/>
    <n v="202"/>
    <n v="32150"/>
    <n v="31404"/>
    <n v="251"/>
    <x v="0"/>
    <n v="0.13614307931570763"/>
    <s v="Hashtags Used"/>
    <x v="5"/>
  </r>
  <r>
    <s v="P184"/>
    <x v="0"/>
    <d v="2024-07-28T00:00:00"/>
    <x v="4"/>
    <s v="Check out our latest image on twitter!"/>
    <n v="3215"/>
    <n v="960"/>
    <n v="202"/>
    <n v="32150"/>
    <n v="31404"/>
    <n v="251"/>
    <x v="0"/>
    <n v="0.13614307931570763"/>
    <s v="Hashtags-1"/>
    <x v="2"/>
  </r>
  <r>
    <s v="P184"/>
    <x v="0"/>
    <d v="2024-07-28T00:00:00"/>
    <x v="4"/>
    <s v="Check out our latest image on twitter!"/>
    <n v="3215"/>
    <n v="960"/>
    <n v="202"/>
    <n v="32150"/>
    <n v="31404"/>
    <n v="251"/>
    <x v="0"/>
    <n v="0.13614307931570763"/>
    <s v="Hashtags_2"/>
    <x v="2"/>
  </r>
  <r>
    <s v="P185"/>
    <x v="2"/>
    <d v="2025-01-11T00:00:00"/>
    <x v="3"/>
    <s v="Check out our latest carousel on instagram!"/>
    <n v="4523"/>
    <n v="61"/>
    <n v="157"/>
    <n v="49753"/>
    <n v="49329"/>
    <n v="71"/>
    <x v="4"/>
    <n v="9.5290736237010829E-2"/>
    <s v="Hashtags Used"/>
    <x v="5"/>
  </r>
  <r>
    <s v="P185"/>
    <x v="2"/>
    <d v="2025-01-11T00:00:00"/>
    <x v="3"/>
    <s v="Check out our latest carousel on instagram!"/>
    <n v="4523"/>
    <n v="61"/>
    <n v="157"/>
    <n v="49753"/>
    <n v="49329"/>
    <n v="71"/>
    <x v="4"/>
    <n v="9.5290736237010829E-2"/>
    <s v="Hashtags-1"/>
    <x v="2"/>
  </r>
  <r>
    <s v="P185"/>
    <x v="2"/>
    <d v="2025-01-11T00:00:00"/>
    <x v="3"/>
    <s v="Check out our latest carousel on instagram!"/>
    <n v="4523"/>
    <n v="61"/>
    <n v="157"/>
    <n v="49753"/>
    <n v="49329"/>
    <n v="71"/>
    <x v="4"/>
    <n v="9.5290736237010829E-2"/>
    <s v="Hashtags_2"/>
    <x v="2"/>
  </r>
  <r>
    <s v="P186"/>
    <x v="3"/>
    <d v="2024-08-24T00:00:00"/>
    <x v="3"/>
    <s v="Check out our latest carousel on facebook!"/>
    <n v="4292"/>
    <n v="51"/>
    <n v="392"/>
    <n v="55796"/>
    <n v="54826"/>
    <n v="264"/>
    <x v="2"/>
    <n v="8.4862714173059003E-2"/>
    <s v="Hashtags Used"/>
    <x v="5"/>
  </r>
  <r>
    <s v="P186"/>
    <x v="3"/>
    <d v="2024-08-24T00:00:00"/>
    <x v="3"/>
    <s v="Check out our latest carousel on facebook!"/>
    <n v="4292"/>
    <n v="51"/>
    <n v="392"/>
    <n v="55796"/>
    <n v="54826"/>
    <n v="264"/>
    <x v="2"/>
    <n v="8.4862714173059003E-2"/>
    <s v="Hashtags-1"/>
    <x v="2"/>
  </r>
  <r>
    <s v="P186"/>
    <x v="3"/>
    <d v="2024-08-24T00:00:00"/>
    <x v="3"/>
    <s v="Check out our latest carousel on facebook!"/>
    <n v="4292"/>
    <n v="51"/>
    <n v="392"/>
    <n v="55796"/>
    <n v="54826"/>
    <n v="264"/>
    <x v="2"/>
    <n v="8.4862714173059003E-2"/>
    <s v="Hashtags_2"/>
    <x v="2"/>
  </r>
  <r>
    <s v="P187"/>
    <x v="0"/>
    <d v="2024-12-22T00:00:00"/>
    <x v="0"/>
    <s v="Check out our latest reel on twitter!"/>
    <n v="1644"/>
    <n v="546"/>
    <n v="150"/>
    <n v="27948"/>
    <n v="27184"/>
    <n v="300"/>
    <x v="2"/>
    <n v="8.3726921425504502E-2"/>
    <s v="Hashtags Used"/>
    <x v="5"/>
  </r>
  <r>
    <s v="P187"/>
    <x v="0"/>
    <d v="2024-12-22T00:00:00"/>
    <x v="0"/>
    <s v="Check out our latest reel on twitter!"/>
    <n v="1644"/>
    <n v="546"/>
    <n v="150"/>
    <n v="27948"/>
    <n v="27184"/>
    <n v="300"/>
    <x v="2"/>
    <n v="8.3726921425504502E-2"/>
    <s v="Hashtags-1"/>
    <x v="2"/>
  </r>
  <r>
    <s v="P187"/>
    <x v="0"/>
    <d v="2024-12-22T00:00:00"/>
    <x v="0"/>
    <s v="Check out our latest reel on twitter!"/>
    <n v="1644"/>
    <n v="546"/>
    <n v="150"/>
    <n v="27948"/>
    <n v="27184"/>
    <n v="300"/>
    <x v="2"/>
    <n v="8.3726921425504502E-2"/>
    <s v="Hashtags_2"/>
    <x v="2"/>
  </r>
  <r>
    <s v="P188"/>
    <x v="1"/>
    <d v="2024-06-06T00:00:00"/>
    <x v="0"/>
    <s v="Check out our latest reel on youtube!"/>
    <n v="2728"/>
    <n v="533"/>
    <n v="215"/>
    <n v="40920"/>
    <n v="40816"/>
    <n v="137"/>
    <x v="1"/>
    <n v="8.4946236559139784E-2"/>
    <s v="Hashtags Used"/>
    <x v="0"/>
  </r>
  <r>
    <s v="P188"/>
    <x v="1"/>
    <d v="2024-06-06T00:00:00"/>
    <x v="0"/>
    <s v="Check out our latest reel on youtube!"/>
    <n v="2728"/>
    <n v="533"/>
    <n v="215"/>
    <n v="40920"/>
    <n v="40816"/>
    <n v="137"/>
    <x v="1"/>
    <n v="8.4946236559139784E-2"/>
    <s v="Hashtags-1"/>
    <x v="2"/>
  </r>
  <r>
    <s v="P188"/>
    <x v="1"/>
    <d v="2024-06-06T00:00:00"/>
    <x v="0"/>
    <s v="Check out our latest reel on youtube!"/>
    <n v="2728"/>
    <n v="533"/>
    <n v="215"/>
    <n v="40920"/>
    <n v="40816"/>
    <n v="137"/>
    <x v="1"/>
    <n v="8.4946236559139784E-2"/>
    <s v="Hashtags_2"/>
    <x v="2"/>
  </r>
  <r>
    <s v="P189"/>
    <x v="3"/>
    <d v="2025-03-24T00:00:00"/>
    <x v="0"/>
    <s v="Check out our latest reel on facebook!"/>
    <n v="3360"/>
    <n v="525"/>
    <n v="500"/>
    <n v="60480"/>
    <n v="59610"/>
    <n v="192"/>
    <x v="0"/>
    <n v="7.2503306878306875E-2"/>
    <s v="Hashtags Used"/>
    <x v="3"/>
  </r>
  <r>
    <s v="P189"/>
    <x v="3"/>
    <d v="2025-03-24T00:00:00"/>
    <x v="0"/>
    <s v="Check out our latest reel on facebook!"/>
    <n v="3360"/>
    <n v="525"/>
    <n v="500"/>
    <n v="60480"/>
    <n v="59610"/>
    <n v="192"/>
    <x v="0"/>
    <n v="7.2503306878306875E-2"/>
    <s v="Hashtags-1"/>
    <x v="2"/>
  </r>
  <r>
    <s v="P189"/>
    <x v="3"/>
    <d v="2025-03-24T00:00:00"/>
    <x v="0"/>
    <s v="Check out our latest reel on facebook!"/>
    <n v="3360"/>
    <n v="525"/>
    <n v="500"/>
    <n v="60480"/>
    <n v="59610"/>
    <n v="192"/>
    <x v="0"/>
    <n v="7.2503306878306875E-2"/>
    <s v="Hashtags_2"/>
    <x v="2"/>
  </r>
  <r>
    <s v="P190"/>
    <x v="1"/>
    <d v="2024-10-04T00:00:00"/>
    <x v="1"/>
    <s v="Check out our latest text on youtube!"/>
    <n v="1963"/>
    <n v="213"/>
    <n v="19"/>
    <n v="39260"/>
    <n v="38771"/>
    <n v="145"/>
    <x v="4"/>
    <n v="5.5909322465613857E-2"/>
    <s v="Hashtags Used"/>
    <x v="0"/>
  </r>
  <r>
    <s v="P190"/>
    <x v="1"/>
    <d v="2024-10-04T00:00:00"/>
    <x v="1"/>
    <s v="Check out our latest text on youtube!"/>
    <n v="1963"/>
    <n v="213"/>
    <n v="19"/>
    <n v="39260"/>
    <n v="38771"/>
    <n v="145"/>
    <x v="4"/>
    <n v="5.5909322465613857E-2"/>
    <s v="Hashtags-1"/>
    <x v="2"/>
  </r>
  <r>
    <s v="P190"/>
    <x v="1"/>
    <d v="2024-10-04T00:00:00"/>
    <x v="1"/>
    <s v="Check out our latest text on youtube!"/>
    <n v="1963"/>
    <n v="213"/>
    <n v="19"/>
    <n v="39260"/>
    <n v="38771"/>
    <n v="145"/>
    <x v="4"/>
    <n v="5.5909322465613857E-2"/>
    <s v="Hashtags_2"/>
    <x v="2"/>
  </r>
  <r>
    <s v="P191"/>
    <x v="1"/>
    <d v="2024-12-03T00:00:00"/>
    <x v="2"/>
    <s v="Check out our latest story on youtube!"/>
    <n v="4285"/>
    <n v="886"/>
    <n v="376"/>
    <n v="55705"/>
    <n v="55556"/>
    <n v="51"/>
    <x v="2"/>
    <n v="9.9578134817341346E-2"/>
    <s v="Hashtags Used"/>
    <x v="0"/>
  </r>
  <r>
    <s v="P191"/>
    <x v="1"/>
    <d v="2024-12-03T00:00:00"/>
    <x v="2"/>
    <s v="Check out our latest story on youtube!"/>
    <n v="4285"/>
    <n v="886"/>
    <n v="376"/>
    <n v="55705"/>
    <n v="55556"/>
    <n v="51"/>
    <x v="2"/>
    <n v="9.9578134817341346E-2"/>
    <s v="Hashtags-1"/>
    <x v="2"/>
  </r>
  <r>
    <s v="P191"/>
    <x v="1"/>
    <d v="2024-12-03T00:00:00"/>
    <x v="2"/>
    <s v="Check out our latest story on youtube!"/>
    <n v="4285"/>
    <n v="886"/>
    <n v="376"/>
    <n v="55705"/>
    <n v="55556"/>
    <n v="51"/>
    <x v="2"/>
    <n v="9.9578134817341346E-2"/>
    <s v="Hashtags_2"/>
    <x v="2"/>
  </r>
  <r>
    <s v="P192"/>
    <x v="2"/>
    <d v="2024-11-29T00:00:00"/>
    <x v="5"/>
    <s v="Check out our latest video on instagram!"/>
    <n v="1176"/>
    <n v="464"/>
    <n v="394"/>
    <n v="14112"/>
    <n v="13588"/>
    <n v="272"/>
    <x v="4"/>
    <n v="0.1441326530612245"/>
    <s v="Hashtags Used"/>
    <x v="5"/>
  </r>
  <r>
    <s v="P192"/>
    <x v="2"/>
    <d v="2024-11-29T00:00:00"/>
    <x v="5"/>
    <s v="Check out our latest video on instagram!"/>
    <n v="1176"/>
    <n v="464"/>
    <n v="394"/>
    <n v="14112"/>
    <n v="13588"/>
    <n v="272"/>
    <x v="4"/>
    <n v="0.1441326530612245"/>
    <s v="Hashtags-1"/>
    <x v="2"/>
  </r>
  <r>
    <s v="P192"/>
    <x v="2"/>
    <d v="2024-11-29T00:00:00"/>
    <x v="5"/>
    <s v="Check out our latest video on instagram!"/>
    <n v="1176"/>
    <n v="464"/>
    <n v="394"/>
    <n v="14112"/>
    <n v="13588"/>
    <n v="272"/>
    <x v="4"/>
    <n v="0.1441326530612245"/>
    <s v="Hashtags_2"/>
    <x v="2"/>
  </r>
  <r>
    <s v="P193"/>
    <x v="0"/>
    <d v="2024-09-11T00:00:00"/>
    <x v="4"/>
    <s v="Check out our latest image on twitter!"/>
    <n v="4858"/>
    <n v="317"/>
    <n v="129"/>
    <n v="53438"/>
    <n v="52687"/>
    <n v="223"/>
    <x v="2"/>
    <n v="9.9255211647142488E-2"/>
    <s v="Hashtags Used"/>
    <x v="5"/>
  </r>
  <r>
    <s v="P193"/>
    <x v="0"/>
    <d v="2024-09-11T00:00:00"/>
    <x v="4"/>
    <s v="Check out our latest image on twitter!"/>
    <n v="4858"/>
    <n v="317"/>
    <n v="129"/>
    <n v="53438"/>
    <n v="52687"/>
    <n v="223"/>
    <x v="2"/>
    <n v="9.9255211647142488E-2"/>
    <s v="Hashtags-1"/>
    <x v="2"/>
  </r>
  <r>
    <s v="P193"/>
    <x v="0"/>
    <d v="2024-09-11T00:00:00"/>
    <x v="4"/>
    <s v="Check out our latest image on twitter!"/>
    <n v="4858"/>
    <n v="317"/>
    <n v="129"/>
    <n v="53438"/>
    <n v="52687"/>
    <n v="223"/>
    <x v="2"/>
    <n v="9.9255211647142488E-2"/>
    <s v="Hashtags_2"/>
    <x v="2"/>
  </r>
  <r>
    <s v="P194"/>
    <x v="1"/>
    <d v="2024-10-02T00:00:00"/>
    <x v="2"/>
    <s v="Check out our latest story on youtube!"/>
    <n v="4350"/>
    <n v="771"/>
    <n v="7"/>
    <n v="60900"/>
    <n v="60592"/>
    <n v="195"/>
    <x v="0"/>
    <n v="8.4203612479474554E-2"/>
    <s v="Hashtags Used"/>
    <x v="5"/>
  </r>
  <r>
    <s v="P194"/>
    <x v="1"/>
    <d v="2024-10-02T00:00:00"/>
    <x v="2"/>
    <s v="Check out our latest story on youtube!"/>
    <n v="4350"/>
    <n v="771"/>
    <n v="7"/>
    <n v="60900"/>
    <n v="60592"/>
    <n v="195"/>
    <x v="0"/>
    <n v="8.4203612479474554E-2"/>
    <s v="Hashtags-1"/>
    <x v="2"/>
  </r>
  <r>
    <s v="P194"/>
    <x v="1"/>
    <d v="2024-10-02T00:00:00"/>
    <x v="2"/>
    <s v="Check out our latest story on youtube!"/>
    <n v="4350"/>
    <n v="771"/>
    <n v="7"/>
    <n v="60900"/>
    <n v="60592"/>
    <n v="195"/>
    <x v="0"/>
    <n v="8.4203612479474554E-2"/>
    <s v="Hashtags_2"/>
    <x v="2"/>
  </r>
  <r>
    <s v="P195"/>
    <x v="2"/>
    <d v="2024-08-15T00:00:00"/>
    <x v="3"/>
    <s v="Check out our latest carousel on instagram!"/>
    <n v="914"/>
    <n v="464"/>
    <n v="246"/>
    <n v="11882"/>
    <n v="11500"/>
    <n v="282"/>
    <x v="3"/>
    <n v="0.13667732704931829"/>
    <s v="Hashtags Used"/>
    <x v="0"/>
  </r>
  <r>
    <s v="P195"/>
    <x v="2"/>
    <d v="2024-08-15T00:00:00"/>
    <x v="3"/>
    <s v="Check out our latest carousel on instagram!"/>
    <n v="914"/>
    <n v="464"/>
    <n v="246"/>
    <n v="11882"/>
    <n v="11500"/>
    <n v="282"/>
    <x v="3"/>
    <n v="0.13667732704931829"/>
    <s v="Hashtags-1"/>
    <x v="3"/>
  </r>
  <r>
    <s v="P195"/>
    <x v="2"/>
    <d v="2024-08-15T00:00:00"/>
    <x v="3"/>
    <s v="Check out our latest carousel on instagram!"/>
    <n v="914"/>
    <n v="464"/>
    <n v="246"/>
    <n v="11882"/>
    <n v="11500"/>
    <n v="282"/>
    <x v="3"/>
    <n v="0.13667732704931829"/>
    <s v="Hashtags_2"/>
    <x v="1"/>
  </r>
  <r>
    <s v="P196"/>
    <x v="2"/>
    <d v="2024-12-19T00:00:00"/>
    <x v="1"/>
    <s v="Check out our latest text on instagram!"/>
    <n v="1813"/>
    <n v="623"/>
    <n v="72"/>
    <n v="19943"/>
    <n v="18959"/>
    <n v="85"/>
    <x v="2"/>
    <n v="0.12575841147269717"/>
    <s v="Hashtags Used"/>
    <x v="5"/>
  </r>
  <r>
    <s v="P196"/>
    <x v="2"/>
    <d v="2024-12-19T00:00:00"/>
    <x v="1"/>
    <s v="Check out our latest text on instagram!"/>
    <n v="1813"/>
    <n v="623"/>
    <n v="72"/>
    <n v="19943"/>
    <n v="18959"/>
    <n v="85"/>
    <x v="2"/>
    <n v="0.12575841147269717"/>
    <s v="Hashtags-1"/>
    <x v="2"/>
  </r>
  <r>
    <s v="P196"/>
    <x v="2"/>
    <d v="2024-12-19T00:00:00"/>
    <x v="1"/>
    <s v="Check out our latest text on instagram!"/>
    <n v="1813"/>
    <n v="623"/>
    <n v="72"/>
    <n v="19943"/>
    <n v="18959"/>
    <n v="85"/>
    <x v="2"/>
    <n v="0.12575841147269717"/>
    <s v="Hashtags_2"/>
    <x v="2"/>
  </r>
  <r>
    <s v="P197"/>
    <x v="0"/>
    <d v="2024-10-22T00:00:00"/>
    <x v="0"/>
    <s v="Check out our latest reel on twitter!"/>
    <n v="4782"/>
    <n v="721"/>
    <n v="82"/>
    <n v="86076"/>
    <n v="85339"/>
    <n v="19"/>
    <x v="0"/>
    <n v="6.4884520656164318E-2"/>
    <s v="Hashtags Used"/>
    <x v="5"/>
  </r>
  <r>
    <s v="P197"/>
    <x v="0"/>
    <d v="2024-10-22T00:00:00"/>
    <x v="0"/>
    <s v="Check out our latest reel on twitter!"/>
    <n v="4782"/>
    <n v="721"/>
    <n v="82"/>
    <n v="86076"/>
    <n v="85339"/>
    <n v="19"/>
    <x v="0"/>
    <n v="6.4884520656164318E-2"/>
    <s v="Hashtags-1"/>
    <x v="2"/>
  </r>
  <r>
    <s v="P197"/>
    <x v="0"/>
    <d v="2024-10-22T00:00:00"/>
    <x v="0"/>
    <s v="Check out our latest reel on twitter!"/>
    <n v="4782"/>
    <n v="721"/>
    <n v="82"/>
    <n v="86076"/>
    <n v="85339"/>
    <n v="19"/>
    <x v="0"/>
    <n v="6.4884520656164318E-2"/>
    <s v="Hashtags_2"/>
    <x v="2"/>
  </r>
  <r>
    <s v="P198"/>
    <x v="0"/>
    <d v="2024-09-14T00:00:00"/>
    <x v="4"/>
    <s v="Check out our latest image on twitter!"/>
    <n v="1048"/>
    <n v="374"/>
    <n v="450"/>
    <n v="9432"/>
    <n v="8882"/>
    <n v="158"/>
    <x v="2"/>
    <n v="0.19847328244274809"/>
    <s v="Hashtags Used"/>
    <x v="3"/>
  </r>
  <r>
    <s v="P198"/>
    <x v="0"/>
    <d v="2024-09-14T00:00:00"/>
    <x v="4"/>
    <s v="Check out our latest image on twitter!"/>
    <n v="1048"/>
    <n v="374"/>
    <n v="450"/>
    <n v="9432"/>
    <n v="8882"/>
    <n v="158"/>
    <x v="2"/>
    <n v="0.19847328244274809"/>
    <s v="Hashtags-1"/>
    <x v="2"/>
  </r>
  <r>
    <s v="P198"/>
    <x v="0"/>
    <d v="2024-09-14T00:00:00"/>
    <x v="4"/>
    <s v="Check out our latest image on twitter!"/>
    <n v="1048"/>
    <n v="374"/>
    <n v="450"/>
    <n v="9432"/>
    <n v="8882"/>
    <n v="158"/>
    <x v="2"/>
    <n v="0.19847328244274809"/>
    <s v="Hashtags_2"/>
    <x v="2"/>
  </r>
  <r>
    <s v="P199"/>
    <x v="1"/>
    <d v="2024-11-30T00:00:00"/>
    <x v="3"/>
    <s v="Check out our latest carousel on youtube!"/>
    <n v="2509"/>
    <n v="324"/>
    <n v="171"/>
    <n v="35126"/>
    <n v="34685"/>
    <n v="277"/>
    <x v="1"/>
    <n v="8.5520696919660646E-2"/>
    <s v="Hashtags Used"/>
    <x v="3"/>
  </r>
  <r>
    <s v="P199"/>
    <x v="1"/>
    <d v="2024-11-30T00:00:00"/>
    <x v="3"/>
    <s v="Check out our latest carousel on youtube!"/>
    <n v="2509"/>
    <n v="324"/>
    <n v="171"/>
    <n v="35126"/>
    <n v="34685"/>
    <n v="277"/>
    <x v="1"/>
    <n v="8.5520696919660646E-2"/>
    <s v="Hashtags-1"/>
    <x v="2"/>
  </r>
  <r>
    <s v="P199"/>
    <x v="1"/>
    <d v="2024-11-30T00:00:00"/>
    <x v="3"/>
    <s v="Check out our latest carousel on youtube!"/>
    <n v="2509"/>
    <n v="324"/>
    <n v="171"/>
    <n v="35126"/>
    <n v="34685"/>
    <n v="277"/>
    <x v="1"/>
    <n v="8.5520696919660646E-2"/>
    <s v="Hashtags_2"/>
    <x v="2"/>
  </r>
  <r>
    <s v="P200"/>
    <x v="3"/>
    <d v="2025-04-07T00:00:00"/>
    <x v="0"/>
    <s v="Check out our latest reel on facebook!"/>
    <n v="3718"/>
    <n v="385"/>
    <n v="310"/>
    <n v="70642"/>
    <n v="69749"/>
    <n v="233"/>
    <x v="1"/>
    <n v="6.246991874522239E-2"/>
    <s v="Hashtags Used"/>
    <x v="3"/>
  </r>
  <r>
    <s v="P200"/>
    <x v="3"/>
    <d v="2025-04-07T00:00:00"/>
    <x v="0"/>
    <s v="Check out our latest reel on facebook!"/>
    <n v="3718"/>
    <n v="385"/>
    <n v="310"/>
    <n v="70642"/>
    <n v="69749"/>
    <n v="233"/>
    <x v="1"/>
    <n v="6.246991874522239E-2"/>
    <s v="Hashtags-1"/>
    <x v="2"/>
  </r>
  <r>
    <s v="P200"/>
    <x v="3"/>
    <d v="2025-04-07T00:00:00"/>
    <x v="0"/>
    <s v="Check out our latest reel on facebook!"/>
    <n v="3718"/>
    <n v="385"/>
    <n v="310"/>
    <n v="70642"/>
    <n v="69749"/>
    <n v="233"/>
    <x v="1"/>
    <n v="6.246991874522239E-2"/>
    <s v="Hashtags_2"/>
    <x v="2"/>
  </r>
  <r>
    <s v="P201"/>
    <x v="0"/>
    <d v="2025-01-15T00:00:00"/>
    <x v="0"/>
    <s v="Check out our latest reel on twitter!"/>
    <n v="802"/>
    <n v="262"/>
    <n v="244"/>
    <n v="14436"/>
    <n v="14280"/>
    <n v="49"/>
    <x v="0"/>
    <n v="9.0606816292601824E-2"/>
    <s v="Hashtags Used"/>
    <x v="5"/>
  </r>
  <r>
    <s v="P201"/>
    <x v="0"/>
    <d v="2025-01-15T00:00:00"/>
    <x v="0"/>
    <s v="Check out our latest reel on twitter!"/>
    <n v="802"/>
    <n v="262"/>
    <n v="244"/>
    <n v="14436"/>
    <n v="14280"/>
    <n v="49"/>
    <x v="0"/>
    <n v="9.0606816292601824E-2"/>
    <s v="Hashtags-1"/>
    <x v="2"/>
  </r>
  <r>
    <s v="P201"/>
    <x v="0"/>
    <d v="2025-01-15T00:00:00"/>
    <x v="0"/>
    <s v="Check out our latest reel on twitter!"/>
    <n v="802"/>
    <n v="262"/>
    <n v="244"/>
    <n v="14436"/>
    <n v="14280"/>
    <n v="49"/>
    <x v="0"/>
    <n v="9.0606816292601824E-2"/>
    <s v="Hashtags_2"/>
    <x v="2"/>
  </r>
  <r>
    <s v="P202"/>
    <x v="3"/>
    <d v="2024-06-02T00:00:00"/>
    <x v="4"/>
    <s v="Check out our latest image on facebook!"/>
    <n v="1871"/>
    <n v="252"/>
    <n v="335"/>
    <n v="29936"/>
    <n v="29576"/>
    <n v="288"/>
    <x v="2"/>
    <n v="8.2108498129342594E-2"/>
    <s v="Hashtags Used"/>
    <x v="5"/>
  </r>
  <r>
    <s v="P202"/>
    <x v="3"/>
    <d v="2024-06-02T00:00:00"/>
    <x v="4"/>
    <s v="Check out our latest image on facebook!"/>
    <n v="1871"/>
    <n v="252"/>
    <n v="335"/>
    <n v="29936"/>
    <n v="29576"/>
    <n v="288"/>
    <x v="2"/>
    <n v="8.2108498129342594E-2"/>
    <s v="Hashtags-1"/>
    <x v="2"/>
  </r>
  <r>
    <s v="P202"/>
    <x v="3"/>
    <d v="2024-06-02T00:00:00"/>
    <x v="4"/>
    <s v="Check out our latest image on facebook!"/>
    <n v="1871"/>
    <n v="252"/>
    <n v="335"/>
    <n v="29936"/>
    <n v="29576"/>
    <n v="288"/>
    <x v="2"/>
    <n v="8.2108498129342594E-2"/>
    <s v="Hashtags_2"/>
    <x v="2"/>
  </r>
  <r>
    <s v="P203"/>
    <x v="2"/>
    <d v="2024-11-21T00:00:00"/>
    <x v="3"/>
    <s v="Check out our latest carousel on instagram!"/>
    <n v="3773"/>
    <n v="299"/>
    <n v="38"/>
    <n v="71687"/>
    <n v="71447"/>
    <n v="286"/>
    <x v="0"/>
    <n v="5.7332570758993957E-2"/>
    <s v="Hashtags Used"/>
    <x v="0"/>
  </r>
  <r>
    <s v="P203"/>
    <x v="2"/>
    <d v="2024-11-21T00:00:00"/>
    <x v="3"/>
    <s v="Check out our latest carousel on instagram!"/>
    <n v="3773"/>
    <n v="299"/>
    <n v="38"/>
    <n v="71687"/>
    <n v="71447"/>
    <n v="286"/>
    <x v="0"/>
    <n v="5.7332570758993957E-2"/>
    <s v="Hashtags-1"/>
    <x v="2"/>
  </r>
  <r>
    <s v="P203"/>
    <x v="2"/>
    <d v="2024-11-21T00:00:00"/>
    <x v="3"/>
    <s v="Check out our latest carousel on instagram!"/>
    <n v="3773"/>
    <n v="299"/>
    <n v="38"/>
    <n v="71687"/>
    <n v="71447"/>
    <n v="286"/>
    <x v="0"/>
    <n v="5.7332570758993957E-2"/>
    <s v="Hashtags_2"/>
    <x v="2"/>
  </r>
  <r>
    <s v="P204"/>
    <x v="2"/>
    <d v="2025-01-01T00:00:00"/>
    <x v="3"/>
    <s v="Check out our latest carousel on instagram!"/>
    <n v="2234"/>
    <n v="653"/>
    <n v="432"/>
    <n v="11170"/>
    <n v="10569"/>
    <n v="198"/>
    <x v="2"/>
    <n v="0.29713518352730528"/>
    <s v="Hashtags Used"/>
    <x v="0"/>
  </r>
  <r>
    <s v="P204"/>
    <x v="2"/>
    <d v="2025-01-01T00:00:00"/>
    <x v="3"/>
    <s v="Check out our latest carousel on instagram!"/>
    <n v="2234"/>
    <n v="653"/>
    <n v="432"/>
    <n v="11170"/>
    <n v="10569"/>
    <n v="198"/>
    <x v="2"/>
    <n v="0.29713518352730528"/>
    <s v="Hashtags-1"/>
    <x v="2"/>
  </r>
  <r>
    <s v="P204"/>
    <x v="2"/>
    <d v="2025-01-01T00:00:00"/>
    <x v="3"/>
    <s v="Check out our latest carousel on instagram!"/>
    <n v="2234"/>
    <n v="653"/>
    <n v="432"/>
    <n v="11170"/>
    <n v="10569"/>
    <n v="198"/>
    <x v="2"/>
    <n v="0.29713518352730528"/>
    <s v="Hashtags_2"/>
    <x v="2"/>
  </r>
  <r>
    <s v="P205"/>
    <x v="0"/>
    <d v="2025-04-24T00:00:00"/>
    <x v="5"/>
    <s v="Check out our latest video on twitter!"/>
    <n v="3820"/>
    <n v="697"/>
    <n v="268"/>
    <n v="45840"/>
    <n v="45631"/>
    <n v="171"/>
    <x v="3"/>
    <n v="0.1043848167539267"/>
    <s v="Hashtags Used"/>
    <x v="3"/>
  </r>
  <r>
    <s v="P205"/>
    <x v="0"/>
    <d v="2025-04-24T00:00:00"/>
    <x v="5"/>
    <s v="Check out our latest video on twitter!"/>
    <n v="3820"/>
    <n v="697"/>
    <n v="268"/>
    <n v="45840"/>
    <n v="45631"/>
    <n v="171"/>
    <x v="3"/>
    <n v="0.1043848167539267"/>
    <s v="Hashtags-1"/>
    <x v="6"/>
  </r>
  <r>
    <s v="P205"/>
    <x v="0"/>
    <d v="2025-04-24T00:00:00"/>
    <x v="5"/>
    <s v="Check out our latest video on twitter!"/>
    <n v="3820"/>
    <n v="697"/>
    <n v="268"/>
    <n v="45840"/>
    <n v="45631"/>
    <n v="171"/>
    <x v="3"/>
    <n v="0.1043848167539267"/>
    <s v="Hashtags_2"/>
    <x v="2"/>
  </r>
  <r>
    <s v="P206"/>
    <x v="0"/>
    <d v="2024-06-24T00:00:00"/>
    <x v="1"/>
    <s v="Check out our latest text on twitter!"/>
    <n v="941"/>
    <n v="121"/>
    <n v="458"/>
    <n v="14115"/>
    <n v="13838"/>
    <n v="87"/>
    <x v="0"/>
    <n v="0.10768685795253277"/>
    <s v="Hashtags Used"/>
    <x v="5"/>
  </r>
  <r>
    <s v="P206"/>
    <x v="0"/>
    <d v="2024-06-24T00:00:00"/>
    <x v="1"/>
    <s v="Check out our latest text on twitter!"/>
    <n v="941"/>
    <n v="121"/>
    <n v="458"/>
    <n v="14115"/>
    <n v="13838"/>
    <n v="87"/>
    <x v="0"/>
    <n v="0.10768685795253277"/>
    <s v="Hashtags-1"/>
    <x v="2"/>
  </r>
  <r>
    <s v="P206"/>
    <x v="0"/>
    <d v="2024-06-24T00:00:00"/>
    <x v="1"/>
    <s v="Check out our latest text on twitter!"/>
    <n v="941"/>
    <n v="121"/>
    <n v="458"/>
    <n v="14115"/>
    <n v="13838"/>
    <n v="87"/>
    <x v="0"/>
    <n v="0.10768685795253277"/>
    <s v="Hashtags_2"/>
    <x v="2"/>
  </r>
  <r>
    <s v="P207"/>
    <x v="0"/>
    <d v="2024-12-29T00:00:00"/>
    <x v="3"/>
    <s v="Check out our latest carousel on twitter!"/>
    <n v="4274"/>
    <n v="340"/>
    <n v="281"/>
    <n v="34192"/>
    <n v="33446"/>
    <n v="129"/>
    <x v="2"/>
    <n v="0.14316214319138981"/>
    <s v="Hashtags Used"/>
    <x v="3"/>
  </r>
  <r>
    <s v="P207"/>
    <x v="0"/>
    <d v="2024-12-29T00:00:00"/>
    <x v="3"/>
    <s v="Check out our latest carousel on twitter!"/>
    <n v="4274"/>
    <n v="340"/>
    <n v="281"/>
    <n v="34192"/>
    <n v="33446"/>
    <n v="129"/>
    <x v="2"/>
    <n v="0.14316214319138981"/>
    <s v="Hashtags-1"/>
    <x v="6"/>
  </r>
  <r>
    <s v="P207"/>
    <x v="0"/>
    <d v="2024-12-29T00:00:00"/>
    <x v="3"/>
    <s v="Check out our latest carousel on twitter!"/>
    <n v="4274"/>
    <n v="340"/>
    <n v="281"/>
    <n v="34192"/>
    <n v="33446"/>
    <n v="129"/>
    <x v="2"/>
    <n v="0.14316214319138981"/>
    <s v="Hashtags_2"/>
    <x v="2"/>
  </r>
  <r>
    <s v="P208"/>
    <x v="1"/>
    <d v="2024-06-24T00:00:00"/>
    <x v="5"/>
    <s v="Check out our latest video on youtube!"/>
    <n v="2949"/>
    <n v="476"/>
    <n v="403"/>
    <n v="44235"/>
    <n v="43705"/>
    <n v="135"/>
    <x v="1"/>
    <n v="8.6537809426924378E-2"/>
    <s v="Hashtags Used"/>
    <x v="3"/>
  </r>
  <r>
    <s v="P208"/>
    <x v="1"/>
    <d v="2024-06-24T00:00:00"/>
    <x v="5"/>
    <s v="Check out our latest video on youtube!"/>
    <n v="2949"/>
    <n v="476"/>
    <n v="403"/>
    <n v="44235"/>
    <n v="43705"/>
    <n v="135"/>
    <x v="1"/>
    <n v="8.6537809426924378E-2"/>
    <s v="Hashtags-1"/>
    <x v="2"/>
  </r>
  <r>
    <s v="P208"/>
    <x v="1"/>
    <d v="2024-06-24T00:00:00"/>
    <x v="5"/>
    <s v="Check out our latest video on youtube!"/>
    <n v="2949"/>
    <n v="476"/>
    <n v="403"/>
    <n v="44235"/>
    <n v="43705"/>
    <n v="135"/>
    <x v="1"/>
    <n v="8.6537809426924378E-2"/>
    <s v="Hashtags_2"/>
    <x v="2"/>
  </r>
  <r>
    <s v="P209"/>
    <x v="0"/>
    <d v="2025-03-19T00:00:00"/>
    <x v="5"/>
    <s v="Check out our latest video on twitter!"/>
    <n v="3160"/>
    <n v="204"/>
    <n v="297"/>
    <n v="44240"/>
    <n v="43666"/>
    <n v="49"/>
    <x v="3"/>
    <n v="8.2753164556962022E-2"/>
    <s v="Hashtags Used"/>
    <x v="0"/>
  </r>
  <r>
    <s v="P209"/>
    <x v="0"/>
    <d v="2025-03-19T00:00:00"/>
    <x v="5"/>
    <s v="Check out our latest video on twitter!"/>
    <n v="3160"/>
    <n v="204"/>
    <n v="297"/>
    <n v="44240"/>
    <n v="43666"/>
    <n v="49"/>
    <x v="3"/>
    <n v="8.2753164556962022E-2"/>
    <s v="Hashtags-1"/>
    <x v="1"/>
  </r>
  <r>
    <s v="P209"/>
    <x v="0"/>
    <d v="2025-03-19T00:00:00"/>
    <x v="5"/>
    <s v="Check out our latest video on twitter!"/>
    <n v="3160"/>
    <n v="204"/>
    <n v="297"/>
    <n v="44240"/>
    <n v="43666"/>
    <n v="49"/>
    <x v="3"/>
    <n v="8.2753164556962022E-2"/>
    <s v="Hashtags_2"/>
    <x v="2"/>
  </r>
  <r>
    <s v="P210"/>
    <x v="1"/>
    <d v="2025-02-19T00:00:00"/>
    <x v="4"/>
    <s v="Check out our latest image on youtube!"/>
    <n v="257"/>
    <n v="966"/>
    <n v="398"/>
    <n v="3341"/>
    <n v="2753"/>
    <n v="287"/>
    <x v="0"/>
    <n v="0.48518407662376534"/>
    <s v="Hashtags Used"/>
    <x v="0"/>
  </r>
  <r>
    <s v="P210"/>
    <x v="1"/>
    <d v="2025-02-19T00:00:00"/>
    <x v="4"/>
    <s v="Check out our latest image on youtube!"/>
    <n v="257"/>
    <n v="966"/>
    <n v="398"/>
    <n v="3341"/>
    <n v="2753"/>
    <n v="287"/>
    <x v="0"/>
    <n v="0.48518407662376534"/>
    <s v="Hashtags-1"/>
    <x v="2"/>
  </r>
  <r>
    <s v="P210"/>
    <x v="1"/>
    <d v="2025-02-19T00:00:00"/>
    <x v="4"/>
    <s v="Check out our latest image on youtube!"/>
    <n v="257"/>
    <n v="966"/>
    <n v="398"/>
    <n v="3341"/>
    <n v="2753"/>
    <n v="287"/>
    <x v="0"/>
    <n v="0.48518407662376534"/>
    <s v="Hashtags_2"/>
    <x v="2"/>
  </r>
  <r>
    <s v="P211"/>
    <x v="0"/>
    <d v="2024-07-18T00:00:00"/>
    <x v="3"/>
    <s v="Check out our latest carousel on twitter!"/>
    <n v="2120"/>
    <n v="38"/>
    <n v="212"/>
    <n v="12720"/>
    <n v="12564"/>
    <n v="21"/>
    <x v="3"/>
    <n v="0.18632075471698112"/>
    <s v="Hashtags Used"/>
    <x v="0"/>
  </r>
  <r>
    <s v="P211"/>
    <x v="0"/>
    <d v="2024-07-18T00:00:00"/>
    <x v="3"/>
    <s v="Check out our latest carousel on twitter!"/>
    <n v="2120"/>
    <n v="38"/>
    <n v="212"/>
    <n v="12720"/>
    <n v="12564"/>
    <n v="21"/>
    <x v="3"/>
    <n v="0.18632075471698112"/>
    <s v="Hashtags-1"/>
    <x v="2"/>
  </r>
  <r>
    <s v="P211"/>
    <x v="0"/>
    <d v="2024-07-18T00:00:00"/>
    <x v="3"/>
    <s v="Check out our latest carousel on twitter!"/>
    <n v="2120"/>
    <n v="38"/>
    <n v="212"/>
    <n v="12720"/>
    <n v="12564"/>
    <n v="21"/>
    <x v="3"/>
    <n v="0.18632075471698112"/>
    <s v="Hashtags_2"/>
    <x v="2"/>
  </r>
  <r>
    <s v="P212"/>
    <x v="1"/>
    <d v="2025-03-03T00:00:00"/>
    <x v="5"/>
    <s v="Check out our latest video on youtube!"/>
    <n v="3874"/>
    <n v="884"/>
    <n v="19"/>
    <n v="38740"/>
    <n v="38552"/>
    <n v="219"/>
    <x v="1"/>
    <n v="0.123309241094476"/>
    <s v="Hashtags Used"/>
    <x v="3"/>
  </r>
  <r>
    <s v="P212"/>
    <x v="1"/>
    <d v="2025-03-03T00:00:00"/>
    <x v="5"/>
    <s v="Check out our latest video on youtube!"/>
    <n v="3874"/>
    <n v="884"/>
    <n v="19"/>
    <n v="38740"/>
    <n v="38552"/>
    <n v="219"/>
    <x v="1"/>
    <n v="0.123309241094476"/>
    <s v="Hashtags-1"/>
    <x v="2"/>
  </r>
  <r>
    <s v="P212"/>
    <x v="1"/>
    <d v="2025-03-03T00:00:00"/>
    <x v="5"/>
    <s v="Check out our latest video on youtube!"/>
    <n v="3874"/>
    <n v="884"/>
    <n v="19"/>
    <n v="38740"/>
    <n v="38552"/>
    <n v="219"/>
    <x v="1"/>
    <n v="0.123309241094476"/>
    <s v="Hashtags_2"/>
    <x v="2"/>
  </r>
  <r>
    <s v="P213"/>
    <x v="3"/>
    <d v="2025-05-01T00:00:00"/>
    <x v="3"/>
    <s v="Check out our latest carousel on facebook!"/>
    <n v="2696"/>
    <n v="628"/>
    <n v="443"/>
    <n v="45832"/>
    <n v="45632"/>
    <n v="248"/>
    <x v="3"/>
    <n v="8.21914819340199E-2"/>
    <s v="Hashtags Used"/>
    <x v="5"/>
  </r>
  <r>
    <s v="P213"/>
    <x v="3"/>
    <d v="2025-05-01T00:00:00"/>
    <x v="3"/>
    <s v="Check out our latest carousel on facebook!"/>
    <n v="2696"/>
    <n v="628"/>
    <n v="443"/>
    <n v="45832"/>
    <n v="45632"/>
    <n v="248"/>
    <x v="3"/>
    <n v="8.21914819340199E-2"/>
    <s v="Hashtags-1"/>
    <x v="2"/>
  </r>
  <r>
    <s v="P213"/>
    <x v="3"/>
    <d v="2025-05-01T00:00:00"/>
    <x v="3"/>
    <s v="Check out our latest carousel on facebook!"/>
    <n v="2696"/>
    <n v="628"/>
    <n v="443"/>
    <n v="45832"/>
    <n v="45632"/>
    <n v="248"/>
    <x v="3"/>
    <n v="8.21914819340199E-2"/>
    <s v="Hashtags_2"/>
    <x v="2"/>
  </r>
  <r>
    <s v="P214"/>
    <x v="2"/>
    <d v="2024-12-23T00:00:00"/>
    <x v="4"/>
    <s v="Check out our latest image on instagram!"/>
    <n v="521"/>
    <n v="746"/>
    <n v="315"/>
    <n v="4168"/>
    <n v="3399"/>
    <n v="282"/>
    <x v="1"/>
    <n v="0.37955854126679461"/>
    <s v="Hashtags Used"/>
    <x v="0"/>
  </r>
  <r>
    <s v="P214"/>
    <x v="2"/>
    <d v="2024-12-23T00:00:00"/>
    <x v="4"/>
    <s v="Check out our latest image on instagram!"/>
    <n v="521"/>
    <n v="746"/>
    <n v="315"/>
    <n v="4168"/>
    <n v="3399"/>
    <n v="282"/>
    <x v="1"/>
    <n v="0.37955854126679461"/>
    <s v="Hashtags-1"/>
    <x v="2"/>
  </r>
  <r>
    <s v="P214"/>
    <x v="2"/>
    <d v="2024-12-23T00:00:00"/>
    <x v="4"/>
    <s v="Check out our latest image on instagram!"/>
    <n v="521"/>
    <n v="746"/>
    <n v="315"/>
    <n v="4168"/>
    <n v="3399"/>
    <n v="282"/>
    <x v="1"/>
    <n v="0.37955854126679461"/>
    <s v="Hashtags_2"/>
    <x v="2"/>
  </r>
  <r>
    <s v="P215"/>
    <x v="3"/>
    <d v="2025-05-06T00:00:00"/>
    <x v="4"/>
    <s v="Check out our latest image on facebook!"/>
    <n v="4872"/>
    <n v="925"/>
    <n v="176"/>
    <n v="82824"/>
    <n v="82543"/>
    <n v="89"/>
    <x v="1"/>
    <n v="7.2116777745580993E-2"/>
    <s v="Hashtags Used"/>
    <x v="5"/>
  </r>
  <r>
    <s v="P215"/>
    <x v="3"/>
    <d v="2025-05-06T00:00:00"/>
    <x v="4"/>
    <s v="Check out our latest image on facebook!"/>
    <n v="4872"/>
    <n v="925"/>
    <n v="176"/>
    <n v="82824"/>
    <n v="82543"/>
    <n v="89"/>
    <x v="1"/>
    <n v="7.2116777745580993E-2"/>
    <s v="Hashtags-1"/>
    <x v="2"/>
  </r>
  <r>
    <s v="P215"/>
    <x v="3"/>
    <d v="2025-05-06T00:00:00"/>
    <x v="4"/>
    <s v="Check out our latest image on facebook!"/>
    <n v="4872"/>
    <n v="925"/>
    <n v="176"/>
    <n v="82824"/>
    <n v="82543"/>
    <n v="89"/>
    <x v="1"/>
    <n v="7.2116777745580993E-2"/>
    <s v="Hashtags_2"/>
    <x v="2"/>
  </r>
  <r>
    <s v="P216"/>
    <x v="1"/>
    <d v="2024-07-29T00:00:00"/>
    <x v="2"/>
    <s v="Check out our latest story on youtube!"/>
    <n v="1509"/>
    <n v="88"/>
    <n v="163"/>
    <n v="30180"/>
    <n v="29689"/>
    <n v="119"/>
    <x v="1"/>
    <n v="5.8316766070245198E-2"/>
    <s v="Hashtags Used"/>
    <x v="5"/>
  </r>
  <r>
    <s v="P216"/>
    <x v="1"/>
    <d v="2024-07-29T00:00:00"/>
    <x v="2"/>
    <s v="Check out our latest story on youtube!"/>
    <n v="1509"/>
    <n v="88"/>
    <n v="163"/>
    <n v="30180"/>
    <n v="29689"/>
    <n v="119"/>
    <x v="1"/>
    <n v="5.8316766070245198E-2"/>
    <s v="Hashtags-1"/>
    <x v="2"/>
  </r>
  <r>
    <s v="P216"/>
    <x v="1"/>
    <d v="2024-07-29T00:00:00"/>
    <x v="2"/>
    <s v="Check out our latest story on youtube!"/>
    <n v="1509"/>
    <n v="88"/>
    <n v="163"/>
    <n v="30180"/>
    <n v="29689"/>
    <n v="119"/>
    <x v="1"/>
    <n v="5.8316766070245198E-2"/>
    <s v="Hashtags_2"/>
    <x v="2"/>
  </r>
  <r>
    <s v="P217"/>
    <x v="3"/>
    <d v="2024-12-03T00:00:00"/>
    <x v="4"/>
    <s v="Check out our latest image on facebook!"/>
    <n v="4606"/>
    <n v="931"/>
    <n v="230"/>
    <n v="92120"/>
    <n v="91440"/>
    <n v="56"/>
    <x v="4"/>
    <n v="6.2603126356925748E-2"/>
    <s v="Hashtags Used"/>
    <x v="3"/>
  </r>
  <r>
    <s v="P217"/>
    <x v="3"/>
    <d v="2024-12-03T00:00:00"/>
    <x v="4"/>
    <s v="Check out our latest image on facebook!"/>
    <n v="4606"/>
    <n v="931"/>
    <n v="230"/>
    <n v="92120"/>
    <n v="91440"/>
    <n v="56"/>
    <x v="4"/>
    <n v="6.2603126356925748E-2"/>
    <s v="Hashtags-1"/>
    <x v="2"/>
  </r>
  <r>
    <s v="P217"/>
    <x v="3"/>
    <d v="2024-12-03T00:00:00"/>
    <x v="4"/>
    <s v="Check out our latest image on facebook!"/>
    <n v="4606"/>
    <n v="931"/>
    <n v="230"/>
    <n v="92120"/>
    <n v="91440"/>
    <n v="56"/>
    <x v="4"/>
    <n v="6.2603126356925748E-2"/>
    <s v="Hashtags_2"/>
    <x v="2"/>
  </r>
  <r>
    <s v="P218"/>
    <x v="3"/>
    <d v="2024-06-11T00:00:00"/>
    <x v="3"/>
    <s v="Check out our latest carousel on facebook!"/>
    <n v="1869"/>
    <n v="453"/>
    <n v="490"/>
    <n v="14952"/>
    <n v="14309"/>
    <n v="275"/>
    <x v="3"/>
    <n v="0.18806848582129482"/>
    <s v="Hashtags Used"/>
    <x v="3"/>
  </r>
  <r>
    <s v="P218"/>
    <x v="3"/>
    <d v="2024-06-11T00:00:00"/>
    <x v="3"/>
    <s v="Check out our latest carousel on facebook!"/>
    <n v="1869"/>
    <n v="453"/>
    <n v="490"/>
    <n v="14952"/>
    <n v="14309"/>
    <n v="275"/>
    <x v="3"/>
    <n v="0.18806848582129482"/>
    <s v="Hashtags-1"/>
    <x v="2"/>
  </r>
  <r>
    <s v="P218"/>
    <x v="3"/>
    <d v="2024-06-11T00:00:00"/>
    <x v="3"/>
    <s v="Check out our latest carousel on facebook!"/>
    <n v="1869"/>
    <n v="453"/>
    <n v="490"/>
    <n v="14952"/>
    <n v="14309"/>
    <n v="275"/>
    <x v="3"/>
    <n v="0.18806848582129482"/>
    <s v="Hashtags_2"/>
    <x v="2"/>
  </r>
  <r>
    <s v="P219"/>
    <x v="0"/>
    <d v="2025-01-28T00:00:00"/>
    <x v="0"/>
    <s v="Check out our latest reel on twitter!"/>
    <n v="1188"/>
    <n v="470"/>
    <n v="174"/>
    <n v="7128"/>
    <n v="6145"/>
    <n v="270"/>
    <x v="3"/>
    <n v="0.25701459034792368"/>
    <s v="Hashtags Used"/>
    <x v="3"/>
  </r>
  <r>
    <s v="P219"/>
    <x v="0"/>
    <d v="2025-01-28T00:00:00"/>
    <x v="0"/>
    <s v="Check out our latest reel on twitter!"/>
    <n v="1188"/>
    <n v="470"/>
    <n v="174"/>
    <n v="7128"/>
    <n v="6145"/>
    <n v="270"/>
    <x v="3"/>
    <n v="0.25701459034792368"/>
    <s v="Hashtags-1"/>
    <x v="2"/>
  </r>
  <r>
    <s v="P219"/>
    <x v="0"/>
    <d v="2025-01-28T00:00:00"/>
    <x v="0"/>
    <s v="Check out our latest reel on twitter!"/>
    <n v="1188"/>
    <n v="470"/>
    <n v="174"/>
    <n v="7128"/>
    <n v="6145"/>
    <n v="270"/>
    <x v="3"/>
    <n v="0.25701459034792368"/>
    <s v="Hashtags_2"/>
    <x v="2"/>
  </r>
  <r>
    <s v="P220"/>
    <x v="2"/>
    <d v="2024-06-02T00:00:00"/>
    <x v="2"/>
    <s v="Check out our latest story on instagram!"/>
    <n v="84"/>
    <n v="897"/>
    <n v="85"/>
    <n v="588"/>
    <n v="8"/>
    <n v="12"/>
    <x v="4"/>
    <n v="1.8129251700680271"/>
    <s v="Hashtags Used"/>
    <x v="5"/>
  </r>
  <r>
    <s v="P220"/>
    <x v="2"/>
    <d v="2024-06-02T00:00:00"/>
    <x v="2"/>
    <s v="Check out our latest story on instagram!"/>
    <n v="84"/>
    <n v="897"/>
    <n v="85"/>
    <n v="588"/>
    <n v="8"/>
    <n v="12"/>
    <x v="4"/>
    <n v="1.8129251700680271"/>
    <s v="Hashtags-1"/>
    <x v="2"/>
  </r>
  <r>
    <s v="P220"/>
    <x v="2"/>
    <d v="2024-06-02T00:00:00"/>
    <x v="2"/>
    <s v="Check out our latest story on instagram!"/>
    <n v="84"/>
    <n v="897"/>
    <n v="85"/>
    <n v="588"/>
    <n v="8"/>
    <n v="12"/>
    <x v="4"/>
    <n v="1.8129251700680271"/>
    <s v="Hashtags_2"/>
    <x v="2"/>
  </r>
  <r>
    <s v="P221"/>
    <x v="3"/>
    <d v="2025-03-23T00:00:00"/>
    <x v="5"/>
    <s v="Check out our latest video on facebook!"/>
    <n v="4453"/>
    <n v="111"/>
    <n v="420"/>
    <n v="31171"/>
    <n v="30565"/>
    <n v="23"/>
    <x v="4"/>
    <n v="0.15989220750056141"/>
    <s v="Hashtags Used"/>
    <x v="3"/>
  </r>
  <r>
    <s v="P221"/>
    <x v="3"/>
    <d v="2025-03-23T00:00:00"/>
    <x v="5"/>
    <s v="Check out our latest video on facebook!"/>
    <n v="4453"/>
    <n v="111"/>
    <n v="420"/>
    <n v="31171"/>
    <n v="30565"/>
    <n v="23"/>
    <x v="4"/>
    <n v="0.15989220750056141"/>
    <s v="Hashtags-1"/>
    <x v="2"/>
  </r>
  <r>
    <s v="P221"/>
    <x v="3"/>
    <d v="2025-03-23T00:00:00"/>
    <x v="5"/>
    <s v="Check out our latest video on facebook!"/>
    <n v="4453"/>
    <n v="111"/>
    <n v="420"/>
    <n v="31171"/>
    <n v="30565"/>
    <n v="23"/>
    <x v="4"/>
    <n v="0.15989220750056141"/>
    <s v="Hashtags_2"/>
    <x v="2"/>
  </r>
  <r>
    <s v="P222"/>
    <x v="3"/>
    <d v="2024-10-08T00:00:00"/>
    <x v="0"/>
    <s v="Check out our latest reel on facebook!"/>
    <n v="1814"/>
    <n v="653"/>
    <n v="363"/>
    <n v="25396"/>
    <n v="25286"/>
    <n v="39"/>
    <x v="0"/>
    <n v="0.11143487163332809"/>
    <s v="Hashtags Used"/>
    <x v="0"/>
  </r>
  <r>
    <s v="P222"/>
    <x v="3"/>
    <d v="2024-10-08T00:00:00"/>
    <x v="0"/>
    <s v="Check out our latest reel on facebook!"/>
    <n v="1814"/>
    <n v="653"/>
    <n v="363"/>
    <n v="25396"/>
    <n v="25286"/>
    <n v="39"/>
    <x v="0"/>
    <n v="0.11143487163332809"/>
    <s v="Hashtags-1"/>
    <x v="6"/>
  </r>
  <r>
    <s v="P222"/>
    <x v="3"/>
    <d v="2024-10-08T00:00:00"/>
    <x v="0"/>
    <s v="Check out our latest reel on facebook!"/>
    <n v="1814"/>
    <n v="653"/>
    <n v="363"/>
    <n v="25396"/>
    <n v="25286"/>
    <n v="39"/>
    <x v="0"/>
    <n v="0.11143487163332809"/>
    <s v="Hashtags_2"/>
    <x v="2"/>
  </r>
  <r>
    <s v="P223"/>
    <x v="0"/>
    <d v="2024-11-12T00:00:00"/>
    <x v="4"/>
    <s v="Check out our latest image on twitter!"/>
    <n v="3338"/>
    <n v="277"/>
    <n v="118"/>
    <n v="60084"/>
    <n v="59842"/>
    <n v="252"/>
    <x v="4"/>
    <n v="6.2129685107516146E-2"/>
    <s v="Hashtags Used"/>
    <x v="3"/>
  </r>
  <r>
    <s v="P223"/>
    <x v="0"/>
    <d v="2024-11-12T00:00:00"/>
    <x v="4"/>
    <s v="Check out our latest image on twitter!"/>
    <n v="3338"/>
    <n v="277"/>
    <n v="118"/>
    <n v="60084"/>
    <n v="59842"/>
    <n v="252"/>
    <x v="4"/>
    <n v="6.2129685107516146E-2"/>
    <s v="Hashtags-1"/>
    <x v="2"/>
  </r>
  <r>
    <s v="P223"/>
    <x v="0"/>
    <d v="2024-11-12T00:00:00"/>
    <x v="4"/>
    <s v="Check out our latest image on twitter!"/>
    <n v="3338"/>
    <n v="277"/>
    <n v="118"/>
    <n v="60084"/>
    <n v="59842"/>
    <n v="252"/>
    <x v="4"/>
    <n v="6.2129685107516146E-2"/>
    <s v="Hashtags_2"/>
    <x v="2"/>
  </r>
  <r>
    <s v="P224"/>
    <x v="3"/>
    <d v="2025-05-13T00:00:00"/>
    <x v="4"/>
    <s v="Check out our latest image on facebook!"/>
    <n v="602"/>
    <n v="594"/>
    <n v="156"/>
    <n v="4214"/>
    <n v="3363"/>
    <n v="164"/>
    <x v="2"/>
    <n v="0.32083531086853345"/>
    <s v="Hashtags Used"/>
    <x v="3"/>
  </r>
  <r>
    <s v="P224"/>
    <x v="3"/>
    <d v="2025-05-13T00:00:00"/>
    <x v="4"/>
    <s v="Check out our latest image on facebook!"/>
    <n v="602"/>
    <n v="594"/>
    <n v="156"/>
    <n v="4214"/>
    <n v="3363"/>
    <n v="164"/>
    <x v="2"/>
    <n v="0.32083531086853345"/>
    <s v="Hashtags-1"/>
    <x v="2"/>
  </r>
  <r>
    <s v="P224"/>
    <x v="3"/>
    <d v="2025-05-13T00:00:00"/>
    <x v="4"/>
    <s v="Check out our latest image on facebook!"/>
    <n v="602"/>
    <n v="594"/>
    <n v="156"/>
    <n v="4214"/>
    <n v="3363"/>
    <n v="164"/>
    <x v="2"/>
    <n v="0.32083531086853345"/>
    <s v="Hashtags_2"/>
    <x v="2"/>
  </r>
  <r>
    <s v="P225"/>
    <x v="0"/>
    <d v="2024-06-20T00:00:00"/>
    <x v="3"/>
    <s v="Check out our latest carousel on twitter!"/>
    <n v="4672"/>
    <n v="325"/>
    <n v="32"/>
    <n v="88768"/>
    <n v="87833"/>
    <n v="118"/>
    <x v="4"/>
    <n v="5.6653298485940883E-2"/>
    <s v="Hashtags Used"/>
    <x v="5"/>
  </r>
  <r>
    <s v="P225"/>
    <x v="0"/>
    <d v="2024-06-20T00:00:00"/>
    <x v="3"/>
    <s v="Check out our latest carousel on twitter!"/>
    <n v="4672"/>
    <n v="325"/>
    <n v="32"/>
    <n v="88768"/>
    <n v="87833"/>
    <n v="118"/>
    <x v="4"/>
    <n v="5.6653298485940883E-2"/>
    <s v="Hashtags-1"/>
    <x v="2"/>
  </r>
  <r>
    <s v="P225"/>
    <x v="0"/>
    <d v="2024-06-20T00:00:00"/>
    <x v="3"/>
    <s v="Check out our latest carousel on twitter!"/>
    <n v="4672"/>
    <n v="325"/>
    <n v="32"/>
    <n v="88768"/>
    <n v="87833"/>
    <n v="118"/>
    <x v="4"/>
    <n v="5.6653298485940883E-2"/>
    <s v="Hashtags_2"/>
    <x v="2"/>
  </r>
  <r>
    <s v="P226"/>
    <x v="2"/>
    <d v="2024-08-07T00:00:00"/>
    <x v="3"/>
    <s v="Check out our latest carousel on instagram!"/>
    <n v="1741"/>
    <n v="164"/>
    <n v="318"/>
    <n v="8705"/>
    <n v="8272"/>
    <n v="121"/>
    <x v="4"/>
    <n v="0.25537047673750718"/>
    <s v="Hashtags Used"/>
    <x v="3"/>
  </r>
  <r>
    <s v="P226"/>
    <x v="2"/>
    <d v="2024-08-07T00:00:00"/>
    <x v="3"/>
    <s v="Check out our latest carousel on instagram!"/>
    <n v="1741"/>
    <n v="164"/>
    <n v="318"/>
    <n v="8705"/>
    <n v="8272"/>
    <n v="121"/>
    <x v="4"/>
    <n v="0.25537047673750718"/>
    <s v="Hashtags-1"/>
    <x v="2"/>
  </r>
  <r>
    <s v="P226"/>
    <x v="2"/>
    <d v="2024-08-07T00:00:00"/>
    <x v="3"/>
    <s v="Check out our latest carousel on instagram!"/>
    <n v="1741"/>
    <n v="164"/>
    <n v="318"/>
    <n v="8705"/>
    <n v="8272"/>
    <n v="121"/>
    <x v="4"/>
    <n v="0.25537047673750718"/>
    <s v="Hashtags_2"/>
    <x v="2"/>
  </r>
  <r>
    <s v="P227"/>
    <x v="2"/>
    <d v="2024-06-12T00:00:00"/>
    <x v="1"/>
    <s v="Check out our latest text on instagram!"/>
    <n v="246"/>
    <n v="149"/>
    <n v="130"/>
    <n v="4674"/>
    <n v="4390"/>
    <n v="217"/>
    <x v="2"/>
    <n v="0.11232349165596919"/>
    <s v="Hashtags Used"/>
    <x v="0"/>
  </r>
  <r>
    <s v="P227"/>
    <x v="2"/>
    <d v="2024-06-12T00:00:00"/>
    <x v="1"/>
    <s v="Check out our latest text on instagram!"/>
    <n v="246"/>
    <n v="149"/>
    <n v="130"/>
    <n v="4674"/>
    <n v="4390"/>
    <n v="217"/>
    <x v="2"/>
    <n v="0.11232349165596919"/>
    <s v="Hashtags-1"/>
    <x v="2"/>
  </r>
  <r>
    <s v="P227"/>
    <x v="2"/>
    <d v="2024-06-12T00:00:00"/>
    <x v="1"/>
    <s v="Check out our latest text on instagram!"/>
    <n v="246"/>
    <n v="149"/>
    <n v="130"/>
    <n v="4674"/>
    <n v="4390"/>
    <n v="217"/>
    <x v="2"/>
    <n v="0.11232349165596919"/>
    <s v="Hashtags_2"/>
    <x v="2"/>
  </r>
  <r>
    <s v="P228"/>
    <x v="2"/>
    <d v="2024-07-01T00:00:00"/>
    <x v="2"/>
    <s v="Check out our latest story on instagram!"/>
    <n v="4808"/>
    <n v="772"/>
    <n v="320"/>
    <n v="72120"/>
    <n v="71696"/>
    <n v="195"/>
    <x v="0"/>
    <n v="8.1808097615085965E-2"/>
    <s v="Hashtags Used"/>
    <x v="5"/>
  </r>
  <r>
    <s v="P228"/>
    <x v="2"/>
    <d v="2024-07-01T00:00:00"/>
    <x v="2"/>
    <s v="Check out our latest story on instagram!"/>
    <n v="4808"/>
    <n v="772"/>
    <n v="320"/>
    <n v="72120"/>
    <n v="71696"/>
    <n v="195"/>
    <x v="0"/>
    <n v="8.1808097615085965E-2"/>
    <s v="Hashtags-1"/>
    <x v="2"/>
  </r>
  <r>
    <s v="P228"/>
    <x v="2"/>
    <d v="2024-07-01T00:00:00"/>
    <x v="2"/>
    <s v="Check out our latest story on instagram!"/>
    <n v="4808"/>
    <n v="772"/>
    <n v="320"/>
    <n v="72120"/>
    <n v="71696"/>
    <n v="195"/>
    <x v="0"/>
    <n v="8.1808097615085965E-2"/>
    <s v="Hashtags_2"/>
    <x v="2"/>
  </r>
  <r>
    <s v="P229"/>
    <x v="2"/>
    <d v="2024-07-03T00:00:00"/>
    <x v="3"/>
    <s v="Check out our latest carousel on instagram!"/>
    <n v="4799"/>
    <n v="694"/>
    <n v="289"/>
    <n v="43191"/>
    <n v="42228"/>
    <n v="118"/>
    <x v="4"/>
    <n v="0.13387048227640017"/>
    <s v="Hashtags Used"/>
    <x v="3"/>
  </r>
  <r>
    <s v="P229"/>
    <x v="2"/>
    <d v="2024-07-03T00:00:00"/>
    <x v="3"/>
    <s v="Check out our latest carousel on instagram!"/>
    <n v="4799"/>
    <n v="694"/>
    <n v="289"/>
    <n v="43191"/>
    <n v="42228"/>
    <n v="118"/>
    <x v="4"/>
    <n v="0.13387048227640017"/>
    <s v="Hashtags-1"/>
    <x v="2"/>
  </r>
  <r>
    <s v="P229"/>
    <x v="2"/>
    <d v="2024-07-03T00:00:00"/>
    <x v="3"/>
    <s v="Check out our latest carousel on instagram!"/>
    <n v="4799"/>
    <n v="694"/>
    <n v="289"/>
    <n v="43191"/>
    <n v="42228"/>
    <n v="118"/>
    <x v="4"/>
    <n v="0.13387048227640017"/>
    <s v="Hashtags_2"/>
    <x v="2"/>
  </r>
  <r>
    <s v="P230"/>
    <x v="3"/>
    <d v="2024-07-15T00:00:00"/>
    <x v="0"/>
    <s v="Check out our latest reel on facebook!"/>
    <n v="3663"/>
    <n v="17"/>
    <n v="295"/>
    <n v="51282"/>
    <n v="50567"/>
    <n v="84"/>
    <x v="2"/>
    <n v="7.7512577512577507E-2"/>
    <s v="Hashtags Used"/>
    <x v="5"/>
  </r>
  <r>
    <s v="P230"/>
    <x v="3"/>
    <d v="2024-07-15T00:00:00"/>
    <x v="0"/>
    <s v="Check out our latest reel on facebook!"/>
    <n v="3663"/>
    <n v="17"/>
    <n v="295"/>
    <n v="51282"/>
    <n v="50567"/>
    <n v="84"/>
    <x v="2"/>
    <n v="7.7512577512577507E-2"/>
    <s v="Hashtags-1"/>
    <x v="2"/>
  </r>
  <r>
    <s v="P230"/>
    <x v="3"/>
    <d v="2024-07-15T00:00:00"/>
    <x v="0"/>
    <s v="Check out our latest reel on facebook!"/>
    <n v="3663"/>
    <n v="17"/>
    <n v="295"/>
    <n v="51282"/>
    <n v="50567"/>
    <n v="84"/>
    <x v="2"/>
    <n v="7.7512577512577507E-2"/>
    <s v="Hashtags_2"/>
    <x v="2"/>
  </r>
  <r>
    <s v="P231"/>
    <x v="2"/>
    <d v="2025-05-01T00:00:00"/>
    <x v="1"/>
    <s v="Check out our latest text on instagram!"/>
    <n v="1430"/>
    <n v="376"/>
    <n v="33"/>
    <n v="21450"/>
    <n v="20509"/>
    <n v="251"/>
    <x v="0"/>
    <n v="8.5734265734265735E-2"/>
    <s v="Hashtags Used"/>
    <x v="0"/>
  </r>
  <r>
    <s v="P231"/>
    <x v="2"/>
    <d v="2025-05-01T00:00:00"/>
    <x v="1"/>
    <s v="Check out our latest text on instagram!"/>
    <n v="1430"/>
    <n v="376"/>
    <n v="33"/>
    <n v="21450"/>
    <n v="20509"/>
    <n v="251"/>
    <x v="0"/>
    <n v="8.5734265734265735E-2"/>
    <s v="Hashtags-1"/>
    <x v="2"/>
  </r>
  <r>
    <s v="P231"/>
    <x v="2"/>
    <d v="2025-05-01T00:00:00"/>
    <x v="1"/>
    <s v="Check out our latest text on instagram!"/>
    <n v="1430"/>
    <n v="376"/>
    <n v="33"/>
    <n v="21450"/>
    <n v="20509"/>
    <n v="251"/>
    <x v="0"/>
    <n v="8.5734265734265735E-2"/>
    <s v="Hashtags_2"/>
    <x v="2"/>
  </r>
  <r>
    <s v="P232"/>
    <x v="0"/>
    <d v="2025-04-29T00:00:00"/>
    <x v="2"/>
    <s v="Check out our latest story on twitter!"/>
    <n v="249"/>
    <n v="592"/>
    <n v="230"/>
    <n v="1494"/>
    <n v="1044"/>
    <n v="201"/>
    <x v="3"/>
    <n v="0.7168674698795181"/>
    <s v="Hashtags Used"/>
    <x v="5"/>
  </r>
  <r>
    <s v="P232"/>
    <x v="0"/>
    <d v="2025-04-29T00:00:00"/>
    <x v="2"/>
    <s v="Check out our latest story on twitter!"/>
    <n v="249"/>
    <n v="592"/>
    <n v="230"/>
    <n v="1494"/>
    <n v="1044"/>
    <n v="201"/>
    <x v="3"/>
    <n v="0.7168674698795181"/>
    <s v="Hashtags-1"/>
    <x v="2"/>
  </r>
  <r>
    <s v="P232"/>
    <x v="0"/>
    <d v="2025-04-29T00:00:00"/>
    <x v="2"/>
    <s v="Check out our latest story on twitter!"/>
    <n v="249"/>
    <n v="592"/>
    <n v="230"/>
    <n v="1494"/>
    <n v="1044"/>
    <n v="201"/>
    <x v="3"/>
    <n v="0.7168674698795181"/>
    <s v="Hashtags_2"/>
    <x v="2"/>
  </r>
  <r>
    <s v="P233"/>
    <x v="3"/>
    <d v="2025-03-08T00:00:00"/>
    <x v="4"/>
    <s v="Check out our latest image on facebook!"/>
    <n v="2382"/>
    <n v="265"/>
    <n v="134"/>
    <n v="38112"/>
    <n v="37437"/>
    <n v="249"/>
    <x v="3"/>
    <n v="7.2969143576826198E-2"/>
    <s v="Hashtags Used"/>
    <x v="0"/>
  </r>
  <r>
    <s v="P233"/>
    <x v="3"/>
    <d v="2025-03-08T00:00:00"/>
    <x v="4"/>
    <s v="Check out our latest image on facebook!"/>
    <n v="2382"/>
    <n v="265"/>
    <n v="134"/>
    <n v="38112"/>
    <n v="37437"/>
    <n v="249"/>
    <x v="3"/>
    <n v="7.2969143576826198E-2"/>
    <s v="Hashtags-1"/>
    <x v="2"/>
  </r>
  <r>
    <s v="P233"/>
    <x v="3"/>
    <d v="2025-03-08T00:00:00"/>
    <x v="4"/>
    <s v="Check out our latest image on facebook!"/>
    <n v="2382"/>
    <n v="265"/>
    <n v="134"/>
    <n v="38112"/>
    <n v="37437"/>
    <n v="249"/>
    <x v="3"/>
    <n v="7.2969143576826198E-2"/>
    <s v="Hashtags_2"/>
    <x v="2"/>
  </r>
  <r>
    <s v="P234"/>
    <x v="3"/>
    <d v="2024-06-01T00:00:00"/>
    <x v="1"/>
    <s v="Check out our latest text on facebook!"/>
    <n v="1272"/>
    <n v="465"/>
    <n v="99"/>
    <n v="24168"/>
    <n v="23719"/>
    <n v="42"/>
    <x v="4"/>
    <n v="7.5968222442899705E-2"/>
    <s v="Hashtags Used"/>
    <x v="3"/>
  </r>
  <r>
    <s v="P234"/>
    <x v="3"/>
    <d v="2024-06-01T00:00:00"/>
    <x v="1"/>
    <s v="Check out our latest text on facebook!"/>
    <n v="1272"/>
    <n v="465"/>
    <n v="99"/>
    <n v="24168"/>
    <n v="23719"/>
    <n v="42"/>
    <x v="4"/>
    <n v="7.5968222442899705E-2"/>
    <s v="Hashtags-1"/>
    <x v="2"/>
  </r>
  <r>
    <s v="P234"/>
    <x v="3"/>
    <d v="2024-06-01T00:00:00"/>
    <x v="1"/>
    <s v="Check out our latest text on facebook!"/>
    <n v="1272"/>
    <n v="465"/>
    <n v="99"/>
    <n v="24168"/>
    <n v="23719"/>
    <n v="42"/>
    <x v="4"/>
    <n v="7.5968222442899705E-2"/>
    <s v="Hashtags_2"/>
    <x v="2"/>
  </r>
  <r>
    <s v="P235"/>
    <x v="3"/>
    <d v="2024-12-22T00:00:00"/>
    <x v="4"/>
    <s v="Check out our latest image on facebook!"/>
    <n v="3196"/>
    <n v="941"/>
    <n v="376"/>
    <n v="35156"/>
    <n v="34444"/>
    <n v="241"/>
    <x v="2"/>
    <n v="0.1283706906360223"/>
    <s v="Hashtags Used"/>
    <x v="3"/>
  </r>
  <r>
    <s v="P235"/>
    <x v="3"/>
    <d v="2024-12-22T00:00:00"/>
    <x v="4"/>
    <s v="Check out our latest image on facebook!"/>
    <n v="3196"/>
    <n v="941"/>
    <n v="376"/>
    <n v="35156"/>
    <n v="34444"/>
    <n v="241"/>
    <x v="2"/>
    <n v="0.1283706906360223"/>
    <s v="Hashtags-1"/>
    <x v="2"/>
  </r>
  <r>
    <s v="P235"/>
    <x v="3"/>
    <d v="2024-12-22T00:00:00"/>
    <x v="4"/>
    <s v="Check out our latest image on facebook!"/>
    <n v="3196"/>
    <n v="941"/>
    <n v="376"/>
    <n v="35156"/>
    <n v="34444"/>
    <n v="241"/>
    <x v="2"/>
    <n v="0.1283706906360223"/>
    <s v="Hashtags_2"/>
    <x v="2"/>
  </r>
  <r>
    <s v="P236"/>
    <x v="3"/>
    <d v="2024-08-19T00:00:00"/>
    <x v="1"/>
    <s v="Check out our latest text on facebook!"/>
    <n v="1257"/>
    <n v="19"/>
    <n v="351"/>
    <n v="12570"/>
    <n v="11660"/>
    <n v="194"/>
    <x v="1"/>
    <n v="0.12943516308671441"/>
    <s v="Hashtags Used"/>
    <x v="0"/>
  </r>
  <r>
    <s v="P236"/>
    <x v="3"/>
    <d v="2024-08-19T00:00:00"/>
    <x v="1"/>
    <s v="Check out our latest text on facebook!"/>
    <n v="1257"/>
    <n v="19"/>
    <n v="351"/>
    <n v="12570"/>
    <n v="11660"/>
    <n v="194"/>
    <x v="1"/>
    <n v="0.12943516308671441"/>
    <s v="Hashtags-1"/>
    <x v="1"/>
  </r>
  <r>
    <s v="P236"/>
    <x v="3"/>
    <d v="2024-08-19T00:00:00"/>
    <x v="1"/>
    <s v="Check out our latest text on facebook!"/>
    <n v="1257"/>
    <n v="19"/>
    <n v="351"/>
    <n v="12570"/>
    <n v="11660"/>
    <n v="194"/>
    <x v="1"/>
    <n v="0.12943516308671441"/>
    <s v="Hashtags_2"/>
    <x v="5"/>
  </r>
  <r>
    <s v="P237"/>
    <x v="2"/>
    <d v="2024-10-22T00:00:00"/>
    <x v="2"/>
    <s v="Check out our latest story on instagram!"/>
    <n v="3770"/>
    <n v="917"/>
    <n v="129"/>
    <n v="71630"/>
    <n v="71322"/>
    <n v="76"/>
    <x v="0"/>
    <n v="6.7234398994834563E-2"/>
    <s v="Hashtags Used"/>
    <x v="0"/>
  </r>
  <r>
    <s v="P237"/>
    <x v="2"/>
    <d v="2024-10-22T00:00:00"/>
    <x v="2"/>
    <s v="Check out our latest story on instagram!"/>
    <n v="3770"/>
    <n v="917"/>
    <n v="129"/>
    <n v="71630"/>
    <n v="71322"/>
    <n v="76"/>
    <x v="0"/>
    <n v="6.7234398994834563E-2"/>
    <s v="Hashtags-1"/>
    <x v="2"/>
  </r>
  <r>
    <s v="P237"/>
    <x v="2"/>
    <d v="2024-10-22T00:00:00"/>
    <x v="2"/>
    <s v="Check out our latest story on instagram!"/>
    <n v="3770"/>
    <n v="917"/>
    <n v="129"/>
    <n v="71630"/>
    <n v="71322"/>
    <n v="76"/>
    <x v="0"/>
    <n v="6.7234398994834563E-2"/>
    <s v="Hashtags_2"/>
    <x v="2"/>
  </r>
  <r>
    <s v="P238"/>
    <x v="0"/>
    <d v="2024-07-16T00:00:00"/>
    <x v="1"/>
    <s v="Check out our latest text on twitter!"/>
    <n v="4725"/>
    <n v="400"/>
    <n v="362"/>
    <n v="75600"/>
    <n v="74927"/>
    <n v="43"/>
    <x v="3"/>
    <n v="7.2579365079365077E-2"/>
    <s v="Hashtags Used"/>
    <x v="0"/>
  </r>
  <r>
    <s v="P238"/>
    <x v="0"/>
    <d v="2024-07-16T00:00:00"/>
    <x v="1"/>
    <s v="Check out our latest text on twitter!"/>
    <n v="4725"/>
    <n v="400"/>
    <n v="362"/>
    <n v="75600"/>
    <n v="74927"/>
    <n v="43"/>
    <x v="3"/>
    <n v="7.2579365079365077E-2"/>
    <s v="Hashtags-1"/>
    <x v="2"/>
  </r>
  <r>
    <s v="P238"/>
    <x v="0"/>
    <d v="2024-07-16T00:00:00"/>
    <x v="1"/>
    <s v="Check out our latest text on twitter!"/>
    <n v="4725"/>
    <n v="400"/>
    <n v="362"/>
    <n v="75600"/>
    <n v="74927"/>
    <n v="43"/>
    <x v="3"/>
    <n v="7.2579365079365077E-2"/>
    <s v="Hashtags_2"/>
    <x v="2"/>
  </r>
  <r>
    <s v="P239"/>
    <x v="1"/>
    <d v="2025-02-24T00:00:00"/>
    <x v="1"/>
    <s v="Check out our latest text on youtube!"/>
    <n v="4188"/>
    <n v="942"/>
    <n v="118"/>
    <n v="20940"/>
    <n v="20471"/>
    <n v="102"/>
    <x v="4"/>
    <n v="0.25062082139446035"/>
    <s v="Hashtags Used"/>
    <x v="0"/>
  </r>
  <r>
    <s v="P239"/>
    <x v="1"/>
    <d v="2025-02-24T00:00:00"/>
    <x v="1"/>
    <s v="Check out our latest text on youtube!"/>
    <n v="4188"/>
    <n v="942"/>
    <n v="118"/>
    <n v="20940"/>
    <n v="20471"/>
    <n v="102"/>
    <x v="4"/>
    <n v="0.25062082139446035"/>
    <s v="Hashtags-1"/>
    <x v="2"/>
  </r>
  <r>
    <s v="P239"/>
    <x v="1"/>
    <d v="2025-02-24T00:00:00"/>
    <x v="1"/>
    <s v="Check out our latest text on youtube!"/>
    <n v="4188"/>
    <n v="942"/>
    <n v="118"/>
    <n v="20940"/>
    <n v="20471"/>
    <n v="102"/>
    <x v="4"/>
    <n v="0.25062082139446035"/>
    <s v="Hashtags_2"/>
    <x v="2"/>
  </r>
  <r>
    <s v="P240"/>
    <x v="0"/>
    <d v="2024-08-26T00:00:00"/>
    <x v="3"/>
    <s v="Check out our latest carousel on twitter!"/>
    <n v="929"/>
    <n v="192"/>
    <n v="322"/>
    <n v="16722"/>
    <n v="15996"/>
    <n v="145"/>
    <x v="2"/>
    <n v="8.6293505561535699E-2"/>
    <s v="Hashtags Used"/>
    <x v="5"/>
  </r>
  <r>
    <s v="P240"/>
    <x v="0"/>
    <d v="2024-08-26T00:00:00"/>
    <x v="3"/>
    <s v="Check out our latest carousel on twitter!"/>
    <n v="929"/>
    <n v="192"/>
    <n v="322"/>
    <n v="16722"/>
    <n v="15996"/>
    <n v="145"/>
    <x v="2"/>
    <n v="8.6293505561535699E-2"/>
    <s v="Hashtags-1"/>
    <x v="3"/>
  </r>
  <r>
    <s v="P240"/>
    <x v="0"/>
    <d v="2024-08-26T00:00:00"/>
    <x v="3"/>
    <s v="Check out our latest carousel on twitter!"/>
    <n v="929"/>
    <n v="192"/>
    <n v="322"/>
    <n v="16722"/>
    <n v="15996"/>
    <n v="145"/>
    <x v="2"/>
    <n v="8.6293505561535699E-2"/>
    <s v="Hashtags_2"/>
    <x v="1"/>
  </r>
  <r>
    <s v="P241"/>
    <x v="3"/>
    <d v="2025-01-18T00:00:00"/>
    <x v="2"/>
    <s v="Check out our latest story on facebook!"/>
    <n v="4321"/>
    <n v="874"/>
    <n v="172"/>
    <n v="30247"/>
    <n v="29254"/>
    <n v="122"/>
    <x v="3"/>
    <n v="0.17743908486792079"/>
    <s v="Hashtags Used"/>
    <x v="3"/>
  </r>
  <r>
    <s v="P241"/>
    <x v="3"/>
    <d v="2025-01-18T00:00:00"/>
    <x v="2"/>
    <s v="Check out our latest story on facebook!"/>
    <n v="4321"/>
    <n v="874"/>
    <n v="172"/>
    <n v="30247"/>
    <n v="29254"/>
    <n v="122"/>
    <x v="3"/>
    <n v="0.17743908486792079"/>
    <s v="Hashtags-1"/>
    <x v="2"/>
  </r>
  <r>
    <s v="P241"/>
    <x v="3"/>
    <d v="2025-01-18T00:00:00"/>
    <x v="2"/>
    <s v="Check out our latest story on facebook!"/>
    <n v="4321"/>
    <n v="874"/>
    <n v="172"/>
    <n v="30247"/>
    <n v="29254"/>
    <n v="122"/>
    <x v="3"/>
    <n v="0.17743908486792079"/>
    <s v="Hashtags_2"/>
    <x v="2"/>
  </r>
  <r>
    <s v="P242"/>
    <x v="3"/>
    <d v="2024-07-07T00:00:00"/>
    <x v="0"/>
    <s v="Check out our latest reel on facebook!"/>
    <n v="4767"/>
    <n v="190"/>
    <n v="340"/>
    <n v="28602"/>
    <n v="28044"/>
    <n v="210"/>
    <x v="2"/>
    <n v="0.18519683938186141"/>
    <s v="Hashtags Used"/>
    <x v="5"/>
  </r>
  <r>
    <s v="P242"/>
    <x v="3"/>
    <d v="2024-07-07T00:00:00"/>
    <x v="0"/>
    <s v="Check out our latest reel on facebook!"/>
    <n v="4767"/>
    <n v="190"/>
    <n v="340"/>
    <n v="28602"/>
    <n v="28044"/>
    <n v="210"/>
    <x v="2"/>
    <n v="0.18519683938186141"/>
    <s v="Hashtags-1"/>
    <x v="2"/>
  </r>
  <r>
    <s v="P242"/>
    <x v="3"/>
    <d v="2024-07-07T00:00:00"/>
    <x v="0"/>
    <s v="Check out our latest reel on facebook!"/>
    <n v="4767"/>
    <n v="190"/>
    <n v="340"/>
    <n v="28602"/>
    <n v="28044"/>
    <n v="210"/>
    <x v="2"/>
    <n v="0.18519683938186141"/>
    <s v="Hashtags_2"/>
    <x v="2"/>
  </r>
  <r>
    <s v="P243"/>
    <x v="0"/>
    <d v="2025-03-06T00:00:00"/>
    <x v="4"/>
    <s v="Check out our latest image on twitter!"/>
    <n v="3592"/>
    <n v="911"/>
    <n v="375"/>
    <n v="50288"/>
    <n v="49490"/>
    <n v="32"/>
    <x v="3"/>
    <n v="9.7001272669424113E-2"/>
    <s v="Hashtags Used"/>
    <x v="0"/>
  </r>
  <r>
    <s v="P243"/>
    <x v="0"/>
    <d v="2025-03-06T00:00:00"/>
    <x v="4"/>
    <s v="Check out our latest image on twitter!"/>
    <n v="3592"/>
    <n v="911"/>
    <n v="375"/>
    <n v="50288"/>
    <n v="49490"/>
    <n v="32"/>
    <x v="3"/>
    <n v="9.7001272669424113E-2"/>
    <s v="Hashtags-1"/>
    <x v="2"/>
  </r>
  <r>
    <s v="P243"/>
    <x v="0"/>
    <d v="2025-03-06T00:00:00"/>
    <x v="4"/>
    <s v="Check out our latest image on twitter!"/>
    <n v="3592"/>
    <n v="911"/>
    <n v="375"/>
    <n v="50288"/>
    <n v="49490"/>
    <n v="32"/>
    <x v="3"/>
    <n v="9.7001272669424113E-2"/>
    <s v="Hashtags_2"/>
    <x v="2"/>
  </r>
  <r>
    <s v="P244"/>
    <x v="1"/>
    <d v="2024-10-25T00:00:00"/>
    <x v="5"/>
    <s v="Check out our latest video on youtube!"/>
    <n v="4661"/>
    <n v="935"/>
    <n v="433"/>
    <n v="23305"/>
    <n v="22583"/>
    <n v="63"/>
    <x v="2"/>
    <n v="0.25869984981763572"/>
    <s v="Hashtags Used"/>
    <x v="0"/>
  </r>
  <r>
    <s v="P244"/>
    <x v="1"/>
    <d v="2024-10-25T00:00:00"/>
    <x v="5"/>
    <s v="Check out our latest video on youtube!"/>
    <n v="4661"/>
    <n v="935"/>
    <n v="433"/>
    <n v="23305"/>
    <n v="22583"/>
    <n v="63"/>
    <x v="2"/>
    <n v="0.25869984981763572"/>
    <s v="Hashtags-1"/>
    <x v="2"/>
  </r>
  <r>
    <s v="P244"/>
    <x v="1"/>
    <d v="2024-10-25T00:00:00"/>
    <x v="5"/>
    <s v="Check out our latest video on youtube!"/>
    <n v="4661"/>
    <n v="935"/>
    <n v="433"/>
    <n v="23305"/>
    <n v="22583"/>
    <n v="63"/>
    <x v="2"/>
    <n v="0.25869984981763572"/>
    <s v="Hashtags_2"/>
    <x v="2"/>
  </r>
  <r>
    <s v="P245"/>
    <x v="3"/>
    <d v="2025-01-12T00:00:00"/>
    <x v="0"/>
    <s v="Check out our latest reel on facebook!"/>
    <n v="4134"/>
    <n v="824"/>
    <n v="99"/>
    <n v="41340"/>
    <n v="41050"/>
    <n v="177"/>
    <x v="0"/>
    <n v="0.12232704402515723"/>
    <s v="Hashtags Used"/>
    <x v="5"/>
  </r>
  <r>
    <s v="P245"/>
    <x v="3"/>
    <d v="2025-01-12T00:00:00"/>
    <x v="0"/>
    <s v="Check out our latest reel on facebook!"/>
    <n v="4134"/>
    <n v="824"/>
    <n v="99"/>
    <n v="41340"/>
    <n v="41050"/>
    <n v="177"/>
    <x v="0"/>
    <n v="0.12232704402515723"/>
    <s v="Hashtags-1"/>
    <x v="2"/>
  </r>
  <r>
    <s v="P245"/>
    <x v="3"/>
    <d v="2025-01-12T00:00:00"/>
    <x v="0"/>
    <s v="Check out our latest reel on facebook!"/>
    <n v="4134"/>
    <n v="824"/>
    <n v="99"/>
    <n v="41340"/>
    <n v="41050"/>
    <n v="177"/>
    <x v="0"/>
    <n v="0.12232704402515723"/>
    <s v="Hashtags_2"/>
    <x v="2"/>
  </r>
  <r>
    <s v="P246"/>
    <x v="3"/>
    <d v="2024-10-11T00:00:00"/>
    <x v="4"/>
    <s v="Check out our latest image on facebook!"/>
    <n v="400"/>
    <n v="680"/>
    <n v="434"/>
    <n v="6400"/>
    <n v="5472"/>
    <n v="160"/>
    <x v="1"/>
    <n v="0.23656250000000001"/>
    <s v="Hashtags Used"/>
    <x v="0"/>
  </r>
  <r>
    <s v="P246"/>
    <x v="3"/>
    <d v="2024-10-11T00:00:00"/>
    <x v="4"/>
    <s v="Check out our latest image on facebook!"/>
    <n v="400"/>
    <n v="680"/>
    <n v="434"/>
    <n v="6400"/>
    <n v="5472"/>
    <n v="160"/>
    <x v="1"/>
    <n v="0.23656250000000001"/>
    <s v="Hashtags-1"/>
    <x v="2"/>
  </r>
  <r>
    <s v="P246"/>
    <x v="3"/>
    <d v="2024-10-11T00:00:00"/>
    <x v="4"/>
    <s v="Check out our latest image on facebook!"/>
    <n v="400"/>
    <n v="680"/>
    <n v="434"/>
    <n v="6400"/>
    <n v="5472"/>
    <n v="160"/>
    <x v="1"/>
    <n v="0.23656250000000001"/>
    <s v="Hashtags_2"/>
    <x v="2"/>
  </r>
  <r>
    <s v="P247"/>
    <x v="3"/>
    <d v="2024-08-27T00:00:00"/>
    <x v="0"/>
    <s v="Check out our latest reel on facebook!"/>
    <n v="3960"/>
    <n v="266"/>
    <n v="8"/>
    <n v="35640"/>
    <n v="34850"/>
    <n v="208"/>
    <x v="4"/>
    <n v="0.11879910213243547"/>
    <s v="Hashtags Used"/>
    <x v="0"/>
  </r>
  <r>
    <s v="P247"/>
    <x v="3"/>
    <d v="2024-08-27T00:00:00"/>
    <x v="0"/>
    <s v="Check out our latest reel on facebook!"/>
    <n v="3960"/>
    <n v="266"/>
    <n v="8"/>
    <n v="35640"/>
    <n v="34850"/>
    <n v="208"/>
    <x v="4"/>
    <n v="0.11879910213243547"/>
    <s v="Hashtags-1"/>
    <x v="5"/>
  </r>
  <r>
    <s v="P247"/>
    <x v="3"/>
    <d v="2024-08-27T00:00:00"/>
    <x v="0"/>
    <s v="Check out our latest reel on facebook!"/>
    <n v="3960"/>
    <n v="266"/>
    <n v="8"/>
    <n v="35640"/>
    <n v="34850"/>
    <n v="208"/>
    <x v="4"/>
    <n v="0.11879910213243547"/>
    <s v="Hashtags_2"/>
    <x v="4"/>
  </r>
  <r>
    <s v="P248"/>
    <x v="3"/>
    <d v="2025-02-02T00:00:00"/>
    <x v="2"/>
    <s v="Check out our latest story on facebook!"/>
    <n v="886"/>
    <n v="126"/>
    <n v="153"/>
    <n v="4430"/>
    <n v="4037"/>
    <n v="212"/>
    <x v="4"/>
    <n v="0.26297968397291194"/>
    <s v="Hashtags Used"/>
    <x v="5"/>
  </r>
  <r>
    <s v="P248"/>
    <x v="3"/>
    <d v="2025-02-02T00:00:00"/>
    <x v="2"/>
    <s v="Check out our latest story on facebook!"/>
    <n v="886"/>
    <n v="126"/>
    <n v="153"/>
    <n v="4430"/>
    <n v="4037"/>
    <n v="212"/>
    <x v="4"/>
    <n v="0.26297968397291194"/>
    <s v="Hashtags-1"/>
    <x v="2"/>
  </r>
  <r>
    <s v="P248"/>
    <x v="3"/>
    <d v="2025-02-02T00:00:00"/>
    <x v="2"/>
    <s v="Check out our latest story on facebook!"/>
    <n v="886"/>
    <n v="126"/>
    <n v="153"/>
    <n v="4430"/>
    <n v="4037"/>
    <n v="212"/>
    <x v="4"/>
    <n v="0.26297968397291194"/>
    <s v="Hashtags_2"/>
    <x v="2"/>
  </r>
  <r>
    <s v="P249"/>
    <x v="0"/>
    <d v="2024-07-18T00:00:00"/>
    <x v="4"/>
    <s v="Check out our latest image on twitter!"/>
    <n v="827"/>
    <n v="77"/>
    <n v="402"/>
    <n v="14886"/>
    <n v="14129"/>
    <n v="254"/>
    <x v="1"/>
    <n v="8.7733440816874911E-2"/>
    <s v="Hashtags Used"/>
    <x v="5"/>
  </r>
  <r>
    <s v="P249"/>
    <x v="0"/>
    <d v="2024-07-18T00:00:00"/>
    <x v="4"/>
    <s v="Check out our latest image on twitter!"/>
    <n v="827"/>
    <n v="77"/>
    <n v="402"/>
    <n v="14886"/>
    <n v="14129"/>
    <n v="254"/>
    <x v="1"/>
    <n v="8.7733440816874911E-2"/>
    <s v="Hashtags-1"/>
    <x v="2"/>
  </r>
  <r>
    <s v="P249"/>
    <x v="0"/>
    <d v="2024-07-18T00:00:00"/>
    <x v="4"/>
    <s v="Check out our latest image on twitter!"/>
    <n v="827"/>
    <n v="77"/>
    <n v="402"/>
    <n v="14886"/>
    <n v="14129"/>
    <n v="254"/>
    <x v="1"/>
    <n v="8.7733440816874911E-2"/>
    <s v="Hashtags_2"/>
    <x v="2"/>
  </r>
  <r>
    <s v="P250"/>
    <x v="3"/>
    <d v="2024-06-22T00:00:00"/>
    <x v="0"/>
    <s v="Check out our latest reel on facebook!"/>
    <n v="3813"/>
    <n v="935"/>
    <n v="274"/>
    <n v="68634"/>
    <n v="68488"/>
    <n v="251"/>
    <x v="4"/>
    <n v="7.3170731707317069E-2"/>
    <s v="Hashtags Used"/>
    <x v="0"/>
  </r>
  <r>
    <s v="P250"/>
    <x v="3"/>
    <d v="2024-06-22T00:00:00"/>
    <x v="0"/>
    <s v="Check out our latest reel on facebook!"/>
    <n v="3813"/>
    <n v="935"/>
    <n v="274"/>
    <n v="68634"/>
    <n v="68488"/>
    <n v="251"/>
    <x v="4"/>
    <n v="7.3170731707317069E-2"/>
    <s v="Hashtags-1"/>
    <x v="2"/>
  </r>
  <r>
    <s v="P250"/>
    <x v="3"/>
    <d v="2024-06-22T00:00:00"/>
    <x v="0"/>
    <s v="Check out our latest reel on facebook!"/>
    <n v="3813"/>
    <n v="935"/>
    <n v="274"/>
    <n v="68634"/>
    <n v="68488"/>
    <n v="251"/>
    <x v="4"/>
    <n v="7.3170731707317069E-2"/>
    <s v="Hashtags_2"/>
    <x v="2"/>
  </r>
  <r>
    <s v="P251"/>
    <x v="2"/>
    <d v="2025-03-27T00:00:00"/>
    <x v="3"/>
    <s v="Check out our latest carousel on instagram!"/>
    <n v="1377"/>
    <n v="796"/>
    <n v="387"/>
    <n v="22032"/>
    <n v="21869"/>
    <n v="189"/>
    <x v="4"/>
    <n v="0.11619462599854757"/>
    <s v="Hashtags Used"/>
    <x v="0"/>
  </r>
  <r>
    <s v="P251"/>
    <x v="2"/>
    <d v="2025-03-27T00:00:00"/>
    <x v="3"/>
    <s v="Check out our latest carousel on instagram!"/>
    <n v="1377"/>
    <n v="796"/>
    <n v="387"/>
    <n v="22032"/>
    <n v="21869"/>
    <n v="189"/>
    <x v="4"/>
    <n v="0.11619462599854757"/>
    <s v="Hashtags-1"/>
    <x v="2"/>
  </r>
  <r>
    <s v="P251"/>
    <x v="2"/>
    <d v="2025-03-27T00:00:00"/>
    <x v="3"/>
    <s v="Check out our latest carousel on instagram!"/>
    <n v="1377"/>
    <n v="796"/>
    <n v="387"/>
    <n v="22032"/>
    <n v="21869"/>
    <n v="189"/>
    <x v="4"/>
    <n v="0.11619462599854757"/>
    <s v="Hashtags_2"/>
    <x v="2"/>
  </r>
  <r>
    <s v="P252"/>
    <x v="3"/>
    <d v="2025-04-28T00:00:00"/>
    <x v="3"/>
    <s v="Check out our latest carousel on facebook!"/>
    <n v="2089"/>
    <n v="476"/>
    <n v="69"/>
    <n v="16712"/>
    <n v="16309"/>
    <n v="64"/>
    <x v="2"/>
    <n v="0.15761129727142173"/>
    <s v="Hashtags Used"/>
    <x v="0"/>
  </r>
  <r>
    <s v="P252"/>
    <x v="3"/>
    <d v="2025-04-28T00:00:00"/>
    <x v="3"/>
    <s v="Check out our latest carousel on facebook!"/>
    <n v="2089"/>
    <n v="476"/>
    <n v="69"/>
    <n v="16712"/>
    <n v="16309"/>
    <n v="64"/>
    <x v="2"/>
    <n v="0.15761129727142173"/>
    <s v="Hashtags-1"/>
    <x v="2"/>
  </r>
  <r>
    <s v="P252"/>
    <x v="3"/>
    <d v="2025-04-28T00:00:00"/>
    <x v="3"/>
    <s v="Check out our latest carousel on facebook!"/>
    <n v="2089"/>
    <n v="476"/>
    <n v="69"/>
    <n v="16712"/>
    <n v="16309"/>
    <n v="64"/>
    <x v="2"/>
    <n v="0.15761129727142173"/>
    <s v="Hashtags_2"/>
    <x v="2"/>
  </r>
  <r>
    <s v="P253"/>
    <x v="0"/>
    <d v="2024-08-03T00:00:00"/>
    <x v="0"/>
    <s v="Check out our latest reel on twitter!"/>
    <n v="3791"/>
    <n v="593"/>
    <n v="228"/>
    <n v="53074"/>
    <n v="52613"/>
    <n v="205"/>
    <x v="4"/>
    <n v="8.6897539284772202E-2"/>
    <s v="Hashtags Used"/>
    <x v="5"/>
  </r>
  <r>
    <s v="P253"/>
    <x v="0"/>
    <d v="2024-08-03T00:00:00"/>
    <x v="0"/>
    <s v="Check out our latest reel on twitter!"/>
    <n v="3791"/>
    <n v="593"/>
    <n v="228"/>
    <n v="53074"/>
    <n v="52613"/>
    <n v="205"/>
    <x v="4"/>
    <n v="8.6897539284772202E-2"/>
    <s v="Hashtags-1"/>
    <x v="2"/>
  </r>
  <r>
    <s v="P253"/>
    <x v="0"/>
    <d v="2024-08-03T00:00:00"/>
    <x v="0"/>
    <s v="Check out our latest reel on twitter!"/>
    <n v="3791"/>
    <n v="593"/>
    <n v="228"/>
    <n v="53074"/>
    <n v="52613"/>
    <n v="205"/>
    <x v="4"/>
    <n v="8.6897539284772202E-2"/>
    <s v="Hashtags_2"/>
    <x v="2"/>
  </r>
  <r>
    <s v="P254"/>
    <x v="0"/>
    <d v="2025-01-14T00:00:00"/>
    <x v="4"/>
    <s v="Check out our latest image on twitter!"/>
    <n v="2692"/>
    <n v="115"/>
    <n v="64"/>
    <n v="21536"/>
    <n v="21120"/>
    <n v="224"/>
    <x v="1"/>
    <n v="0.13331166419019316"/>
    <s v="Hashtags Used"/>
    <x v="0"/>
  </r>
  <r>
    <s v="P254"/>
    <x v="0"/>
    <d v="2025-01-14T00:00:00"/>
    <x v="4"/>
    <s v="Check out our latest image on twitter!"/>
    <n v="2692"/>
    <n v="115"/>
    <n v="64"/>
    <n v="21536"/>
    <n v="21120"/>
    <n v="224"/>
    <x v="1"/>
    <n v="0.13331166419019316"/>
    <s v="Hashtags-1"/>
    <x v="2"/>
  </r>
  <r>
    <s v="P254"/>
    <x v="0"/>
    <d v="2025-01-14T00:00:00"/>
    <x v="4"/>
    <s v="Check out our latest image on twitter!"/>
    <n v="2692"/>
    <n v="115"/>
    <n v="64"/>
    <n v="21536"/>
    <n v="21120"/>
    <n v="224"/>
    <x v="1"/>
    <n v="0.13331166419019316"/>
    <s v="Hashtags_2"/>
    <x v="2"/>
  </r>
  <r>
    <s v="P255"/>
    <x v="3"/>
    <d v="2025-04-03T00:00:00"/>
    <x v="2"/>
    <s v="Check out our latest story on facebook!"/>
    <n v="3767"/>
    <n v="514"/>
    <n v="238"/>
    <n v="37670"/>
    <n v="36807"/>
    <n v="226"/>
    <x v="3"/>
    <n v="0.11996283514733209"/>
    <s v="Hashtags Used"/>
    <x v="0"/>
  </r>
  <r>
    <s v="P255"/>
    <x v="3"/>
    <d v="2025-04-03T00:00:00"/>
    <x v="2"/>
    <s v="Check out our latest story on facebook!"/>
    <n v="3767"/>
    <n v="514"/>
    <n v="238"/>
    <n v="37670"/>
    <n v="36807"/>
    <n v="226"/>
    <x v="3"/>
    <n v="0.11996283514733209"/>
    <s v="Hashtags-1"/>
    <x v="2"/>
  </r>
  <r>
    <s v="P255"/>
    <x v="3"/>
    <d v="2025-04-03T00:00:00"/>
    <x v="2"/>
    <s v="Check out our latest story on facebook!"/>
    <n v="3767"/>
    <n v="514"/>
    <n v="238"/>
    <n v="37670"/>
    <n v="36807"/>
    <n v="226"/>
    <x v="3"/>
    <n v="0.11996283514733209"/>
    <s v="Hashtags_2"/>
    <x v="2"/>
  </r>
  <r>
    <s v="P256"/>
    <x v="1"/>
    <d v="2024-09-18T00:00:00"/>
    <x v="3"/>
    <s v="Check out our latest carousel on youtube!"/>
    <n v="2143"/>
    <n v="12"/>
    <n v="204"/>
    <n v="40717"/>
    <n v="40125"/>
    <n v="248"/>
    <x v="1"/>
    <n v="5.7936488444630008E-2"/>
    <s v="Hashtags Used"/>
    <x v="5"/>
  </r>
  <r>
    <s v="P256"/>
    <x v="1"/>
    <d v="2024-09-18T00:00:00"/>
    <x v="3"/>
    <s v="Check out our latest carousel on youtube!"/>
    <n v="2143"/>
    <n v="12"/>
    <n v="204"/>
    <n v="40717"/>
    <n v="40125"/>
    <n v="248"/>
    <x v="1"/>
    <n v="5.7936488444630008E-2"/>
    <s v="Hashtags-1"/>
    <x v="2"/>
  </r>
  <r>
    <s v="P256"/>
    <x v="1"/>
    <d v="2024-09-18T00:00:00"/>
    <x v="3"/>
    <s v="Check out our latest carousel on youtube!"/>
    <n v="2143"/>
    <n v="12"/>
    <n v="204"/>
    <n v="40717"/>
    <n v="40125"/>
    <n v="248"/>
    <x v="1"/>
    <n v="5.7936488444630008E-2"/>
    <s v="Hashtags_2"/>
    <x v="2"/>
  </r>
  <r>
    <s v="P257"/>
    <x v="3"/>
    <d v="2025-04-06T00:00:00"/>
    <x v="4"/>
    <s v="Check out our latest image on facebook!"/>
    <n v="3090"/>
    <n v="697"/>
    <n v="164"/>
    <n v="49440"/>
    <n v="48524"/>
    <n v="25"/>
    <x v="1"/>
    <n v="7.9915048543689318E-2"/>
    <s v="Hashtags Used"/>
    <x v="5"/>
  </r>
  <r>
    <s v="P257"/>
    <x v="3"/>
    <d v="2025-04-06T00:00:00"/>
    <x v="4"/>
    <s v="Check out our latest image on facebook!"/>
    <n v="3090"/>
    <n v="697"/>
    <n v="164"/>
    <n v="49440"/>
    <n v="48524"/>
    <n v="25"/>
    <x v="1"/>
    <n v="7.9915048543689318E-2"/>
    <s v="Hashtags-1"/>
    <x v="5"/>
  </r>
  <r>
    <s v="P257"/>
    <x v="3"/>
    <d v="2025-04-06T00:00:00"/>
    <x v="4"/>
    <s v="Check out our latest image on facebook!"/>
    <n v="3090"/>
    <n v="697"/>
    <n v="164"/>
    <n v="49440"/>
    <n v="48524"/>
    <n v="25"/>
    <x v="1"/>
    <n v="7.9915048543689318E-2"/>
    <s v="Hashtags_2"/>
    <x v="4"/>
  </r>
  <r>
    <s v="P258"/>
    <x v="2"/>
    <d v="2024-08-05T00:00:00"/>
    <x v="2"/>
    <s v="Check out our latest story on instagram!"/>
    <n v="3601"/>
    <n v="695"/>
    <n v="75"/>
    <n v="21606"/>
    <n v="21454"/>
    <n v="172"/>
    <x v="1"/>
    <n v="0.2023049153013052"/>
    <s v="Hashtags Used"/>
    <x v="5"/>
  </r>
  <r>
    <s v="P258"/>
    <x v="2"/>
    <d v="2024-08-05T00:00:00"/>
    <x v="2"/>
    <s v="Check out our latest story on instagram!"/>
    <n v="3601"/>
    <n v="695"/>
    <n v="75"/>
    <n v="21606"/>
    <n v="21454"/>
    <n v="172"/>
    <x v="1"/>
    <n v="0.2023049153013052"/>
    <s v="Hashtags-1"/>
    <x v="2"/>
  </r>
  <r>
    <s v="P258"/>
    <x v="2"/>
    <d v="2024-08-05T00:00:00"/>
    <x v="2"/>
    <s v="Check out our latest story on instagram!"/>
    <n v="3601"/>
    <n v="695"/>
    <n v="75"/>
    <n v="21606"/>
    <n v="21454"/>
    <n v="172"/>
    <x v="1"/>
    <n v="0.2023049153013052"/>
    <s v="Hashtags_2"/>
    <x v="2"/>
  </r>
  <r>
    <s v="P259"/>
    <x v="3"/>
    <d v="2025-02-10T00:00:00"/>
    <x v="1"/>
    <s v="Check out our latest text on facebook!"/>
    <n v="562"/>
    <n v="158"/>
    <n v="149"/>
    <n v="3372"/>
    <n v="2940"/>
    <n v="93"/>
    <x v="0"/>
    <n v="0.25771055753262156"/>
    <s v="Hashtags Used"/>
    <x v="3"/>
  </r>
  <r>
    <s v="P259"/>
    <x v="3"/>
    <d v="2025-02-10T00:00:00"/>
    <x v="1"/>
    <s v="Check out our latest text on facebook!"/>
    <n v="562"/>
    <n v="158"/>
    <n v="149"/>
    <n v="3372"/>
    <n v="2940"/>
    <n v="93"/>
    <x v="0"/>
    <n v="0.25771055753262156"/>
    <s v="Hashtags-1"/>
    <x v="2"/>
  </r>
  <r>
    <s v="P259"/>
    <x v="3"/>
    <d v="2025-02-10T00:00:00"/>
    <x v="1"/>
    <s v="Check out our latest text on facebook!"/>
    <n v="562"/>
    <n v="158"/>
    <n v="149"/>
    <n v="3372"/>
    <n v="2940"/>
    <n v="93"/>
    <x v="0"/>
    <n v="0.25771055753262156"/>
    <s v="Hashtags_2"/>
    <x v="2"/>
  </r>
  <r>
    <s v="P260"/>
    <x v="2"/>
    <d v="2025-02-12T00:00:00"/>
    <x v="2"/>
    <s v="Check out our latest story on instagram!"/>
    <n v="4332"/>
    <n v="771"/>
    <n v="219"/>
    <n v="60648"/>
    <n v="60397"/>
    <n v="10"/>
    <x v="2"/>
    <n v="8.7752275425405618E-2"/>
    <s v="Hashtags Used"/>
    <x v="3"/>
  </r>
  <r>
    <s v="P260"/>
    <x v="2"/>
    <d v="2025-02-12T00:00:00"/>
    <x v="2"/>
    <s v="Check out our latest story on instagram!"/>
    <n v="4332"/>
    <n v="771"/>
    <n v="219"/>
    <n v="60648"/>
    <n v="60397"/>
    <n v="10"/>
    <x v="2"/>
    <n v="8.7752275425405618E-2"/>
    <s v="Hashtags-1"/>
    <x v="5"/>
  </r>
  <r>
    <s v="P260"/>
    <x v="2"/>
    <d v="2025-02-12T00:00:00"/>
    <x v="2"/>
    <s v="Check out our latest story on instagram!"/>
    <n v="4332"/>
    <n v="771"/>
    <n v="219"/>
    <n v="60648"/>
    <n v="60397"/>
    <n v="10"/>
    <x v="2"/>
    <n v="8.7752275425405618E-2"/>
    <s v="Hashtags_2"/>
    <x v="4"/>
  </r>
  <r>
    <s v="P261"/>
    <x v="2"/>
    <d v="2024-10-27T00:00:00"/>
    <x v="4"/>
    <s v="Check out our latest image on instagram!"/>
    <n v="4853"/>
    <n v="837"/>
    <n v="340"/>
    <n v="72795"/>
    <n v="72237"/>
    <n v="170"/>
    <x v="0"/>
    <n v="8.2835359571399134E-2"/>
    <s v="Hashtags Used"/>
    <x v="5"/>
  </r>
  <r>
    <s v="P261"/>
    <x v="2"/>
    <d v="2024-10-27T00:00:00"/>
    <x v="4"/>
    <s v="Check out our latest image on instagram!"/>
    <n v="4853"/>
    <n v="837"/>
    <n v="340"/>
    <n v="72795"/>
    <n v="72237"/>
    <n v="170"/>
    <x v="0"/>
    <n v="8.2835359571399134E-2"/>
    <s v="Hashtags-1"/>
    <x v="2"/>
  </r>
  <r>
    <s v="P261"/>
    <x v="2"/>
    <d v="2024-10-27T00:00:00"/>
    <x v="4"/>
    <s v="Check out our latest image on instagram!"/>
    <n v="4853"/>
    <n v="837"/>
    <n v="340"/>
    <n v="72795"/>
    <n v="72237"/>
    <n v="170"/>
    <x v="0"/>
    <n v="8.2835359571399134E-2"/>
    <s v="Hashtags_2"/>
    <x v="2"/>
  </r>
  <r>
    <s v="P262"/>
    <x v="1"/>
    <d v="2025-01-18T00:00:00"/>
    <x v="4"/>
    <s v="Check out our latest image on youtube!"/>
    <n v="1206"/>
    <n v="238"/>
    <n v="36"/>
    <n v="9648"/>
    <n v="9417"/>
    <n v="237"/>
    <x v="4"/>
    <n v="0.15339966832504145"/>
    <s v="Hashtags Used"/>
    <x v="3"/>
  </r>
  <r>
    <s v="P262"/>
    <x v="1"/>
    <d v="2025-01-18T00:00:00"/>
    <x v="4"/>
    <s v="Check out our latest image on youtube!"/>
    <n v="1206"/>
    <n v="238"/>
    <n v="36"/>
    <n v="9648"/>
    <n v="9417"/>
    <n v="237"/>
    <x v="4"/>
    <n v="0.15339966832504145"/>
    <s v="Hashtags-1"/>
    <x v="2"/>
  </r>
  <r>
    <s v="P262"/>
    <x v="1"/>
    <d v="2025-01-18T00:00:00"/>
    <x v="4"/>
    <s v="Check out our latest image on youtube!"/>
    <n v="1206"/>
    <n v="238"/>
    <n v="36"/>
    <n v="9648"/>
    <n v="9417"/>
    <n v="237"/>
    <x v="4"/>
    <n v="0.15339966832504145"/>
    <s v="Hashtags_2"/>
    <x v="2"/>
  </r>
  <r>
    <s v="P263"/>
    <x v="2"/>
    <d v="2024-08-20T00:00:00"/>
    <x v="0"/>
    <s v="Check out our latest reel on instagram!"/>
    <n v="2603"/>
    <n v="690"/>
    <n v="205"/>
    <n v="13015"/>
    <n v="12130"/>
    <n v="20"/>
    <x v="1"/>
    <n v="0.26876680752977333"/>
    <s v="Hashtags Used"/>
    <x v="0"/>
  </r>
  <r>
    <s v="P263"/>
    <x v="2"/>
    <d v="2024-08-20T00:00:00"/>
    <x v="0"/>
    <s v="Check out our latest reel on instagram!"/>
    <n v="2603"/>
    <n v="690"/>
    <n v="205"/>
    <n v="13015"/>
    <n v="12130"/>
    <n v="20"/>
    <x v="1"/>
    <n v="0.26876680752977333"/>
    <s v="Hashtags-1"/>
    <x v="2"/>
  </r>
  <r>
    <s v="P263"/>
    <x v="2"/>
    <d v="2024-08-20T00:00:00"/>
    <x v="0"/>
    <s v="Check out our latest reel on instagram!"/>
    <n v="2603"/>
    <n v="690"/>
    <n v="205"/>
    <n v="13015"/>
    <n v="12130"/>
    <n v="20"/>
    <x v="1"/>
    <n v="0.26876680752977333"/>
    <s v="Hashtags_2"/>
    <x v="2"/>
  </r>
  <r>
    <s v="P264"/>
    <x v="0"/>
    <d v="2025-01-30T00:00:00"/>
    <x v="4"/>
    <s v="Check out our latest image on twitter!"/>
    <n v="59"/>
    <n v="163"/>
    <n v="93"/>
    <n v="590"/>
    <n v="475"/>
    <n v="293"/>
    <x v="1"/>
    <n v="0.53389830508474578"/>
    <s v="Hashtags Used"/>
    <x v="3"/>
  </r>
  <r>
    <s v="P264"/>
    <x v="0"/>
    <d v="2025-01-30T00:00:00"/>
    <x v="4"/>
    <s v="Check out our latest image on twitter!"/>
    <n v="59"/>
    <n v="163"/>
    <n v="93"/>
    <n v="590"/>
    <n v="475"/>
    <n v="293"/>
    <x v="1"/>
    <n v="0.53389830508474578"/>
    <s v="Hashtags-1"/>
    <x v="2"/>
  </r>
  <r>
    <s v="P264"/>
    <x v="0"/>
    <d v="2025-01-30T00:00:00"/>
    <x v="4"/>
    <s v="Check out our latest image on twitter!"/>
    <n v="59"/>
    <n v="163"/>
    <n v="93"/>
    <n v="590"/>
    <n v="475"/>
    <n v="293"/>
    <x v="1"/>
    <n v="0.53389830508474578"/>
    <s v="Hashtags_2"/>
    <x v="2"/>
  </r>
  <r>
    <s v="P265"/>
    <x v="0"/>
    <d v="2025-02-20T00:00:00"/>
    <x v="3"/>
    <s v="Check out our latest carousel on twitter!"/>
    <n v="1877"/>
    <n v="745"/>
    <n v="225"/>
    <n v="11262"/>
    <n v="10967"/>
    <n v="41"/>
    <x v="3"/>
    <n v="0.25279701651571657"/>
    <s v="Hashtags Used"/>
    <x v="5"/>
  </r>
  <r>
    <s v="P265"/>
    <x v="0"/>
    <d v="2025-02-20T00:00:00"/>
    <x v="3"/>
    <s v="Check out our latest carousel on twitter!"/>
    <n v="1877"/>
    <n v="745"/>
    <n v="225"/>
    <n v="11262"/>
    <n v="10967"/>
    <n v="41"/>
    <x v="3"/>
    <n v="0.25279701651571657"/>
    <s v="Hashtags-1"/>
    <x v="2"/>
  </r>
  <r>
    <s v="P265"/>
    <x v="0"/>
    <d v="2025-02-20T00:00:00"/>
    <x v="3"/>
    <s v="Check out our latest carousel on twitter!"/>
    <n v="1877"/>
    <n v="745"/>
    <n v="225"/>
    <n v="11262"/>
    <n v="10967"/>
    <n v="41"/>
    <x v="3"/>
    <n v="0.25279701651571657"/>
    <s v="Hashtags_2"/>
    <x v="2"/>
  </r>
  <r>
    <s v="P266"/>
    <x v="3"/>
    <d v="2024-11-25T00:00:00"/>
    <x v="2"/>
    <s v="Check out our latest story on facebook!"/>
    <n v="4182"/>
    <n v="640"/>
    <n v="240"/>
    <n v="50184"/>
    <n v="49351"/>
    <n v="10"/>
    <x v="2"/>
    <n v="0.10086880280567512"/>
    <s v="Hashtags Used"/>
    <x v="3"/>
  </r>
  <r>
    <s v="P266"/>
    <x v="3"/>
    <d v="2024-11-25T00:00:00"/>
    <x v="2"/>
    <s v="Check out our latest story on facebook!"/>
    <n v="4182"/>
    <n v="640"/>
    <n v="240"/>
    <n v="50184"/>
    <n v="49351"/>
    <n v="10"/>
    <x v="2"/>
    <n v="0.10086880280567512"/>
    <s v="Hashtags-1"/>
    <x v="2"/>
  </r>
  <r>
    <s v="P266"/>
    <x v="3"/>
    <d v="2024-11-25T00:00:00"/>
    <x v="2"/>
    <s v="Check out our latest story on facebook!"/>
    <n v="4182"/>
    <n v="640"/>
    <n v="240"/>
    <n v="50184"/>
    <n v="49351"/>
    <n v="10"/>
    <x v="2"/>
    <n v="0.10086880280567512"/>
    <s v="Hashtags_2"/>
    <x v="2"/>
  </r>
  <r>
    <s v="P267"/>
    <x v="0"/>
    <d v="2024-10-04T00:00:00"/>
    <x v="0"/>
    <s v="Check out our latest reel on twitter!"/>
    <n v="4187"/>
    <n v="66"/>
    <n v="31"/>
    <n v="66992"/>
    <n v="66614"/>
    <n v="62"/>
    <x v="4"/>
    <n v="6.3947934081681396E-2"/>
    <s v="Hashtags Used"/>
    <x v="0"/>
  </r>
  <r>
    <s v="P267"/>
    <x v="0"/>
    <d v="2024-10-04T00:00:00"/>
    <x v="0"/>
    <s v="Check out our latest reel on twitter!"/>
    <n v="4187"/>
    <n v="66"/>
    <n v="31"/>
    <n v="66992"/>
    <n v="66614"/>
    <n v="62"/>
    <x v="4"/>
    <n v="6.3947934081681396E-2"/>
    <s v="Hashtags-1"/>
    <x v="2"/>
  </r>
  <r>
    <s v="P267"/>
    <x v="0"/>
    <d v="2024-10-04T00:00:00"/>
    <x v="0"/>
    <s v="Check out our latest reel on twitter!"/>
    <n v="4187"/>
    <n v="66"/>
    <n v="31"/>
    <n v="66992"/>
    <n v="66614"/>
    <n v="62"/>
    <x v="4"/>
    <n v="6.3947934081681396E-2"/>
    <s v="Hashtags_2"/>
    <x v="2"/>
  </r>
  <r>
    <s v="P268"/>
    <x v="2"/>
    <d v="2025-04-13T00:00:00"/>
    <x v="0"/>
    <s v="Check out our latest reel on instagram!"/>
    <n v="4579"/>
    <n v="125"/>
    <n v="300"/>
    <n v="59527"/>
    <n v="59400"/>
    <n v="269"/>
    <x v="0"/>
    <n v="8.4062694239588759E-2"/>
    <s v="Hashtags Used"/>
    <x v="5"/>
  </r>
  <r>
    <s v="P268"/>
    <x v="2"/>
    <d v="2025-04-13T00:00:00"/>
    <x v="0"/>
    <s v="Check out our latest reel on instagram!"/>
    <n v="4579"/>
    <n v="125"/>
    <n v="300"/>
    <n v="59527"/>
    <n v="59400"/>
    <n v="269"/>
    <x v="0"/>
    <n v="8.4062694239588759E-2"/>
    <s v="Hashtags-1"/>
    <x v="2"/>
  </r>
  <r>
    <s v="P268"/>
    <x v="2"/>
    <d v="2025-04-13T00:00:00"/>
    <x v="0"/>
    <s v="Check out our latest reel on instagram!"/>
    <n v="4579"/>
    <n v="125"/>
    <n v="300"/>
    <n v="59527"/>
    <n v="59400"/>
    <n v="269"/>
    <x v="0"/>
    <n v="8.4062694239588759E-2"/>
    <s v="Hashtags_2"/>
    <x v="2"/>
  </r>
  <r>
    <s v="P269"/>
    <x v="2"/>
    <d v="2024-11-05T00:00:00"/>
    <x v="5"/>
    <s v="Check out our latest video on instagram!"/>
    <n v="4561"/>
    <n v="51"/>
    <n v="441"/>
    <n v="22805"/>
    <n v="21890"/>
    <n v="45"/>
    <x v="1"/>
    <n v="0.22157421618066214"/>
    <s v="Hashtags Used"/>
    <x v="3"/>
  </r>
  <r>
    <s v="P269"/>
    <x v="2"/>
    <d v="2024-11-05T00:00:00"/>
    <x v="5"/>
    <s v="Check out our latest video on instagram!"/>
    <n v="4561"/>
    <n v="51"/>
    <n v="441"/>
    <n v="22805"/>
    <n v="21890"/>
    <n v="45"/>
    <x v="1"/>
    <n v="0.22157421618066214"/>
    <s v="Hashtags-1"/>
    <x v="2"/>
  </r>
  <r>
    <s v="P269"/>
    <x v="2"/>
    <d v="2024-11-05T00:00:00"/>
    <x v="5"/>
    <s v="Check out our latest video on instagram!"/>
    <n v="4561"/>
    <n v="51"/>
    <n v="441"/>
    <n v="22805"/>
    <n v="21890"/>
    <n v="45"/>
    <x v="1"/>
    <n v="0.22157421618066214"/>
    <s v="Hashtags_2"/>
    <x v="2"/>
  </r>
  <r>
    <s v="P270"/>
    <x v="1"/>
    <d v="2025-01-15T00:00:00"/>
    <x v="0"/>
    <s v="Check out our latest reel on youtube!"/>
    <n v="3774"/>
    <n v="239"/>
    <n v="39"/>
    <n v="60384"/>
    <n v="59490"/>
    <n v="241"/>
    <x v="2"/>
    <n v="6.7103868574456813E-2"/>
    <s v="Hashtags Used"/>
    <x v="3"/>
  </r>
  <r>
    <s v="P270"/>
    <x v="1"/>
    <d v="2025-01-15T00:00:00"/>
    <x v="0"/>
    <s v="Check out our latest reel on youtube!"/>
    <n v="3774"/>
    <n v="239"/>
    <n v="39"/>
    <n v="60384"/>
    <n v="59490"/>
    <n v="241"/>
    <x v="2"/>
    <n v="6.7103868574456813E-2"/>
    <s v="Hashtags-1"/>
    <x v="2"/>
  </r>
  <r>
    <s v="P270"/>
    <x v="1"/>
    <d v="2025-01-15T00:00:00"/>
    <x v="0"/>
    <s v="Check out our latest reel on youtube!"/>
    <n v="3774"/>
    <n v="239"/>
    <n v="39"/>
    <n v="60384"/>
    <n v="59490"/>
    <n v="241"/>
    <x v="2"/>
    <n v="6.7103868574456813E-2"/>
    <s v="Hashtags_2"/>
    <x v="2"/>
  </r>
  <r>
    <s v="P271"/>
    <x v="2"/>
    <d v="2024-10-17T00:00:00"/>
    <x v="5"/>
    <s v="Check out our latest video on instagram!"/>
    <n v="3575"/>
    <n v="749"/>
    <n v="111"/>
    <n v="21450"/>
    <n v="20785"/>
    <n v="195"/>
    <x v="1"/>
    <n v="0.20675990675990677"/>
    <s v="Hashtags Used"/>
    <x v="5"/>
  </r>
  <r>
    <s v="P271"/>
    <x v="2"/>
    <d v="2024-10-17T00:00:00"/>
    <x v="5"/>
    <s v="Check out our latest video on instagram!"/>
    <n v="3575"/>
    <n v="749"/>
    <n v="111"/>
    <n v="21450"/>
    <n v="20785"/>
    <n v="195"/>
    <x v="1"/>
    <n v="0.20675990675990677"/>
    <s v="Hashtags-1"/>
    <x v="2"/>
  </r>
  <r>
    <s v="P271"/>
    <x v="2"/>
    <d v="2024-10-17T00:00:00"/>
    <x v="5"/>
    <s v="Check out our latest video on instagram!"/>
    <n v="3575"/>
    <n v="749"/>
    <n v="111"/>
    <n v="21450"/>
    <n v="20785"/>
    <n v="195"/>
    <x v="1"/>
    <n v="0.20675990675990677"/>
    <s v="Hashtags_2"/>
    <x v="2"/>
  </r>
  <r>
    <s v="P272"/>
    <x v="2"/>
    <d v="2025-03-27T00:00:00"/>
    <x v="1"/>
    <s v="Check out our latest text on instagram!"/>
    <n v="4941"/>
    <n v="414"/>
    <n v="266"/>
    <n v="39528"/>
    <n v="39154"/>
    <n v="217"/>
    <x v="2"/>
    <n v="0.14220299534507186"/>
    <s v="Hashtags Used"/>
    <x v="3"/>
  </r>
  <r>
    <s v="P272"/>
    <x v="2"/>
    <d v="2025-03-27T00:00:00"/>
    <x v="1"/>
    <s v="Check out our latest text on instagram!"/>
    <n v="4941"/>
    <n v="414"/>
    <n v="266"/>
    <n v="39528"/>
    <n v="39154"/>
    <n v="217"/>
    <x v="2"/>
    <n v="0.14220299534507186"/>
    <s v="Hashtags-1"/>
    <x v="2"/>
  </r>
  <r>
    <s v="P272"/>
    <x v="2"/>
    <d v="2025-03-27T00:00:00"/>
    <x v="1"/>
    <s v="Check out our latest text on instagram!"/>
    <n v="4941"/>
    <n v="414"/>
    <n v="266"/>
    <n v="39528"/>
    <n v="39154"/>
    <n v="217"/>
    <x v="2"/>
    <n v="0.14220299534507186"/>
    <s v="Hashtags_2"/>
    <x v="2"/>
  </r>
  <r>
    <s v="P273"/>
    <x v="1"/>
    <d v="2024-10-12T00:00:00"/>
    <x v="2"/>
    <s v="Check out our latest story on youtube!"/>
    <n v="3641"/>
    <n v="226"/>
    <n v="46"/>
    <n v="40051"/>
    <n v="39319"/>
    <n v="296"/>
    <x v="3"/>
    <n v="9.7700431949264685E-2"/>
    <s v="Hashtags Used"/>
    <x v="5"/>
  </r>
  <r>
    <s v="P273"/>
    <x v="1"/>
    <d v="2024-10-12T00:00:00"/>
    <x v="2"/>
    <s v="Check out our latest story on youtube!"/>
    <n v="3641"/>
    <n v="226"/>
    <n v="46"/>
    <n v="40051"/>
    <n v="39319"/>
    <n v="296"/>
    <x v="3"/>
    <n v="9.7700431949264685E-2"/>
    <s v="Hashtags-1"/>
    <x v="2"/>
  </r>
  <r>
    <s v="P273"/>
    <x v="1"/>
    <d v="2024-10-12T00:00:00"/>
    <x v="2"/>
    <s v="Check out our latest story on youtube!"/>
    <n v="3641"/>
    <n v="226"/>
    <n v="46"/>
    <n v="40051"/>
    <n v="39319"/>
    <n v="296"/>
    <x v="3"/>
    <n v="9.7700431949264685E-2"/>
    <s v="Hashtags_2"/>
    <x v="2"/>
  </r>
  <r>
    <s v="P274"/>
    <x v="0"/>
    <d v="2025-01-01T00:00:00"/>
    <x v="3"/>
    <s v="Check out our latest carousel on twitter!"/>
    <n v="3535"/>
    <n v="494"/>
    <n v="152"/>
    <n v="53025"/>
    <n v="52791"/>
    <n v="44"/>
    <x v="3"/>
    <n v="7.8849599245638849E-2"/>
    <s v="Hashtags Used"/>
    <x v="3"/>
  </r>
  <r>
    <s v="P274"/>
    <x v="0"/>
    <d v="2025-01-01T00:00:00"/>
    <x v="3"/>
    <s v="Check out our latest carousel on twitter!"/>
    <n v="3535"/>
    <n v="494"/>
    <n v="152"/>
    <n v="53025"/>
    <n v="52791"/>
    <n v="44"/>
    <x v="3"/>
    <n v="7.8849599245638849E-2"/>
    <s v="Hashtags-1"/>
    <x v="2"/>
  </r>
  <r>
    <s v="P274"/>
    <x v="0"/>
    <d v="2025-01-01T00:00:00"/>
    <x v="3"/>
    <s v="Check out our latest carousel on twitter!"/>
    <n v="3535"/>
    <n v="494"/>
    <n v="152"/>
    <n v="53025"/>
    <n v="52791"/>
    <n v="44"/>
    <x v="3"/>
    <n v="7.8849599245638849E-2"/>
    <s v="Hashtags_2"/>
    <x v="2"/>
  </r>
  <r>
    <s v="P275"/>
    <x v="3"/>
    <d v="2024-08-05T00:00:00"/>
    <x v="0"/>
    <s v="Check out our latest reel on facebook!"/>
    <n v="1741"/>
    <n v="831"/>
    <n v="345"/>
    <n v="17410"/>
    <n v="16844"/>
    <n v="58"/>
    <x v="2"/>
    <n v="0.16754738655944859"/>
    <s v="Hashtags Used"/>
    <x v="5"/>
  </r>
  <r>
    <s v="P275"/>
    <x v="3"/>
    <d v="2024-08-05T00:00:00"/>
    <x v="0"/>
    <s v="Check out our latest reel on facebook!"/>
    <n v="1741"/>
    <n v="831"/>
    <n v="345"/>
    <n v="17410"/>
    <n v="16844"/>
    <n v="58"/>
    <x v="2"/>
    <n v="0.16754738655944859"/>
    <s v="Hashtags-1"/>
    <x v="2"/>
  </r>
  <r>
    <s v="P275"/>
    <x v="3"/>
    <d v="2024-08-05T00:00:00"/>
    <x v="0"/>
    <s v="Check out our latest reel on facebook!"/>
    <n v="1741"/>
    <n v="831"/>
    <n v="345"/>
    <n v="17410"/>
    <n v="16844"/>
    <n v="58"/>
    <x v="2"/>
    <n v="0.16754738655944859"/>
    <s v="Hashtags_2"/>
    <x v="2"/>
  </r>
  <r>
    <s v="P276"/>
    <x v="0"/>
    <d v="2024-06-07T00:00:00"/>
    <x v="3"/>
    <s v="Check out our latest carousel on twitter!"/>
    <n v="1556"/>
    <n v="195"/>
    <n v="131"/>
    <n v="9336"/>
    <n v="8875"/>
    <n v="137"/>
    <x v="1"/>
    <n v="0.2015852613538989"/>
    <s v="Hashtags Used"/>
    <x v="3"/>
  </r>
  <r>
    <s v="P276"/>
    <x v="0"/>
    <d v="2024-06-07T00:00:00"/>
    <x v="3"/>
    <s v="Check out our latest carousel on twitter!"/>
    <n v="1556"/>
    <n v="195"/>
    <n v="131"/>
    <n v="9336"/>
    <n v="8875"/>
    <n v="137"/>
    <x v="1"/>
    <n v="0.2015852613538989"/>
    <s v="Hashtags-1"/>
    <x v="2"/>
  </r>
  <r>
    <s v="P276"/>
    <x v="0"/>
    <d v="2024-06-07T00:00:00"/>
    <x v="3"/>
    <s v="Check out our latest carousel on twitter!"/>
    <n v="1556"/>
    <n v="195"/>
    <n v="131"/>
    <n v="9336"/>
    <n v="8875"/>
    <n v="137"/>
    <x v="1"/>
    <n v="0.2015852613538989"/>
    <s v="Hashtags_2"/>
    <x v="2"/>
  </r>
  <r>
    <s v="P277"/>
    <x v="3"/>
    <d v="2025-04-06T00:00:00"/>
    <x v="4"/>
    <s v="Check out our latest image on facebook!"/>
    <n v="4236"/>
    <n v="711"/>
    <n v="298"/>
    <n v="21180"/>
    <n v="20516"/>
    <n v="238"/>
    <x v="0"/>
    <n v="0.24763928234183191"/>
    <s v="Hashtags Used"/>
    <x v="0"/>
  </r>
  <r>
    <s v="P277"/>
    <x v="3"/>
    <d v="2025-04-06T00:00:00"/>
    <x v="4"/>
    <s v="Check out our latest image on facebook!"/>
    <n v="4236"/>
    <n v="711"/>
    <n v="298"/>
    <n v="21180"/>
    <n v="20516"/>
    <n v="238"/>
    <x v="0"/>
    <n v="0.24763928234183191"/>
    <s v="Hashtags-1"/>
    <x v="2"/>
  </r>
  <r>
    <s v="P277"/>
    <x v="3"/>
    <d v="2025-04-06T00:00:00"/>
    <x v="4"/>
    <s v="Check out our latest image on facebook!"/>
    <n v="4236"/>
    <n v="711"/>
    <n v="298"/>
    <n v="21180"/>
    <n v="20516"/>
    <n v="238"/>
    <x v="0"/>
    <n v="0.24763928234183191"/>
    <s v="Hashtags_2"/>
    <x v="2"/>
  </r>
  <r>
    <s v="P278"/>
    <x v="0"/>
    <d v="2024-11-26T00:00:00"/>
    <x v="1"/>
    <s v="Check out our latest text on twitter!"/>
    <n v="4516"/>
    <n v="836"/>
    <n v="169"/>
    <n v="49676"/>
    <n v="49257"/>
    <n v="282"/>
    <x v="3"/>
    <n v="0.11114018842096787"/>
    <s v="Hashtags Used"/>
    <x v="5"/>
  </r>
  <r>
    <s v="P278"/>
    <x v="0"/>
    <d v="2024-11-26T00:00:00"/>
    <x v="1"/>
    <s v="Check out our latest text on twitter!"/>
    <n v="4516"/>
    <n v="836"/>
    <n v="169"/>
    <n v="49676"/>
    <n v="49257"/>
    <n v="282"/>
    <x v="3"/>
    <n v="0.11114018842096787"/>
    <s v="Hashtags-1"/>
    <x v="2"/>
  </r>
  <r>
    <s v="P278"/>
    <x v="0"/>
    <d v="2024-11-26T00:00:00"/>
    <x v="1"/>
    <s v="Check out our latest text on twitter!"/>
    <n v="4516"/>
    <n v="836"/>
    <n v="169"/>
    <n v="49676"/>
    <n v="49257"/>
    <n v="282"/>
    <x v="3"/>
    <n v="0.11114018842096787"/>
    <s v="Hashtags_2"/>
    <x v="2"/>
  </r>
  <r>
    <s v="P279"/>
    <x v="1"/>
    <d v="2024-09-02T00:00:00"/>
    <x v="4"/>
    <s v="Check out our latest image on youtube!"/>
    <n v="4905"/>
    <n v="845"/>
    <n v="129"/>
    <n v="98100"/>
    <n v="97772"/>
    <n v="279"/>
    <x v="1"/>
    <n v="5.9928644240570844E-2"/>
    <s v="Hashtags Used"/>
    <x v="3"/>
  </r>
  <r>
    <s v="P279"/>
    <x v="1"/>
    <d v="2024-09-02T00:00:00"/>
    <x v="4"/>
    <s v="Check out our latest image on youtube!"/>
    <n v="4905"/>
    <n v="845"/>
    <n v="129"/>
    <n v="98100"/>
    <n v="97772"/>
    <n v="279"/>
    <x v="1"/>
    <n v="5.9928644240570844E-2"/>
    <s v="Hashtags-1"/>
    <x v="2"/>
  </r>
  <r>
    <s v="P279"/>
    <x v="1"/>
    <d v="2024-09-02T00:00:00"/>
    <x v="4"/>
    <s v="Check out our latest image on youtube!"/>
    <n v="4905"/>
    <n v="845"/>
    <n v="129"/>
    <n v="98100"/>
    <n v="97772"/>
    <n v="279"/>
    <x v="1"/>
    <n v="5.9928644240570844E-2"/>
    <s v="Hashtags_2"/>
    <x v="2"/>
  </r>
  <r>
    <s v="P280"/>
    <x v="1"/>
    <d v="2024-10-21T00:00:00"/>
    <x v="5"/>
    <s v="Check out our latest video on youtube!"/>
    <n v="4275"/>
    <n v="680"/>
    <n v="385"/>
    <n v="64125"/>
    <n v="63650"/>
    <n v="104"/>
    <x v="3"/>
    <n v="8.3274853801169585E-2"/>
    <s v="Hashtags Used"/>
    <x v="5"/>
  </r>
  <r>
    <s v="P280"/>
    <x v="1"/>
    <d v="2024-10-21T00:00:00"/>
    <x v="5"/>
    <s v="Check out our latest video on youtube!"/>
    <n v="4275"/>
    <n v="680"/>
    <n v="385"/>
    <n v="64125"/>
    <n v="63650"/>
    <n v="104"/>
    <x v="3"/>
    <n v="8.3274853801169585E-2"/>
    <s v="Hashtags-1"/>
    <x v="3"/>
  </r>
  <r>
    <s v="P280"/>
    <x v="1"/>
    <d v="2024-10-21T00:00:00"/>
    <x v="5"/>
    <s v="Check out our latest video on youtube!"/>
    <n v="4275"/>
    <n v="680"/>
    <n v="385"/>
    <n v="64125"/>
    <n v="63650"/>
    <n v="104"/>
    <x v="3"/>
    <n v="8.3274853801169585E-2"/>
    <s v="Hashtags_2"/>
    <x v="1"/>
  </r>
  <r>
    <s v="P281"/>
    <x v="1"/>
    <d v="2025-03-22T00:00:00"/>
    <x v="4"/>
    <s v="Check out our latest image on youtube!"/>
    <n v="3166"/>
    <n v="90"/>
    <n v="341"/>
    <n v="56988"/>
    <n v="56125"/>
    <n v="135"/>
    <x v="1"/>
    <n v="6.3118551273952411E-2"/>
    <s v="Hashtags Used"/>
    <x v="5"/>
  </r>
  <r>
    <s v="P281"/>
    <x v="1"/>
    <d v="2025-03-22T00:00:00"/>
    <x v="4"/>
    <s v="Check out our latest image on youtube!"/>
    <n v="3166"/>
    <n v="90"/>
    <n v="341"/>
    <n v="56988"/>
    <n v="56125"/>
    <n v="135"/>
    <x v="1"/>
    <n v="6.3118551273952411E-2"/>
    <s v="Hashtags-1"/>
    <x v="2"/>
  </r>
  <r>
    <s v="P281"/>
    <x v="1"/>
    <d v="2025-03-22T00:00:00"/>
    <x v="4"/>
    <s v="Check out our latest image on youtube!"/>
    <n v="3166"/>
    <n v="90"/>
    <n v="341"/>
    <n v="56988"/>
    <n v="56125"/>
    <n v="135"/>
    <x v="1"/>
    <n v="6.3118551273952411E-2"/>
    <s v="Hashtags_2"/>
    <x v="2"/>
  </r>
  <r>
    <s v="P282"/>
    <x v="2"/>
    <d v="2024-10-03T00:00:00"/>
    <x v="5"/>
    <s v="Check out our latest video on instagram!"/>
    <n v="1488"/>
    <n v="417"/>
    <n v="168"/>
    <n v="19344"/>
    <n v="18395"/>
    <n v="30"/>
    <x v="2"/>
    <n v="0.1071650124069479"/>
    <s v="Hashtags Used"/>
    <x v="0"/>
  </r>
  <r>
    <s v="P282"/>
    <x v="2"/>
    <d v="2024-10-03T00:00:00"/>
    <x v="5"/>
    <s v="Check out our latest video on instagram!"/>
    <n v="1488"/>
    <n v="417"/>
    <n v="168"/>
    <n v="19344"/>
    <n v="18395"/>
    <n v="30"/>
    <x v="2"/>
    <n v="0.1071650124069479"/>
    <s v="Hashtags-1"/>
    <x v="2"/>
  </r>
  <r>
    <s v="P282"/>
    <x v="2"/>
    <d v="2024-10-03T00:00:00"/>
    <x v="5"/>
    <s v="Check out our latest video on instagram!"/>
    <n v="1488"/>
    <n v="417"/>
    <n v="168"/>
    <n v="19344"/>
    <n v="18395"/>
    <n v="30"/>
    <x v="2"/>
    <n v="0.1071650124069479"/>
    <s v="Hashtags_2"/>
    <x v="2"/>
  </r>
  <r>
    <s v="P283"/>
    <x v="0"/>
    <d v="2025-05-09T00:00:00"/>
    <x v="0"/>
    <s v="Check out our latest reel on twitter!"/>
    <n v="3367"/>
    <n v="302"/>
    <n v="57"/>
    <n v="63973"/>
    <n v="63789"/>
    <n v="157"/>
    <x v="1"/>
    <n v="5.8243321401216137E-2"/>
    <s v="Hashtags Used"/>
    <x v="0"/>
  </r>
  <r>
    <s v="P283"/>
    <x v="0"/>
    <d v="2025-05-09T00:00:00"/>
    <x v="0"/>
    <s v="Check out our latest reel on twitter!"/>
    <n v="3367"/>
    <n v="302"/>
    <n v="57"/>
    <n v="63973"/>
    <n v="63789"/>
    <n v="157"/>
    <x v="1"/>
    <n v="5.8243321401216137E-2"/>
    <s v="Hashtags-1"/>
    <x v="2"/>
  </r>
  <r>
    <s v="P283"/>
    <x v="0"/>
    <d v="2025-05-09T00:00:00"/>
    <x v="0"/>
    <s v="Check out our latest reel on twitter!"/>
    <n v="3367"/>
    <n v="302"/>
    <n v="57"/>
    <n v="63973"/>
    <n v="63789"/>
    <n v="157"/>
    <x v="1"/>
    <n v="5.8243321401216137E-2"/>
    <s v="Hashtags_2"/>
    <x v="2"/>
  </r>
  <r>
    <s v="P284"/>
    <x v="0"/>
    <d v="2024-09-17T00:00:00"/>
    <x v="1"/>
    <s v="Check out our latest text on twitter!"/>
    <n v="571"/>
    <n v="190"/>
    <n v="352"/>
    <n v="9707"/>
    <n v="9418"/>
    <n v="231"/>
    <x v="3"/>
    <n v="0.11465952405480581"/>
    <s v="Hashtags Used"/>
    <x v="3"/>
  </r>
  <r>
    <s v="P284"/>
    <x v="0"/>
    <d v="2024-09-17T00:00:00"/>
    <x v="1"/>
    <s v="Check out our latest text on twitter!"/>
    <n v="571"/>
    <n v="190"/>
    <n v="352"/>
    <n v="9707"/>
    <n v="9418"/>
    <n v="231"/>
    <x v="3"/>
    <n v="0.11465952405480581"/>
    <s v="Hashtags-1"/>
    <x v="2"/>
  </r>
  <r>
    <s v="P284"/>
    <x v="0"/>
    <d v="2024-09-17T00:00:00"/>
    <x v="1"/>
    <s v="Check out our latest text on twitter!"/>
    <n v="571"/>
    <n v="190"/>
    <n v="352"/>
    <n v="9707"/>
    <n v="9418"/>
    <n v="231"/>
    <x v="3"/>
    <n v="0.11465952405480581"/>
    <s v="Hashtags_2"/>
    <x v="2"/>
  </r>
  <r>
    <s v="P285"/>
    <x v="1"/>
    <d v="2024-07-18T00:00:00"/>
    <x v="1"/>
    <s v="Check out our latest text on youtube!"/>
    <n v="4021"/>
    <n v="794"/>
    <n v="77"/>
    <n v="36189"/>
    <n v="35505"/>
    <n v="174"/>
    <x v="4"/>
    <n v="0.13517919809886983"/>
    <s v="Hashtags Used"/>
    <x v="5"/>
  </r>
  <r>
    <s v="P285"/>
    <x v="1"/>
    <d v="2024-07-18T00:00:00"/>
    <x v="1"/>
    <s v="Check out our latest text on youtube!"/>
    <n v="4021"/>
    <n v="794"/>
    <n v="77"/>
    <n v="36189"/>
    <n v="35505"/>
    <n v="174"/>
    <x v="4"/>
    <n v="0.13517919809886983"/>
    <s v="Hashtags-1"/>
    <x v="2"/>
  </r>
  <r>
    <s v="P285"/>
    <x v="1"/>
    <d v="2024-07-18T00:00:00"/>
    <x v="1"/>
    <s v="Check out our latest text on youtube!"/>
    <n v="4021"/>
    <n v="794"/>
    <n v="77"/>
    <n v="36189"/>
    <n v="35505"/>
    <n v="174"/>
    <x v="4"/>
    <n v="0.13517919809886983"/>
    <s v="Hashtags_2"/>
    <x v="2"/>
  </r>
  <r>
    <s v="P286"/>
    <x v="1"/>
    <d v="2024-09-25T00:00:00"/>
    <x v="5"/>
    <s v="Check out our latest video on youtube!"/>
    <n v="3389"/>
    <n v="344"/>
    <n v="229"/>
    <n v="20334"/>
    <n v="19443"/>
    <n v="228"/>
    <x v="2"/>
    <n v="0.19484607062063539"/>
    <s v="Hashtags Used"/>
    <x v="0"/>
  </r>
  <r>
    <s v="P286"/>
    <x v="1"/>
    <d v="2024-09-25T00:00:00"/>
    <x v="5"/>
    <s v="Check out our latest video on youtube!"/>
    <n v="3389"/>
    <n v="344"/>
    <n v="229"/>
    <n v="20334"/>
    <n v="19443"/>
    <n v="228"/>
    <x v="2"/>
    <n v="0.19484607062063539"/>
    <s v="Hashtags-1"/>
    <x v="2"/>
  </r>
  <r>
    <s v="P286"/>
    <x v="1"/>
    <d v="2024-09-25T00:00:00"/>
    <x v="5"/>
    <s v="Check out our latest video on youtube!"/>
    <n v="3389"/>
    <n v="344"/>
    <n v="229"/>
    <n v="20334"/>
    <n v="19443"/>
    <n v="228"/>
    <x v="2"/>
    <n v="0.19484607062063539"/>
    <s v="Hashtags_2"/>
    <x v="2"/>
  </r>
  <r>
    <s v="P287"/>
    <x v="2"/>
    <d v="2024-08-15T00:00:00"/>
    <x v="0"/>
    <s v="Check out our latest reel on instagram!"/>
    <n v="1164"/>
    <n v="616"/>
    <n v="324"/>
    <n v="6984"/>
    <n v="6636"/>
    <n v="82"/>
    <x v="0"/>
    <n v="0.30126002290950743"/>
    <s v="Hashtags Used"/>
    <x v="5"/>
  </r>
  <r>
    <s v="P287"/>
    <x v="2"/>
    <d v="2024-08-15T00:00:00"/>
    <x v="0"/>
    <s v="Check out our latest reel on instagram!"/>
    <n v="1164"/>
    <n v="616"/>
    <n v="324"/>
    <n v="6984"/>
    <n v="6636"/>
    <n v="82"/>
    <x v="0"/>
    <n v="0.30126002290950743"/>
    <s v="Hashtags-1"/>
    <x v="2"/>
  </r>
  <r>
    <s v="P287"/>
    <x v="2"/>
    <d v="2024-08-15T00:00:00"/>
    <x v="0"/>
    <s v="Check out our latest reel on instagram!"/>
    <n v="1164"/>
    <n v="616"/>
    <n v="324"/>
    <n v="6984"/>
    <n v="6636"/>
    <n v="82"/>
    <x v="0"/>
    <n v="0.30126002290950743"/>
    <s v="Hashtags_2"/>
    <x v="2"/>
  </r>
  <r>
    <s v="P288"/>
    <x v="1"/>
    <d v="2025-04-17T00:00:00"/>
    <x v="3"/>
    <s v="Check out our latest carousel on youtube!"/>
    <n v="4780"/>
    <n v="691"/>
    <n v="380"/>
    <n v="86040"/>
    <n v="85743"/>
    <n v="262"/>
    <x v="2"/>
    <n v="6.800325430032543E-2"/>
    <s v="Hashtags Used"/>
    <x v="0"/>
  </r>
  <r>
    <s v="P288"/>
    <x v="1"/>
    <d v="2025-04-17T00:00:00"/>
    <x v="3"/>
    <s v="Check out our latest carousel on youtube!"/>
    <n v="4780"/>
    <n v="691"/>
    <n v="380"/>
    <n v="86040"/>
    <n v="85743"/>
    <n v="262"/>
    <x v="2"/>
    <n v="6.800325430032543E-2"/>
    <s v="Hashtags-1"/>
    <x v="2"/>
  </r>
  <r>
    <s v="P288"/>
    <x v="1"/>
    <d v="2025-04-17T00:00:00"/>
    <x v="3"/>
    <s v="Check out our latest carousel on youtube!"/>
    <n v="4780"/>
    <n v="691"/>
    <n v="380"/>
    <n v="86040"/>
    <n v="85743"/>
    <n v="262"/>
    <x v="2"/>
    <n v="6.800325430032543E-2"/>
    <s v="Hashtags_2"/>
    <x v="2"/>
  </r>
  <r>
    <s v="P289"/>
    <x v="3"/>
    <d v="2024-11-28T00:00:00"/>
    <x v="3"/>
    <s v="Check out our latest carousel on facebook!"/>
    <n v="2751"/>
    <n v="33"/>
    <n v="430"/>
    <n v="44016"/>
    <n v="43415"/>
    <n v="129"/>
    <x v="4"/>
    <n v="7.3018902217375503E-2"/>
    <s v="Hashtags Used"/>
    <x v="0"/>
  </r>
  <r>
    <s v="P289"/>
    <x v="3"/>
    <d v="2024-11-28T00:00:00"/>
    <x v="3"/>
    <s v="Check out our latest carousel on facebook!"/>
    <n v="2751"/>
    <n v="33"/>
    <n v="430"/>
    <n v="44016"/>
    <n v="43415"/>
    <n v="129"/>
    <x v="4"/>
    <n v="7.3018902217375503E-2"/>
    <s v="Hashtags-1"/>
    <x v="2"/>
  </r>
  <r>
    <s v="P289"/>
    <x v="3"/>
    <d v="2024-11-28T00:00:00"/>
    <x v="3"/>
    <s v="Check out our latest carousel on facebook!"/>
    <n v="2751"/>
    <n v="33"/>
    <n v="430"/>
    <n v="44016"/>
    <n v="43415"/>
    <n v="129"/>
    <x v="4"/>
    <n v="7.3018902217375503E-2"/>
    <s v="Hashtags_2"/>
    <x v="2"/>
  </r>
  <r>
    <s v="P290"/>
    <x v="2"/>
    <d v="2024-12-20T00:00:00"/>
    <x v="3"/>
    <s v="Check out our latest carousel on instagram!"/>
    <n v="2107"/>
    <n v="550"/>
    <n v="349"/>
    <n v="35819"/>
    <n v="35340"/>
    <n v="191"/>
    <x v="3"/>
    <n v="8.3921940869371006E-2"/>
    <s v="Hashtags Used"/>
    <x v="5"/>
  </r>
  <r>
    <s v="P290"/>
    <x v="2"/>
    <d v="2024-12-20T00:00:00"/>
    <x v="3"/>
    <s v="Check out our latest carousel on instagram!"/>
    <n v="2107"/>
    <n v="550"/>
    <n v="349"/>
    <n v="35819"/>
    <n v="35340"/>
    <n v="191"/>
    <x v="3"/>
    <n v="8.3921940869371006E-2"/>
    <s v="Hashtags-1"/>
    <x v="2"/>
  </r>
  <r>
    <s v="P290"/>
    <x v="2"/>
    <d v="2024-12-20T00:00:00"/>
    <x v="3"/>
    <s v="Check out our latest carousel on instagram!"/>
    <n v="2107"/>
    <n v="550"/>
    <n v="349"/>
    <n v="35819"/>
    <n v="35340"/>
    <n v="191"/>
    <x v="3"/>
    <n v="8.3921940869371006E-2"/>
    <s v="Hashtags_2"/>
    <x v="2"/>
  </r>
  <r>
    <s v="P291"/>
    <x v="3"/>
    <d v="2024-11-06T00:00:00"/>
    <x v="5"/>
    <s v="Check out our latest video on facebook!"/>
    <n v="4663"/>
    <n v="145"/>
    <n v="225"/>
    <n v="69945"/>
    <n v="69596"/>
    <n v="35"/>
    <x v="3"/>
    <n v="7.1956537279290869E-2"/>
    <s v="Hashtags Used"/>
    <x v="5"/>
  </r>
  <r>
    <s v="P291"/>
    <x v="3"/>
    <d v="2024-11-06T00:00:00"/>
    <x v="5"/>
    <s v="Check out our latest video on facebook!"/>
    <n v="4663"/>
    <n v="145"/>
    <n v="225"/>
    <n v="69945"/>
    <n v="69596"/>
    <n v="35"/>
    <x v="3"/>
    <n v="7.1956537279290869E-2"/>
    <s v="Hashtags-1"/>
    <x v="2"/>
  </r>
  <r>
    <s v="P291"/>
    <x v="3"/>
    <d v="2024-11-06T00:00:00"/>
    <x v="5"/>
    <s v="Check out our latest video on facebook!"/>
    <n v="4663"/>
    <n v="145"/>
    <n v="225"/>
    <n v="69945"/>
    <n v="69596"/>
    <n v="35"/>
    <x v="3"/>
    <n v="7.1956537279290869E-2"/>
    <s v="Hashtags_2"/>
    <x v="2"/>
  </r>
  <r>
    <s v="P292"/>
    <x v="3"/>
    <d v="2024-11-17T00:00:00"/>
    <x v="1"/>
    <s v="Check out our latest text on facebook!"/>
    <n v="880"/>
    <n v="297"/>
    <n v="345"/>
    <n v="12320"/>
    <n v="11978"/>
    <n v="238"/>
    <x v="4"/>
    <n v="0.12353896103896105"/>
    <s v="Hashtags Used"/>
    <x v="3"/>
  </r>
  <r>
    <s v="P292"/>
    <x v="3"/>
    <d v="2024-11-17T00:00:00"/>
    <x v="1"/>
    <s v="Check out our latest text on facebook!"/>
    <n v="880"/>
    <n v="297"/>
    <n v="345"/>
    <n v="12320"/>
    <n v="11978"/>
    <n v="238"/>
    <x v="4"/>
    <n v="0.12353896103896105"/>
    <s v="Hashtags-1"/>
    <x v="1"/>
  </r>
  <r>
    <s v="P292"/>
    <x v="3"/>
    <d v="2024-11-17T00:00:00"/>
    <x v="1"/>
    <s v="Check out our latest text on facebook!"/>
    <n v="880"/>
    <n v="297"/>
    <n v="345"/>
    <n v="12320"/>
    <n v="11978"/>
    <n v="238"/>
    <x v="4"/>
    <n v="0.12353896103896105"/>
    <s v="Hashtags_2"/>
    <x v="2"/>
  </r>
  <r>
    <s v="P293"/>
    <x v="3"/>
    <d v="2025-05-14T00:00:00"/>
    <x v="1"/>
    <s v="Check out our latest text on facebook!"/>
    <n v="2634"/>
    <n v="726"/>
    <n v="241"/>
    <n v="28974"/>
    <n v="28102"/>
    <n v="277"/>
    <x v="0"/>
    <n v="0.12428384068475185"/>
    <s v="Hashtags Used"/>
    <x v="5"/>
  </r>
  <r>
    <s v="P293"/>
    <x v="3"/>
    <d v="2025-05-14T00:00:00"/>
    <x v="1"/>
    <s v="Check out our latest text on facebook!"/>
    <n v="2634"/>
    <n v="726"/>
    <n v="241"/>
    <n v="28974"/>
    <n v="28102"/>
    <n v="277"/>
    <x v="0"/>
    <n v="0.12428384068475185"/>
    <s v="Hashtags-1"/>
    <x v="2"/>
  </r>
  <r>
    <s v="P293"/>
    <x v="3"/>
    <d v="2025-05-14T00:00:00"/>
    <x v="1"/>
    <s v="Check out our latest text on facebook!"/>
    <n v="2634"/>
    <n v="726"/>
    <n v="241"/>
    <n v="28974"/>
    <n v="28102"/>
    <n v="277"/>
    <x v="0"/>
    <n v="0.12428384068475185"/>
    <s v="Hashtags_2"/>
    <x v="2"/>
  </r>
  <r>
    <s v="P294"/>
    <x v="3"/>
    <d v="2024-06-19T00:00:00"/>
    <x v="3"/>
    <s v="Check out our latest carousel on facebook!"/>
    <n v="4731"/>
    <n v="173"/>
    <n v="276"/>
    <n v="28386"/>
    <n v="28185"/>
    <n v="89"/>
    <x v="2"/>
    <n v="0.18248432325794406"/>
    <s v="Hashtags Used"/>
    <x v="5"/>
  </r>
  <r>
    <s v="P294"/>
    <x v="3"/>
    <d v="2024-06-19T00:00:00"/>
    <x v="3"/>
    <s v="Check out our latest carousel on facebook!"/>
    <n v="4731"/>
    <n v="173"/>
    <n v="276"/>
    <n v="28386"/>
    <n v="28185"/>
    <n v="89"/>
    <x v="2"/>
    <n v="0.18248432325794406"/>
    <s v="Hashtags-1"/>
    <x v="2"/>
  </r>
  <r>
    <s v="P294"/>
    <x v="3"/>
    <d v="2024-06-19T00:00:00"/>
    <x v="3"/>
    <s v="Check out our latest carousel on facebook!"/>
    <n v="4731"/>
    <n v="173"/>
    <n v="276"/>
    <n v="28386"/>
    <n v="28185"/>
    <n v="89"/>
    <x v="2"/>
    <n v="0.18248432325794406"/>
    <s v="Hashtags_2"/>
    <x v="2"/>
  </r>
  <r>
    <s v="P295"/>
    <x v="0"/>
    <d v="2025-05-06T00:00:00"/>
    <x v="4"/>
    <s v="Check out our latest image on twitter!"/>
    <n v="1952"/>
    <n v="344"/>
    <n v="287"/>
    <n v="15616"/>
    <n v="15403"/>
    <n v="235"/>
    <x v="1"/>
    <n v="0.16540727459016394"/>
    <s v="Hashtags Used"/>
    <x v="0"/>
  </r>
  <r>
    <s v="P295"/>
    <x v="0"/>
    <d v="2025-05-06T00:00:00"/>
    <x v="4"/>
    <s v="Check out our latest image on twitter!"/>
    <n v="1952"/>
    <n v="344"/>
    <n v="287"/>
    <n v="15616"/>
    <n v="15403"/>
    <n v="235"/>
    <x v="1"/>
    <n v="0.16540727459016394"/>
    <s v="Hashtags-1"/>
    <x v="3"/>
  </r>
  <r>
    <s v="P295"/>
    <x v="0"/>
    <d v="2025-05-06T00:00:00"/>
    <x v="4"/>
    <s v="Check out our latest image on twitter!"/>
    <n v="1952"/>
    <n v="344"/>
    <n v="287"/>
    <n v="15616"/>
    <n v="15403"/>
    <n v="235"/>
    <x v="1"/>
    <n v="0.16540727459016394"/>
    <s v="Hashtags_2"/>
    <x v="1"/>
  </r>
  <r>
    <s v="P296"/>
    <x v="0"/>
    <d v="2025-02-11T00:00:00"/>
    <x v="5"/>
    <s v="Check out our latest video on twitter!"/>
    <n v="3440"/>
    <n v="13"/>
    <n v="20"/>
    <n v="58480"/>
    <n v="58146"/>
    <n v="210"/>
    <x v="3"/>
    <n v="5.9387824897400819E-2"/>
    <s v="Hashtags Used"/>
    <x v="3"/>
  </r>
  <r>
    <s v="P296"/>
    <x v="0"/>
    <d v="2025-02-11T00:00:00"/>
    <x v="5"/>
    <s v="Check out our latest video on twitter!"/>
    <n v="3440"/>
    <n v="13"/>
    <n v="20"/>
    <n v="58480"/>
    <n v="58146"/>
    <n v="210"/>
    <x v="3"/>
    <n v="5.9387824897400819E-2"/>
    <s v="Hashtags-1"/>
    <x v="6"/>
  </r>
  <r>
    <s v="P296"/>
    <x v="0"/>
    <d v="2025-02-11T00:00:00"/>
    <x v="5"/>
    <s v="Check out our latest video on twitter!"/>
    <n v="3440"/>
    <n v="13"/>
    <n v="20"/>
    <n v="58480"/>
    <n v="58146"/>
    <n v="210"/>
    <x v="3"/>
    <n v="5.9387824897400819E-2"/>
    <s v="Hashtags_2"/>
    <x v="2"/>
  </r>
  <r>
    <s v="P297"/>
    <x v="0"/>
    <d v="2024-12-24T00:00:00"/>
    <x v="1"/>
    <s v="Check out our latest text on twitter!"/>
    <n v="2166"/>
    <n v="354"/>
    <n v="117"/>
    <n v="10830"/>
    <n v="10245"/>
    <n v="24"/>
    <x v="3"/>
    <n v="0.24349030470914126"/>
    <s v="Hashtags Used"/>
    <x v="5"/>
  </r>
  <r>
    <s v="P297"/>
    <x v="0"/>
    <d v="2024-12-24T00:00:00"/>
    <x v="1"/>
    <s v="Check out our latest text on twitter!"/>
    <n v="2166"/>
    <n v="354"/>
    <n v="117"/>
    <n v="10830"/>
    <n v="10245"/>
    <n v="24"/>
    <x v="3"/>
    <n v="0.24349030470914126"/>
    <s v="Hashtags-1"/>
    <x v="2"/>
  </r>
  <r>
    <s v="P297"/>
    <x v="0"/>
    <d v="2024-12-24T00:00:00"/>
    <x v="1"/>
    <s v="Check out our latest text on twitter!"/>
    <n v="2166"/>
    <n v="354"/>
    <n v="117"/>
    <n v="10830"/>
    <n v="10245"/>
    <n v="24"/>
    <x v="3"/>
    <n v="0.24349030470914126"/>
    <s v="Hashtags_2"/>
    <x v="2"/>
  </r>
  <r>
    <s v="P298"/>
    <x v="3"/>
    <d v="2024-10-24T00:00:00"/>
    <x v="4"/>
    <s v="Check out our latest image on facebook!"/>
    <n v="4303"/>
    <n v="451"/>
    <n v="286"/>
    <n v="86060"/>
    <n v="85823"/>
    <n v="14"/>
    <x v="2"/>
    <n v="5.8563792702765516E-2"/>
    <s v="Hashtags Used"/>
    <x v="3"/>
  </r>
  <r>
    <s v="P298"/>
    <x v="3"/>
    <d v="2024-10-24T00:00:00"/>
    <x v="4"/>
    <s v="Check out our latest image on facebook!"/>
    <n v="4303"/>
    <n v="451"/>
    <n v="286"/>
    <n v="86060"/>
    <n v="85823"/>
    <n v="14"/>
    <x v="2"/>
    <n v="5.8563792702765516E-2"/>
    <s v="Hashtags-1"/>
    <x v="2"/>
  </r>
  <r>
    <s v="P298"/>
    <x v="3"/>
    <d v="2024-10-24T00:00:00"/>
    <x v="4"/>
    <s v="Check out our latest image on facebook!"/>
    <n v="4303"/>
    <n v="451"/>
    <n v="286"/>
    <n v="86060"/>
    <n v="85823"/>
    <n v="14"/>
    <x v="2"/>
    <n v="5.8563792702765516E-2"/>
    <s v="Hashtags_2"/>
    <x v="2"/>
  </r>
  <r>
    <s v="P299"/>
    <x v="3"/>
    <d v="2024-08-26T00:00:00"/>
    <x v="4"/>
    <s v="Check out our latest image on facebook!"/>
    <n v="2581"/>
    <n v="517"/>
    <n v="117"/>
    <n v="23229"/>
    <n v="22331"/>
    <n v="70"/>
    <x v="2"/>
    <n v="0.13840458048129492"/>
    <s v="Hashtags Used"/>
    <x v="0"/>
  </r>
  <r>
    <s v="P299"/>
    <x v="3"/>
    <d v="2024-08-26T00:00:00"/>
    <x v="4"/>
    <s v="Check out our latest image on facebook!"/>
    <n v="2581"/>
    <n v="517"/>
    <n v="117"/>
    <n v="23229"/>
    <n v="22331"/>
    <n v="70"/>
    <x v="2"/>
    <n v="0.13840458048129492"/>
    <s v="Hashtags-1"/>
    <x v="2"/>
  </r>
  <r>
    <s v="P299"/>
    <x v="3"/>
    <d v="2024-08-26T00:00:00"/>
    <x v="4"/>
    <s v="Check out our latest image on facebook!"/>
    <n v="2581"/>
    <n v="517"/>
    <n v="117"/>
    <n v="23229"/>
    <n v="22331"/>
    <n v="70"/>
    <x v="2"/>
    <n v="0.13840458048129492"/>
    <s v="Hashtags_2"/>
    <x v="2"/>
  </r>
  <r>
    <s v="P300"/>
    <x v="0"/>
    <d v="2024-08-31T00:00:00"/>
    <x v="3"/>
    <s v="Check out our latest carousel on twitter!"/>
    <n v="4494"/>
    <n v="717"/>
    <n v="45"/>
    <n v="62916"/>
    <n v="62688"/>
    <n v="191"/>
    <x v="0"/>
    <n v="8.3539958039290485E-2"/>
    <s v="Hashtags Used"/>
    <x v="3"/>
  </r>
  <r>
    <s v="P300"/>
    <x v="0"/>
    <d v="2024-08-31T00:00:00"/>
    <x v="3"/>
    <s v="Check out our latest carousel on twitter!"/>
    <n v="4494"/>
    <n v="717"/>
    <n v="45"/>
    <n v="62916"/>
    <n v="62688"/>
    <n v="191"/>
    <x v="0"/>
    <n v="8.3539958039290485E-2"/>
    <s v="Hashtags-1"/>
    <x v="5"/>
  </r>
  <r>
    <s v="P300"/>
    <x v="0"/>
    <d v="2024-08-31T00:00:00"/>
    <x v="3"/>
    <s v="Check out our latest carousel on twitter!"/>
    <n v="4494"/>
    <n v="717"/>
    <n v="45"/>
    <n v="62916"/>
    <n v="62688"/>
    <n v="191"/>
    <x v="0"/>
    <n v="8.3539958039290485E-2"/>
    <s v="Hashtags_2"/>
    <x v="4"/>
  </r>
  <r>
    <m/>
    <x v="4"/>
    <m/>
    <x v="6"/>
    <m/>
    <m/>
    <m/>
    <m/>
    <m/>
    <m/>
    <m/>
    <x v="5"/>
    <m/>
    <m/>
    <x v="7"/>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P001"/>
    <s v="Twitter"/>
    <d v="2024-12-23T00:00:00"/>
    <s v="Reel"/>
    <s v="Check out our latest reel on twitter!"/>
    <n v="1461"/>
    <n v="184"/>
    <n v="344"/>
    <n v="21915"/>
    <n v="21675"/>
    <n v="15"/>
    <s v="#FutureOfDriving"/>
    <s v="#AnytimeIsTeslaTime"/>
    <s v="no data"/>
    <x v="0"/>
    <n v="9.0759753593429152E-2"/>
    <x v="0"/>
  </r>
  <r>
    <s v="P002"/>
    <s v="Twitter"/>
    <d v="2025-04-03T00:00:00"/>
    <s v="Text"/>
    <s v="Check out our latest text on twitter!"/>
    <n v="4054"/>
    <n v="389"/>
    <n v="493"/>
    <n v="64864"/>
    <n v="64383"/>
    <n v="117"/>
    <s v="#TeslaCoInnovation"/>
    <s v="#BetterWithTesla"/>
    <s v="no data"/>
    <x v="1"/>
    <n v="7.6097681302417369E-2"/>
    <x v="0"/>
  </r>
  <r>
    <s v="P003"/>
    <s v="YouTube"/>
    <d v="2025-05-12T00:00:00"/>
    <s v="Reel"/>
    <s v="Check out our latest reel on youtube!"/>
    <n v="2795"/>
    <n v="105"/>
    <n v="49"/>
    <n v="53105"/>
    <n v="52307"/>
    <n v="204"/>
    <s v="#TeslaCoInnovation"/>
    <s v="no data"/>
    <s v="no data"/>
    <x v="2"/>
    <n v="5.5531494209584788E-2"/>
    <x v="1"/>
  </r>
  <r>
    <s v="P004"/>
    <s v="Instagram"/>
    <d v="2024-08-12T00:00:00"/>
    <s v="Story"/>
    <s v="Check out our latest story on instagram!"/>
    <n v="2404"/>
    <n v="363"/>
    <n v="138"/>
    <n v="19232"/>
    <n v="18636"/>
    <n v="128"/>
    <s v="#EVRevolution"/>
    <s v="no data"/>
    <s v="no data"/>
    <x v="3"/>
    <n v="0.15105033277870217"/>
    <x v="0"/>
  </r>
  <r>
    <s v="P005"/>
    <s v="YouTube"/>
    <d v="2024-06-26T00:00:00"/>
    <s v="Reel"/>
    <s v="Check out our latest reel on youtube!"/>
    <n v="3557"/>
    <n v="687"/>
    <n v="424"/>
    <n v="71140"/>
    <n v="70701"/>
    <n v="224"/>
    <s v="#EVRevolution"/>
    <s v="#TeslaCoInnovation"/>
    <s v="no data"/>
    <x v="0"/>
    <n v="6.5617093055946027E-2"/>
    <x v="2"/>
  </r>
  <r>
    <s v="P006"/>
    <s v="Facebook"/>
    <d v="2024-10-31T00:00:00"/>
    <s v="Carousel"/>
    <s v="Check out our latest carousel on facebook!"/>
    <n v="2945"/>
    <n v="930"/>
    <n v="355"/>
    <n v="23560"/>
    <n v="23275"/>
    <n v="256"/>
    <s v="#TeslaCoInnovation"/>
    <s v="no data"/>
    <s v="no data"/>
    <x v="1"/>
    <n v="0.17954159592529711"/>
    <x v="2"/>
  </r>
  <r>
    <s v="P007"/>
    <s v="Twitter"/>
    <d v="2024-06-24T00:00:00"/>
    <s v="Carousel"/>
    <s v="Check out our latest carousel on twitter!"/>
    <n v="3860"/>
    <n v="201"/>
    <n v="279"/>
    <n v="61760"/>
    <n v="61660"/>
    <n v="235"/>
    <s v="#TeslaCoInnovation"/>
    <s v="no data"/>
    <s v="no data"/>
    <x v="1"/>
    <n v="7.0272020725388601E-2"/>
    <x v="2"/>
  </r>
  <r>
    <s v="P008"/>
    <s v="YouTube"/>
    <d v="2024-07-13T00:00:00"/>
    <s v="Image"/>
    <s v="Check out our latest image on youtube!"/>
    <n v="3929"/>
    <n v="262"/>
    <n v="278"/>
    <n v="43219"/>
    <n v="42841"/>
    <n v="39"/>
    <s v="#EVRevolution"/>
    <s v="no data"/>
    <s v="no data"/>
    <x v="3"/>
    <n v="0.10340359564080613"/>
    <x v="0"/>
  </r>
  <r>
    <s v="P009"/>
    <s v="Facebook"/>
    <d v="2024-08-30T00:00:00"/>
    <s v="Text"/>
    <s v="Check out our latest text on facebook!"/>
    <n v="3784"/>
    <n v="808"/>
    <n v="404"/>
    <n v="56760"/>
    <n v="56343"/>
    <n v="131"/>
    <s v="#TeslaCoInnovation"/>
    <s v="no data"/>
    <s v="no data"/>
    <x v="1"/>
    <n v="8.8019732205778717E-2"/>
    <x v="2"/>
  </r>
  <r>
    <s v="P010"/>
    <s v="Facebook"/>
    <d v="2025-03-11T00:00:00"/>
    <s v="Image"/>
    <s v="Check out our latest image on facebook!"/>
    <n v="4241"/>
    <n v="902"/>
    <n v="47"/>
    <n v="72097"/>
    <n v="71598"/>
    <n v="167"/>
    <s v="#TeslaCoInnovation"/>
    <s v="no data"/>
    <s v="no data"/>
    <x v="1"/>
    <n v="7.198635172059864E-2"/>
    <x v="1"/>
  </r>
  <r>
    <s v="P011"/>
    <s v="Instagram"/>
    <d v="2025-02-02T00:00:00"/>
    <s v="Story"/>
    <s v="Check out our latest story on instagram!"/>
    <n v="1792"/>
    <n v="614"/>
    <n v="497"/>
    <n v="25088"/>
    <n v="24675"/>
    <n v="65"/>
    <s v="#FutureOfDriving"/>
    <s v="no data"/>
    <s v="no data"/>
    <x v="3"/>
    <n v="0.11571269132653061"/>
    <x v="0"/>
  </r>
  <r>
    <s v="P012"/>
    <s v="Facebook"/>
    <d v="2024-07-21T00:00:00"/>
    <s v="Reel"/>
    <s v="Check out our latest reel on facebook!"/>
    <n v="1946"/>
    <n v="686"/>
    <n v="377"/>
    <n v="23352"/>
    <n v="22982"/>
    <n v="213"/>
    <s v="#FutureOfDriving"/>
    <s v="no data"/>
    <s v="no data"/>
    <x v="2"/>
    <n v="0.12885405960945528"/>
    <x v="2"/>
  </r>
  <r>
    <s v="P013"/>
    <s v="YouTube"/>
    <d v="2024-11-18T00:00:00"/>
    <s v="Carousel"/>
    <s v="Check out our latest carousel on youtube!"/>
    <n v="1171"/>
    <n v="286"/>
    <n v="231"/>
    <n v="22249"/>
    <n v="21282"/>
    <n v="114"/>
    <s v="#EVRevolution"/>
    <s v="no data"/>
    <s v="no data"/>
    <x v="0"/>
    <n v="7.5868578363072495E-2"/>
    <x v="0"/>
  </r>
  <r>
    <s v="P014"/>
    <s v="Facebook"/>
    <d v="2025-02-16T00:00:00"/>
    <s v="Story"/>
    <s v="Check out our latest story on facebook!"/>
    <n v="4242"/>
    <n v="555"/>
    <n v="131"/>
    <n v="33936"/>
    <n v="33802"/>
    <n v="265"/>
    <s v="#FutureOfDriving"/>
    <s v="no data"/>
    <s v="no data"/>
    <x v="4"/>
    <n v="0.14521452145214522"/>
    <x v="3"/>
  </r>
  <r>
    <s v="P015"/>
    <s v="Facebook"/>
    <d v="2024-10-24T00:00:00"/>
    <s v="Video"/>
    <s v="Check out our latest video on facebook!"/>
    <n v="3888"/>
    <n v="604"/>
    <n v="128"/>
    <n v="77760"/>
    <n v="77167"/>
    <n v="20"/>
    <s v="#FutureOfDriving"/>
    <s v="no data"/>
    <s v="no data"/>
    <x v="0"/>
    <n v="5.941358024691358E-2"/>
    <x v="1"/>
  </r>
  <r>
    <s v="P016"/>
    <s v="Facebook"/>
    <d v="2024-08-26T00:00:00"/>
    <s v="Text"/>
    <s v="Check out our latest text on facebook!"/>
    <n v="3452"/>
    <n v="377"/>
    <n v="360"/>
    <n v="55232"/>
    <n v="55075"/>
    <n v="87"/>
    <s v="#FutureOfDriving"/>
    <s v="no data"/>
    <s v="no data"/>
    <x v="2"/>
    <n v="7.5843713789107758E-2"/>
    <x v="2"/>
  </r>
  <r>
    <s v="P017"/>
    <s v="Facebook"/>
    <d v="2025-05-05T00:00:00"/>
    <s v="Text"/>
    <s v="Check out our latest text on facebook!"/>
    <n v="4441"/>
    <n v="511"/>
    <n v="70"/>
    <n v="53292"/>
    <n v="53082"/>
    <n v="159"/>
    <s v="#EVRevolution"/>
    <s v="no data"/>
    <s v="no data"/>
    <x v="3"/>
    <n v="9.4235532537716729E-2"/>
    <x v="0"/>
  </r>
  <r>
    <s v="P018"/>
    <s v="Instagram"/>
    <d v="2024-08-19T00:00:00"/>
    <s v="Reel"/>
    <s v="Check out our latest reel on instagram!"/>
    <n v="3000"/>
    <n v="382"/>
    <n v="325"/>
    <n v="36000"/>
    <n v="35819"/>
    <n v="19"/>
    <s v="#FutureOfDriving"/>
    <s v="no data"/>
    <s v="no data"/>
    <x v="0"/>
    <n v="0.10297222222222223"/>
    <x v="2"/>
  </r>
  <r>
    <s v="P019"/>
    <s v="Instagram"/>
    <d v="2024-06-23T00:00:00"/>
    <s v="Video"/>
    <s v="Check out our latest video on instagram!"/>
    <n v="1071"/>
    <n v="519"/>
    <n v="22"/>
    <n v="16065"/>
    <n v="15865"/>
    <n v="103"/>
    <s v="#TeslaCoInnovation"/>
    <s v="no data"/>
    <s v="no data"/>
    <x v="3"/>
    <n v="0.10034235916588857"/>
    <x v="1"/>
  </r>
  <r>
    <s v="P020"/>
    <s v="Instagram"/>
    <d v="2024-09-09T00:00:00"/>
    <s v="Carousel"/>
    <s v="Check out our latest carousel on instagram!"/>
    <n v="4054"/>
    <n v="488"/>
    <n v="373"/>
    <n v="77026"/>
    <n v="76881"/>
    <n v="25"/>
    <s v="#TeslaCoInnovation"/>
    <s v="no data"/>
    <s v="no data"/>
    <x v="0"/>
    <n v="6.3809622724794221E-2"/>
    <x v="2"/>
  </r>
  <r>
    <s v="P021"/>
    <s v="Instagram"/>
    <d v="2025-01-04T00:00:00"/>
    <s v="Reel"/>
    <s v="Check out our latest reel on instagram!"/>
    <n v="4838"/>
    <n v="640"/>
    <n v="128"/>
    <n v="72570"/>
    <n v="72396"/>
    <n v="83"/>
    <s v="#FutureOfDriving"/>
    <s v="no data"/>
    <s v="no data"/>
    <x v="3"/>
    <n v="7.7249552156538517E-2"/>
    <x v="0"/>
  </r>
  <r>
    <s v="P022"/>
    <s v="Facebook"/>
    <d v="2025-02-27T00:00:00"/>
    <s v="Text"/>
    <s v="Check out our latest text on facebook!"/>
    <n v="1570"/>
    <n v="187"/>
    <n v="260"/>
    <n v="25120"/>
    <n v="24613"/>
    <n v="133"/>
    <s v="#TeslaCoInnovation"/>
    <s v="no data"/>
    <s v="no data"/>
    <x v="3"/>
    <n v="8.0294585987261149E-2"/>
    <x v="0"/>
  </r>
  <r>
    <s v="P023"/>
    <s v="Facebook"/>
    <d v="2024-11-06T00:00:00"/>
    <s v="Video"/>
    <s v="Check out our latest video on facebook!"/>
    <n v="1606"/>
    <n v="547"/>
    <n v="316"/>
    <n v="32120"/>
    <n v="31736"/>
    <n v="225"/>
    <s v="#TeslaCoInnovation"/>
    <s v="#AnytimeIsTeslaTime"/>
    <s v="no data"/>
    <x v="1"/>
    <n v="7.6867995018679955E-2"/>
    <x v="2"/>
  </r>
  <r>
    <s v="P024"/>
    <s v="Facebook"/>
    <d v="2025-01-23T00:00:00"/>
    <s v="Video"/>
    <s v="Check out our latest video on facebook!"/>
    <n v="3961"/>
    <n v="761"/>
    <n v="131"/>
    <n v="67337"/>
    <n v="66615"/>
    <n v="161"/>
    <s v="#FutureOfDriving"/>
    <s v="no data"/>
    <s v="no data"/>
    <x v="2"/>
    <n v="7.2070332803659209E-2"/>
    <x v="2"/>
  </r>
  <r>
    <s v="P025"/>
    <s v="Twitter"/>
    <d v="2025-04-10T00:00:00"/>
    <s v="Carousel"/>
    <s v="Check out our latest carousel on twitter!"/>
    <n v="3128"/>
    <n v="211"/>
    <n v="197"/>
    <n v="59432"/>
    <n v="59182"/>
    <n v="238"/>
    <s v="#EVRevolution"/>
    <s v="no data"/>
    <s v="no data"/>
    <x v="4"/>
    <n v="5.9496567505720827E-2"/>
    <x v="3"/>
  </r>
  <r>
    <s v="P026"/>
    <s v="YouTube"/>
    <d v="2025-04-05T00:00:00"/>
    <s v="Reel"/>
    <s v="Check out our latest reel on youtube!"/>
    <n v="3009"/>
    <n v="413"/>
    <n v="358"/>
    <n v="42126"/>
    <n v="41309"/>
    <n v="211"/>
    <s v="#FutureOfDriving"/>
    <s v="no data"/>
    <s v="no data"/>
    <x v="1"/>
    <n v="8.9730807577268201E-2"/>
    <x v="0"/>
  </r>
  <r>
    <s v="P027"/>
    <s v="YouTube"/>
    <d v="2024-09-17T00:00:00"/>
    <s v="Text"/>
    <s v="Check out our latest text on youtube!"/>
    <n v="2076"/>
    <n v="195"/>
    <n v="104"/>
    <n v="33216"/>
    <n v="32244"/>
    <n v="51"/>
    <s v="#FutureOfDriving"/>
    <s v="no data"/>
    <s v="no data"/>
    <x v="3"/>
    <n v="7.1501685934489398E-2"/>
    <x v="0"/>
  </r>
  <r>
    <s v="P028"/>
    <s v="Instagram"/>
    <d v="2025-03-04T00:00:00"/>
    <s v="Video"/>
    <s v="Check out our latest video on instagram!"/>
    <n v="432"/>
    <n v="624"/>
    <n v="123"/>
    <n v="6912"/>
    <n v="6259"/>
    <n v="79"/>
    <s v="#FutureOfDriving"/>
    <s v="no data"/>
    <s v="no data"/>
    <x v="3"/>
    <n v="0.17057291666666666"/>
    <x v="0"/>
  </r>
  <r>
    <s v="P029"/>
    <s v="Instagram"/>
    <d v="2025-01-31T00:00:00"/>
    <s v="Carousel"/>
    <s v="Check out our latest carousel on instagram!"/>
    <n v="2566"/>
    <n v="118"/>
    <n v="37"/>
    <n v="12830"/>
    <n v="12264"/>
    <n v="221"/>
    <s v="#FutureOfDriving"/>
    <s v="no data"/>
    <s v="no data"/>
    <x v="2"/>
    <n v="0.21208106001558846"/>
    <x v="2"/>
  </r>
  <r>
    <s v="P030"/>
    <s v="Instagram"/>
    <d v="2025-02-25T00:00:00"/>
    <s v="Video"/>
    <s v="Check out our latest video on instagram!"/>
    <n v="3095"/>
    <n v="39"/>
    <n v="78"/>
    <n v="55710"/>
    <n v="54808"/>
    <n v="93"/>
    <s v="#EVRevolution"/>
    <s v="no data"/>
    <s v="no data"/>
    <x v="4"/>
    <n v="5.7655717106444085E-2"/>
    <x v="3"/>
  </r>
  <r>
    <s v="P031"/>
    <s v="Instagram"/>
    <d v="2024-12-16T00:00:00"/>
    <s v="Text"/>
    <s v="Check out our latest text on instagram!"/>
    <n v="438"/>
    <n v="153"/>
    <n v="275"/>
    <n v="3066"/>
    <n v="2701"/>
    <n v="282"/>
    <s v="#TeslaCoInnovation"/>
    <s v="no data"/>
    <s v="no data"/>
    <x v="1"/>
    <n v="0.28245270711024134"/>
    <x v="2"/>
  </r>
  <r>
    <s v="P032"/>
    <s v="Twitter"/>
    <d v="2024-07-31T00:00:00"/>
    <s v="Carousel"/>
    <s v="Check out our latest carousel on twitter!"/>
    <n v="2278"/>
    <n v="10"/>
    <n v="321"/>
    <n v="13668"/>
    <n v="12676"/>
    <n v="275"/>
    <s v="#EVRevolution"/>
    <s v="no data"/>
    <s v="no data"/>
    <x v="0"/>
    <n v="0.19088381621305239"/>
    <x v="2"/>
  </r>
  <r>
    <s v="P033"/>
    <s v="Facebook"/>
    <d v="2024-08-21T00:00:00"/>
    <s v="Image"/>
    <s v="Check out our latest image on facebook!"/>
    <n v="1407"/>
    <n v="400"/>
    <n v="351"/>
    <n v="16884"/>
    <n v="15954"/>
    <n v="113"/>
    <s v="#TeslaCoInnovation"/>
    <s v="no data"/>
    <s v="no data"/>
    <x v="0"/>
    <n v="0.12781331438047855"/>
    <x v="2"/>
  </r>
  <r>
    <s v="P034"/>
    <s v="Facebook"/>
    <d v="2025-03-26T00:00:00"/>
    <s v="Text"/>
    <s v="Check out our latest text on facebook!"/>
    <n v="1652"/>
    <n v="89"/>
    <n v="357"/>
    <n v="29736"/>
    <n v="28771"/>
    <n v="215"/>
    <s v="#TeslaCoInnovation"/>
    <s v="no data"/>
    <s v="no data"/>
    <x v="2"/>
    <n v="7.055421038471886E-2"/>
    <x v="2"/>
  </r>
  <r>
    <s v="P035"/>
    <s v="Instagram"/>
    <d v="2024-11-30T00:00:00"/>
    <s v="Video"/>
    <s v="Check out our latest video on instagram!"/>
    <n v="3775"/>
    <n v="16"/>
    <n v="239"/>
    <n v="33975"/>
    <n v="33310"/>
    <n v="271"/>
    <s v="#FutureOfDriving"/>
    <s v="no data"/>
    <s v="no data"/>
    <x v="1"/>
    <n v="0.11861662987490802"/>
    <x v="2"/>
  </r>
  <r>
    <s v="P036"/>
    <s v="Instagram"/>
    <d v="2025-04-19T00:00:00"/>
    <s v="Story"/>
    <s v="Check out our latest story on instagram!"/>
    <n v="4518"/>
    <n v="285"/>
    <n v="383"/>
    <n v="67770"/>
    <n v="67621"/>
    <n v="31"/>
    <s v="#EVRevolution"/>
    <s v="no data"/>
    <s v="no data"/>
    <x v="1"/>
    <n v="7.6523535487678915E-2"/>
    <x v="0"/>
  </r>
  <r>
    <s v="P037"/>
    <s v="Facebook"/>
    <d v="2025-01-06T00:00:00"/>
    <s v="Carousel"/>
    <s v="Check out our latest carousel on facebook!"/>
    <n v="3024"/>
    <n v="925"/>
    <n v="350"/>
    <n v="24192"/>
    <n v="23518"/>
    <n v="36"/>
    <s v="#EVRevolution"/>
    <s v="no data"/>
    <s v="no data"/>
    <x v="1"/>
    <n v="0.17770337301587302"/>
    <x v="2"/>
  </r>
  <r>
    <s v="P038"/>
    <s v="YouTube"/>
    <d v="2025-02-17T00:00:00"/>
    <s v="Reel"/>
    <s v="Check out our latest reel on youtube!"/>
    <n v="3138"/>
    <n v="123"/>
    <n v="291"/>
    <n v="28242"/>
    <n v="27550"/>
    <n v="87"/>
    <s v="#TeslaCoInnovation"/>
    <s v="no data"/>
    <s v="no data"/>
    <x v="3"/>
    <n v="0.12577012959422137"/>
    <x v="0"/>
  </r>
  <r>
    <s v="P039"/>
    <s v="Facebook"/>
    <d v="2024-11-25T00:00:00"/>
    <s v="Image"/>
    <s v="Check out our latest image on facebook!"/>
    <n v="3564"/>
    <n v="629"/>
    <n v="177"/>
    <n v="60588"/>
    <n v="59627"/>
    <n v="92"/>
    <s v="#TeslaCoInnovation"/>
    <s v="no data"/>
    <s v="no data"/>
    <x v="4"/>
    <n v="7.2126493695121141E-2"/>
    <x v="3"/>
  </r>
  <r>
    <s v="P040"/>
    <s v="Twitter"/>
    <d v="2025-03-07T00:00:00"/>
    <s v="Image"/>
    <s v="Check out our latest image on twitter!"/>
    <n v="4750"/>
    <n v="151"/>
    <n v="415"/>
    <n v="38000"/>
    <n v="37792"/>
    <n v="299"/>
    <s v="#EVRevolution"/>
    <s v="no data"/>
    <s v="no data"/>
    <x v="3"/>
    <n v="0.13989473684210527"/>
    <x v="0"/>
  </r>
  <r>
    <s v="P041"/>
    <s v="Instagram"/>
    <d v="2025-03-08T00:00:00"/>
    <s v="Reel"/>
    <s v="Check out our latest reel on instagram!"/>
    <n v="456"/>
    <n v="629"/>
    <n v="428"/>
    <n v="8208"/>
    <n v="7377"/>
    <n v="205"/>
    <s v="#FutureOfDriving"/>
    <s v="no data"/>
    <s v="no data"/>
    <x v="3"/>
    <n v="0.18433235867446393"/>
    <x v="0"/>
  </r>
  <r>
    <s v="P042"/>
    <s v="YouTube"/>
    <d v="2025-03-05T00:00:00"/>
    <s v="Reel"/>
    <s v="Check out our latest reel on youtube!"/>
    <n v="1543"/>
    <n v="820"/>
    <n v="333"/>
    <n v="12344"/>
    <n v="11496"/>
    <n v="241"/>
    <s v="#EVRevolution"/>
    <s v="no data"/>
    <s v="no data"/>
    <x v="4"/>
    <n v="0.21840570317563188"/>
    <x v="3"/>
  </r>
  <r>
    <s v="P043"/>
    <s v="Instagram"/>
    <d v="2024-12-14T00:00:00"/>
    <s v="Carousel"/>
    <s v="Check out our latest carousel on instagram!"/>
    <n v="2174"/>
    <n v="658"/>
    <n v="15"/>
    <n v="13044"/>
    <n v="12206"/>
    <n v="137"/>
    <s v="#TeslaCoInnovation"/>
    <s v="no data"/>
    <s v="no data"/>
    <x v="2"/>
    <n v="0.21826126954921804"/>
    <x v="2"/>
  </r>
  <r>
    <s v="P044"/>
    <s v="Twitter"/>
    <d v="2025-03-02T00:00:00"/>
    <s v="Image"/>
    <s v="Check out our latest image on twitter!"/>
    <n v="2358"/>
    <n v="784"/>
    <n v="344"/>
    <n v="35370"/>
    <n v="34475"/>
    <n v="216"/>
    <s v="#TeslaCoInnovation"/>
    <s v="no data"/>
    <s v="no data"/>
    <x v="4"/>
    <n v="9.8558100084817649E-2"/>
    <x v="3"/>
  </r>
  <r>
    <s v="P045"/>
    <s v="Facebook"/>
    <d v="2024-11-01T00:00:00"/>
    <s v="Video"/>
    <s v="Check out our latest video on facebook!"/>
    <n v="3371"/>
    <n v="106"/>
    <n v="327"/>
    <n v="50565"/>
    <n v="49816"/>
    <n v="176"/>
    <s v="#FutureOfDriving"/>
    <s v="no data"/>
    <s v="no data"/>
    <x v="0"/>
    <n v="7.5229902106199939E-2"/>
    <x v="1"/>
  </r>
  <r>
    <s v="P046"/>
    <s v="Twitter"/>
    <d v="2025-05-02T00:00:00"/>
    <s v="Video"/>
    <s v="Check out our latest video on twitter!"/>
    <n v="1108"/>
    <n v="177"/>
    <n v="212"/>
    <n v="8864"/>
    <n v="8710"/>
    <n v="97"/>
    <s v="#TeslaCoInnovation"/>
    <s v="no data"/>
    <s v="no data"/>
    <x v="3"/>
    <n v="0.16888537906137185"/>
    <x v="0"/>
  </r>
  <r>
    <s v="P047"/>
    <s v="Twitter"/>
    <d v="2025-02-24T00:00:00"/>
    <s v="Carousel"/>
    <s v="Check out our latest carousel on twitter!"/>
    <n v="2704"/>
    <n v="752"/>
    <n v="153"/>
    <n v="21632"/>
    <n v="20792"/>
    <n v="127"/>
    <s v="#FutureOfDriving"/>
    <s v="no data"/>
    <s v="no data"/>
    <x v="4"/>
    <n v="0.16683616863905326"/>
    <x v="3"/>
  </r>
  <r>
    <s v="P048"/>
    <s v="Twitter"/>
    <d v="2025-03-11T00:00:00"/>
    <s v="Story"/>
    <s v="Check out our latest story on twitter!"/>
    <n v="1950"/>
    <n v="295"/>
    <n v="478"/>
    <n v="37050"/>
    <n v="36272"/>
    <n v="119"/>
    <s v="#TeslaCoInnovation"/>
    <s v="no data"/>
    <s v="no data"/>
    <x v="4"/>
    <n v="7.349527665317139E-2"/>
    <x v="3"/>
  </r>
  <r>
    <s v="P049"/>
    <s v="Twitter"/>
    <d v="2024-06-10T00:00:00"/>
    <s v="Story"/>
    <s v="Check out our latest story on twitter!"/>
    <n v="2164"/>
    <n v="549"/>
    <n v="274"/>
    <n v="28132"/>
    <n v="27361"/>
    <n v="177"/>
    <s v="#TeslaCoInnovation"/>
    <s v="no data"/>
    <s v="no data"/>
    <x v="3"/>
    <n v="0.10617801791554102"/>
    <x v="1"/>
  </r>
  <r>
    <s v="P050"/>
    <s v="YouTube"/>
    <d v="2024-07-03T00:00:00"/>
    <s v="Story"/>
    <s v="Check out our latest story on youtube!"/>
    <n v="2754"/>
    <n v="130"/>
    <n v="90"/>
    <n v="22032"/>
    <n v="21288"/>
    <n v="112"/>
    <s v="#TeslaCoInnovation"/>
    <s v="no data"/>
    <s v="no data"/>
    <x v="2"/>
    <n v="0.13498547567175018"/>
    <x v="2"/>
  </r>
  <r>
    <s v="P051"/>
    <s v="Facebook"/>
    <d v="2024-06-13T00:00:00"/>
    <s v="Carousel"/>
    <s v="Check out our latest carousel on facebook!"/>
    <n v="2200"/>
    <n v="504"/>
    <n v="239"/>
    <n v="37400"/>
    <n v="36938"/>
    <n v="225"/>
    <s v="#FutureOfDriving"/>
    <s v="no data"/>
    <s v="no data"/>
    <x v="1"/>
    <n v="7.8689839572192513E-2"/>
    <x v="2"/>
  </r>
  <r>
    <s v="P052"/>
    <s v="Facebook"/>
    <d v="2025-01-03T00:00:00"/>
    <s v="Image"/>
    <s v="Check out our latest image on facebook!"/>
    <n v="947"/>
    <n v="338"/>
    <n v="350"/>
    <n v="10417"/>
    <n v="9730"/>
    <n v="34"/>
    <s v="#TeslaCoInnovation"/>
    <s v="no data"/>
    <s v="no data"/>
    <x v="3"/>
    <n v="0.1569549774407219"/>
    <x v="0"/>
  </r>
  <r>
    <s v="P053"/>
    <s v="YouTube"/>
    <d v="2025-02-24T00:00:00"/>
    <s v="Carousel"/>
    <s v="Check out our latest carousel on youtube!"/>
    <n v="804"/>
    <n v="639"/>
    <n v="43"/>
    <n v="4020"/>
    <n v="3144"/>
    <n v="11"/>
    <s v="#EVRevolution"/>
    <s v="#BetterWithTesla"/>
    <s v="no data"/>
    <x v="4"/>
    <n v="0.36965174129353234"/>
    <x v="3"/>
  </r>
  <r>
    <s v="P054"/>
    <s v="YouTube"/>
    <d v="2025-03-13T00:00:00"/>
    <s v="Carousel"/>
    <s v="Check out our latest carousel on youtube!"/>
    <n v="1686"/>
    <n v="904"/>
    <n v="472"/>
    <n v="18546"/>
    <n v="18171"/>
    <n v="52"/>
    <s v="#FutureOfDriving"/>
    <s v="no data"/>
    <s v="no data"/>
    <x v="1"/>
    <n v="0.16510298716704411"/>
    <x v="1"/>
  </r>
  <r>
    <s v="P055"/>
    <s v="Facebook"/>
    <d v="2024-06-17T00:00:00"/>
    <s v="Image"/>
    <s v="Check out our latest image on facebook!"/>
    <n v="1226"/>
    <n v="119"/>
    <n v="7"/>
    <n v="14712"/>
    <n v="14049"/>
    <n v="123"/>
    <s v="#EVRevolution"/>
    <s v="no data"/>
    <s v="no data"/>
    <x v="3"/>
    <n v="9.1897770527460579E-2"/>
    <x v="1"/>
  </r>
  <r>
    <s v="P056"/>
    <s v="Facebook"/>
    <d v="2024-12-18T00:00:00"/>
    <s v="Carousel"/>
    <s v="Check out our latest carousel on facebook!"/>
    <n v="2946"/>
    <n v="498"/>
    <n v="367"/>
    <n v="29460"/>
    <n v="28527"/>
    <n v="60"/>
    <s v="#FutureOfDriving"/>
    <s v="no data"/>
    <s v="no data"/>
    <x v="2"/>
    <n v="0.12936184657162253"/>
    <x v="2"/>
  </r>
  <r>
    <s v="P057"/>
    <s v="Twitter"/>
    <d v="2024-10-21T00:00:00"/>
    <s v="Video"/>
    <s v="Check out our latest video on twitter!"/>
    <n v="2825"/>
    <n v="535"/>
    <n v="295"/>
    <n v="45200"/>
    <n v="44739"/>
    <n v="169"/>
    <s v="#TeslaCoInnovation"/>
    <s v="no data"/>
    <s v="no data"/>
    <x v="0"/>
    <n v="8.0862831858407078E-2"/>
    <x v="1"/>
  </r>
  <r>
    <s v="P058"/>
    <s v="Instagram"/>
    <d v="2025-04-15T00:00:00"/>
    <s v="Reel"/>
    <s v="Check out our latest reel on instagram!"/>
    <n v="103"/>
    <n v="770"/>
    <n v="19"/>
    <n v="1030"/>
    <n v="410"/>
    <n v="262"/>
    <s v="#TeslaCoInnovation"/>
    <s v="no data"/>
    <s v="no data"/>
    <x v="3"/>
    <n v="0.86601941747572819"/>
    <x v="0"/>
  </r>
  <r>
    <s v="P059"/>
    <s v="Instagram"/>
    <d v="2024-06-22T00:00:00"/>
    <s v="Text"/>
    <s v="Check out our latest text on instagram!"/>
    <n v="2180"/>
    <n v="263"/>
    <n v="387"/>
    <n v="30520"/>
    <n v="30059"/>
    <n v="174"/>
    <s v="#EVRevolution"/>
    <s v="no data"/>
    <s v="no data"/>
    <x v="4"/>
    <n v="9.2726081258191345E-2"/>
    <x v="3"/>
  </r>
  <r>
    <s v="P060"/>
    <s v="Instagram"/>
    <d v="2025-01-28T00:00:00"/>
    <s v="Video"/>
    <s v="Check out our latest video on instagram!"/>
    <n v="904"/>
    <n v="973"/>
    <n v="63"/>
    <n v="11752"/>
    <n v="11580"/>
    <n v="84"/>
    <s v="#EVRevolution"/>
    <s v="#TeslaCoInnovation"/>
    <s v="#AnytimeIsTeslaTime"/>
    <x v="2"/>
    <n v="0.1650782845473111"/>
    <x v="2"/>
  </r>
  <r>
    <s v="P061"/>
    <s v="Twitter"/>
    <d v="2024-09-05T00:00:00"/>
    <s v="Video"/>
    <s v="Check out our latest video on twitter!"/>
    <n v="4886"/>
    <n v="983"/>
    <n v="409"/>
    <n v="43974"/>
    <n v="43239"/>
    <n v="65"/>
    <s v="#TeslaCoInnovation"/>
    <s v="no data"/>
    <s v="no data"/>
    <x v="0"/>
    <n v="0.14276618001546368"/>
    <x v="2"/>
  </r>
  <r>
    <s v="P062"/>
    <s v="Twitter"/>
    <d v="2024-11-22T00:00:00"/>
    <s v="Carousel"/>
    <s v="Check out our latest carousel on twitter!"/>
    <n v="53"/>
    <n v="81"/>
    <n v="379"/>
    <n v="954"/>
    <n v="7"/>
    <n v="148"/>
    <s v="#TeslaCoInnovation"/>
    <s v="no data"/>
    <s v="no data"/>
    <x v="2"/>
    <n v="0.53773584905660377"/>
    <x v="2"/>
  </r>
  <r>
    <s v="P063"/>
    <s v="Twitter"/>
    <d v="2024-07-31T00:00:00"/>
    <s v="Carousel"/>
    <s v="Check out our latest carousel on twitter!"/>
    <n v="4507"/>
    <n v="217"/>
    <n v="13"/>
    <n v="90140"/>
    <n v="89591"/>
    <n v="125"/>
    <s v="#FutureOfDriving"/>
    <s v="no data"/>
    <s v="no data"/>
    <x v="2"/>
    <n v="5.2551586421122697E-2"/>
    <x v="2"/>
  </r>
  <r>
    <s v="P064"/>
    <s v="Facebook"/>
    <d v="2024-08-17T00:00:00"/>
    <s v="Image"/>
    <s v="Check out our latest image on facebook!"/>
    <n v="2878"/>
    <n v="248"/>
    <n v="416"/>
    <n v="43170"/>
    <n v="42667"/>
    <n v="75"/>
    <s v="#FutureOfDriving"/>
    <s v="no data"/>
    <s v="no data"/>
    <x v="2"/>
    <n v="8.2047718322909427E-2"/>
    <x v="2"/>
  </r>
  <r>
    <s v="P065"/>
    <s v="Instagram"/>
    <d v="2025-03-28T00:00:00"/>
    <s v="Story"/>
    <s v="Check out our latest story on instagram!"/>
    <n v="1881"/>
    <n v="501"/>
    <n v="99"/>
    <n v="20691"/>
    <n v="19987"/>
    <n v="289"/>
    <s v="#EVRevolution"/>
    <s v="no data"/>
    <s v="no data"/>
    <x v="4"/>
    <n v="0.11990720603160794"/>
    <x v="3"/>
  </r>
  <r>
    <s v="P066"/>
    <s v="Twitter"/>
    <d v="2024-07-26T00:00:00"/>
    <s v="Carousel"/>
    <s v="Check out our latest carousel on twitter!"/>
    <n v="432"/>
    <n v="171"/>
    <n v="280"/>
    <n v="3024"/>
    <n v="2285"/>
    <n v="184"/>
    <s v="#EVRevolution"/>
    <s v="no data"/>
    <s v="no data"/>
    <x v="0"/>
    <n v="0.29199735449735448"/>
    <x v="2"/>
  </r>
  <r>
    <s v="P067"/>
    <s v="Facebook"/>
    <d v="2025-03-29T00:00:00"/>
    <s v="Carousel"/>
    <s v="Check out our latest carousel on facebook!"/>
    <n v="4712"/>
    <n v="568"/>
    <n v="127"/>
    <n v="84816"/>
    <n v="84691"/>
    <n v="100"/>
    <s v="#EVRevolution"/>
    <s v="no data"/>
    <s v="no data"/>
    <x v="2"/>
    <n v="6.3749764195434822E-2"/>
    <x v="2"/>
  </r>
  <r>
    <s v="P068"/>
    <s v="Instagram"/>
    <d v="2024-12-08T00:00:00"/>
    <s v="Story"/>
    <s v="Check out our latest story on instagram!"/>
    <n v="2610"/>
    <n v="126"/>
    <n v="288"/>
    <n v="15660"/>
    <n v="15145"/>
    <n v="73"/>
    <s v="#EVRevolution"/>
    <s v="no data"/>
    <s v="no data"/>
    <x v="4"/>
    <n v="0.19310344827586207"/>
    <x v="3"/>
  </r>
  <r>
    <s v="P069"/>
    <s v="Twitter"/>
    <d v="2025-03-08T00:00:00"/>
    <s v="Text"/>
    <s v="Check out our latest text on twitter!"/>
    <n v="1292"/>
    <n v="626"/>
    <n v="496"/>
    <n v="25840"/>
    <n v="24916"/>
    <n v="149"/>
    <s v="#FutureOfDriving"/>
    <s v="no data"/>
    <s v="no data"/>
    <x v="2"/>
    <n v="9.3421052631578946E-2"/>
    <x v="2"/>
  </r>
  <r>
    <s v="P070"/>
    <s v="Facebook"/>
    <d v="2025-04-02T00:00:00"/>
    <s v="Video"/>
    <s v="Check out our latest video on facebook!"/>
    <n v="199"/>
    <n v="772"/>
    <n v="400"/>
    <n v="3582"/>
    <n v="2988"/>
    <n v="43"/>
    <s v="#TeslaCoInnovation"/>
    <s v="no data"/>
    <s v="no data"/>
    <x v="4"/>
    <n v="0.38274706867671693"/>
    <x v="3"/>
  </r>
  <r>
    <s v="P071"/>
    <s v="YouTube"/>
    <d v="2024-09-02T00:00:00"/>
    <s v="Carousel"/>
    <s v="Check out our latest carousel on youtube!"/>
    <n v="2551"/>
    <n v="915"/>
    <n v="205"/>
    <n v="30612"/>
    <n v="30360"/>
    <n v="227"/>
    <s v="#TeslaCoInnovation"/>
    <s v="no data"/>
    <s v="no data"/>
    <x v="1"/>
    <n v="0.1199202926956749"/>
    <x v="2"/>
  </r>
  <r>
    <s v="P072"/>
    <s v="YouTube"/>
    <d v="2025-03-03T00:00:00"/>
    <s v="Reel"/>
    <s v="Check out our latest reel on youtube!"/>
    <n v="296"/>
    <n v="60"/>
    <n v="141"/>
    <n v="5624"/>
    <n v="5239"/>
    <n v="88"/>
    <s v="#EVRevolution"/>
    <s v="no data"/>
    <s v="no data"/>
    <x v="1"/>
    <n v="8.837126600284495E-2"/>
    <x v="1"/>
  </r>
  <r>
    <s v="P073"/>
    <s v="Facebook"/>
    <d v="2024-10-18T00:00:00"/>
    <s v="Story"/>
    <s v="Check out our latest story on facebook!"/>
    <n v="4126"/>
    <n v="426"/>
    <n v="486"/>
    <n v="78394"/>
    <n v="77798"/>
    <n v="88"/>
    <s v="#FutureOfDriving"/>
    <s v="no data"/>
    <s v="no data"/>
    <x v="3"/>
    <n v="6.4265122330790625E-2"/>
    <x v="0"/>
  </r>
  <r>
    <s v="P074"/>
    <s v="YouTube"/>
    <d v="2024-10-28T00:00:00"/>
    <s v="Reel"/>
    <s v="Check out our latest reel on youtube!"/>
    <n v="1855"/>
    <n v="200"/>
    <n v="174"/>
    <n v="16695"/>
    <n v="16330"/>
    <n v="123"/>
    <s v="#TeslaCoInnovation"/>
    <s v="no data"/>
    <s v="no data"/>
    <x v="2"/>
    <n v="0.13351302785265048"/>
    <x v="2"/>
  </r>
  <r>
    <s v="P075"/>
    <s v="Instagram"/>
    <d v="2024-08-01T00:00:00"/>
    <s v="Reel"/>
    <s v="Check out our latest reel on instagram!"/>
    <n v="1674"/>
    <n v="929"/>
    <n v="37"/>
    <n v="21762"/>
    <n v="20998"/>
    <n v="255"/>
    <s v="#TeslaCoInnovation"/>
    <s v="no data"/>
    <s v="no data"/>
    <x v="3"/>
    <n v="0.12131237937689551"/>
    <x v="0"/>
  </r>
  <r>
    <s v="P076"/>
    <s v="Twitter"/>
    <d v="2024-11-07T00:00:00"/>
    <s v="Story"/>
    <s v="Check out our latest story on twitter!"/>
    <n v="1121"/>
    <n v="135"/>
    <n v="18"/>
    <n v="15694"/>
    <n v="14957"/>
    <n v="99"/>
    <s v="#TeslaCoInnovation"/>
    <s v="no data"/>
    <s v="no data"/>
    <x v="3"/>
    <n v="8.1177520071364848E-2"/>
    <x v="0"/>
  </r>
  <r>
    <s v="P077"/>
    <s v="Facebook"/>
    <d v="2025-03-04T00:00:00"/>
    <s v="Story"/>
    <s v="Check out our latest story on facebook!"/>
    <n v="1249"/>
    <n v="116"/>
    <n v="420"/>
    <n v="8743"/>
    <n v="8538"/>
    <n v="63"/>
    <s v="#TeslaCoInnovation"/>
    <s v="no data"/>
    <s v="no data"/>
    <x v="4"/>
    <n v="0.20416333066453163"/>
    <x v="3"/>
  </r>
  <r>
    <s v="P078"/>
    <s v="Twitter"/>
    <d v="2024-06-17T00:00:00"/>
    <s v="Image"/>
    <s v="Check out our latest image on twitter!"/>
    <n v="954"/>
    <n v="324"/>
    <n v="288"/>
    <n v="19080"/>
    <n v="18859"/>
    <n v="21"/>
    <s v="#FutureOfDriving"/>
    <s v="no data"/>
    <s v="no data"/>
    <x v="3"/>
    <n v="8.2075471698113203E-2"/>
    <x v="1"/>
  </r>
  <r>
    <s v="P079"/>
    <s v="Instagram"/>
    <d v="2024-10-09T00:00:00"/>
    <s v="Carousel"/>
    <s v="Check out our latest carousel on instagram!"/>
    <n v="3068"/>
    <n v="137"/>
    <n v="329"/>
    <n v="39884"/>
    <n v="39404"/>
    <n v="266"/>
    <s v="#EVRevolution"/>
    <s v="no data"/>
    <s v="no data"/>
    <x v="1"/>
    <n v="8.860696018453515E-2"/>
    <x v="2"/>
  </r>
  <r>
    <s v="P080"/>
    <s v="Instagram"/>
    <d v="2024-06-13T00:00:00"/>
    <s v="Story"/>
    <s v="Check out our latest story on instagram!"/>
    <n v="2103"/>
    <n v="892"/>
    <n v="103"/>
    <n v="39957"/>
    <n v="39466"/>
    <n v="28"/>
    <s v="#FutureOfDriving"/>
    <s v="no data"/>
    <s v="no data"/>
    <x v="4"/>
    <n v="7.7533348349475686E-2"/>
    <x v="3"/>
  </r>
  <r>
    <s v="P081"/>
    <s v="Instagram"/>
    <d v="2024-10-19T00:00:00"/>
    <s v="Story"/>
    <s v="Check out our latest story on instagram!"/>
    <n v="1816"/>
    <n v="29"/>
    <n v="41"/>
    <n v="19976"/>
    <n v="19262"/>
    <n v="283"/>
    <s v="#TeslaCoInnovation"/>
    <s v="no data"/>
    <s v="no data"/>
    <x v="2"/>
    <n v="9.4413295955146179E-2"/>
    <x v="2"/>
  </r>
  <r>
    <s v="P082"/>
    <s v="Instagram"/>
    <d v="2024-07-24T00:00:00"/>
    <s v="Image"/>
    <s v="Check out our latest image on instagram!"/>
    <n v="725"/>
    <n v="88"/>
    <n v="428"/>
    <n v="14500"/>
    <n v="13637"/>
    <n v="200"/>
    <s v="#FutureOfDriving"/>
    <s v="#TeslaCoInnovation"/>
    <s v="#AnytimeIsTeslaTime"/>
    <x v="2"/>
    <n v="8.558620689655172E-2"/>
    <x v="2"/>
  </r>
  <r>
    <s v="P083"/>
    <s v="YouTube"/>
    <d v="2024-10-15T00:00:00"/>
    <s v="Video"/>
    <s v="Check out our latest video on youtube!"/>
    <n v="1094"/>
    <n v="472"/>
    <n v="21"/>
    <n v="9846"/>
    <n v="9609"/>
    <n v="112"/>
    <s v="#EVRevolution"/>
    <s v="no data"/>
    <s v="no data"/>
    <x v="4"/>
    <n v="0.16118220597196831"/>
    <x v="3"/>
  </r>
  <r>
    <s v="P084"/>
    <s v="Facebook"/>
    <d v="2024-12-09T00:00:00"/>
    <s v="Image"/>
    <s v="Check out our latest image on facebook!"/>
    <n v="1841"/>
    <n v="851"/>
    <n v="342"/>
    <n v="34979"/>
    <n v="34154"/>
    <n v="255"/>
    <s v="#FutureOfDriving"/>
    <s v="no data"/>
    <s v="no data"/>
    <x v="3"/>
    <n v="8.6737756939878216E-2"/>
    <x v="0"/>
  </r>
  <r>
    <s v="P085"/>
    <s v="Instagram"/>
    <d v="2025-04-19T00:00:00"/>
    <s v="Image"/>
    <s v="Check out our latest image on instagram!"/>
    <n v="4177"/>
    <n v="569"/>
    <n v="55"/>
    <n v="25062"/>
    <n v="24847"/>
    <n v="230"/>
    <s v="#FutureOfDriving"/>
    <s v="no data"/>
    <s v="no data"/>
    <x v="0"/>
    <n v="0.19156491900087783"/>
    <x v="0"/>
  </r>
  <r>
    <s v="P086"/>
    <s v="YouTube"/>
    <d v="2025-01-27T00:00:00"/>
    <s v="Text"/>
    <s v="Check out our latest text on youtube!"/>
    <n v="3428"/>
    <n v="305"/>
    <n v="85"/>
    <n v="58276"/>
    <n v="58052"/>
    <n v="242"/>
    <s v="#EVRevolution"/>
    <s v="#BetterWithTesla"/>
    <s v="no data"/>
    <x v="3"/>
    <n v="6.5515821264328367E-2"/>
    <x v="0"/>
  </r>
  <r>
    <s v="P087"/>
    <s v="Twitter"/>
    <d v="2024-06-06T00:00:00"/>
    <s v="Video"/>
    <s v="Check out our latest video on twitter!"/>
    <n v="1436"/>
    <n v="765"/>
    <n v="496"/>
    <n v="12924"/>
    <n v="12701"/>
    <n v="197"/>
    <s v="#FutureOfDriving"/>
    <s v="no data"/>
    <s v="no data"/>
    <x v="2"/>
    <n v="0.20868152274837512"/>
    <x v="2"/>
  </r>
  <r>
    <s v="P088"/>
    <s v="Facebook"/>
    <d v="2024-07-07T00:00:00"/>
    <s v="Story"/>
    <s v="Check out our latest story on facebook!"/>
    <n v="302"/>
    <n v="47"/>
    <n v="430"/>
    <n v="5738"/>
    <n v="4890"/>
    <n v="25"/>
    <s v="#TeslaCoInnovation"/>
    <s v="no data"/>
    <s v="no data"/>
    <x v="3"/>
    <n v="0.13576158940397351"/>
    <x v="0"/>
  </r>
  <r>
    <s v="P089"/>
    <s v="Twitter"/>
    <d v="2025-01-10T00:00:00"/>
    <s v="Image"/>
    <s v="Check out our latest image on twitter!"/>
    <n v="2214"/>
    <n v="249"/>
    <n v="152"/>
    <n v="15498"/>
    <n v="14800"/>
    <n v="180"/>
    <s v="#EVRevolution"/>
    <s v="no data"/>
    <s v="no data"/>
    <x v="4"/>
    <n v="0.16873144921925409"/>
    <x v="3"/>
  </r>
  <r>
    <s v="P090"/>
    <s v="Instagram"/>
    <d v="2024-06-03T00:00:00"/>
    <s v="Image"/>
    <s v="Check out our latest image on instagram!"/>
    <n v="3861"/>
    <n v="960"/>
    <n v="101"/>
    <n v="69498"/>
    <n v="68817"/>
    <n v="297"/>
    <s v="#TeslaCoInnovation"/>
    <s v="no data"/>
    <s v="no data"/>
    <x v="3"/>
    <n v="7.0822181933293038E-2"/>
    <x v="2"/>
  </r>
  <r>
    <s v="P091"/>
    <s v="Facebook"/>
    <d v="2025-03-24T00:00:00"/>
    <s v="Image"/>
    <s v="Check out our latest image on facebook!"/>
    <n v="1263"/>
    <n v="397"/>
    <n v="357"/>
    <n v="25260"/>
    <n v="24615"/>
    <n v="137"/>
    <s v="#EVRevolution"/>
    <s v="no data"/>
    <s v="no data"/>
    <x v="3"/>
    <n v="7.984956452889945E-2"/>
    <x v="0"/>
  </r>
  <r>
    <s v="P092"/>
    <s v="Twitter"/>
    <d v="2024-10-21T00:00:00"/>
    <s v="Story"/>
    <s v="Check out our latest story on twitter!"/>
    <n v="3801"/>
    <n v="967"/>
    <n v="401"/>
    <n v="38010"/>
    <n v="37625"/>
    <n v="236"/>
    <s v="#FutureOfDriving"/>
    <s v="no data"/>
    <s v="no data"/>
    <x v="2"/>
    <n v="0.13599052880820836"/>
    <x v="2"/>
  </r>
  <r>
    <s v="P093"/>
    <s v="Instagram"/>
    <d v="2024-12-11T00:00:00"/>
    <s v="Video"/>
    <s v="Check out our latest video on instagram!"/>
    <n v="1431"/>
    <n v="951"/>
    <n v="26"/>
    <n v="8586"/>
    <n v="8396"/>
    <n v="150"/>
    <s v="#EVRevolution"/>
    <s v="no data"/>
    <s v="no data"/>
    <x v="2"/>
    <n v="0.28045655718611695"/>
    <x v="2"/>
  </r>
  <r>
    <s v="P094"/>
    <s v="Instagram"/>
    <d v="2024-11-07T00:00:00"/>
    <s v="Image"/>
    <s v="Check out our latest image on instagram!"/>
    <n v="2647"/>
    <n v="304"/>
    <n v="170"/>
    <n v="18529"/>
    <n v="17841"/>
    <n v="46"/>
    <s v="#FutureOfDriving"/>
    <s v="no data"/>
    <s v="no data"/>
    <x v="2"/>
    <n v="0.16843866371633656"/>
    <x v="2"/>
  </r>
  <r>
    <s v="P095"/>
    <s v="Instagram"/>
    <d v="2024-11-08T00:00:00"/>
    <s v="Text"/>
    <s v="Check out our latest text on instagram!"/>
    <n v="3182"/>
    <n v="559"/>
    <n v="160"/>
    <n v="57276"/>
    <n v="56890"/>
    <n v="163"/>
    <s v="#FutureOfDriving"/>
    <s v="no data"/>
    <s v="no data"/>
    <x v="3"/>
    <n v="6.8108806480899509E-2"/>
    <x v="0"/>
  </r>
  <r>
    <s v="P096"/>
    <s v="Twitter"/>
    <d v="2024-09-10T00:00:00"/>
    <s v="Image"/>
    <s v="Check out our latest image on twitter!"/>
    <n v="1238"/>
    <n v="366"/>
    <n v="444"/>
    <n v="19808"/>
    <n v="19334"/>
    <n v="123"/>
    <s v="#FutureOfDriving"/>
    <s v="no data"/>
    <s v="no data"/>
    <x v="4"/>
    <n v="0.10339256865912763"/>
    <x v="3"/>
  </r>
  <r>
    <s v="P097"/>
    <s v="Instagram"/>
    <d v="2024-08-13T00:00:00"/>
    <s v="Image"/>
    <s v="Check out our latest image on instagram!"/>
    <n v="4739"/>
    <n v="527"/>
    <n v="135"/>
    <n v="61607"/>
    <n v="61333"/>
    <n v="36"/>
    <s v="#TeslaCoInnovation"/>
    <s v="#AnytimeIsTeslaTime"/>
    <s v="no data"/>
    <x v="1"/>
    <n v="8.7668609086629767E-2"/>
    <x v="2"/>
  </r>
  <r>
    <s v="P098"/>
    <s v="Twitter"/>
    <d v="2024-06-10T00:00:00"/>
    <s v="Story"/>
    <s v="Check out our latest story on twitter!"/>
    <n v="1575"/>
    <n v="771"/>
    <n v="486"/>
    <n v="25200"/>
    <n v="24826"/>
    <n v="17"/>
    <s v="#FutureOfDriving"/>
    <s v="no data"/>
    <s v="no data"/>
    <x v="3"/>
    <n v="0.11238095238095239"/>
    <x v="1"/>
  </r>
  <r>
    <s v="P099"/>
    <s v="YouTube"/>
    <d v="2024-07-02T00:00:00"/>
    <s v="Carousel"/>
    <s v="Check out our latest carousel on youtube!"/>
    <n v="4171"/>
    <n v="548"/>
    <n v="86"/>
    <n v="66736"/>
    <n v="66634"/>
    <n v="173"/>
    <s v="#FutureOfDriving"/>
    <s v="no data"/>
    <s v="no data"/>
    <x v="2"/>
    <n v="7.2000119875329657E-2"/>
    <x v="2"/>
  </r>
  <r>
    <s v="P100"/>
    <s v="YouTube"/>
    <d v="2025-02-10T00:00:00"/>
    <s v="Video"/>
    <s v="Check out our latest video on youtube!"/>
    <n v="1766"/>
    <n v="92"/>
    <n v="424"/>
    <n v="24724"/>
    <n v="24333"/>
    <n v="52"/>
    <s v="#EVRevolution"/>
    <s v="no data"/>
    <s v="no data"/>
    <x v="4"/>
    <n v="9.2298980747451867E-2"/>
    <x v="3"/>
  </r>
  <r>
    <s v="P101"/>
    <s v="YouTube"/>
    <d v="2024-10-18T00:00:00"/>
    <s v="Video"/>
    <s v="Check out our latest video on youtube!"/>
    <n v="4450"/>
    <n v="983"/>
    <n v="143"/>
    <n v="75650"/>
    <n v="75008"/>
    <n v="12"/>
    <s v="#FutureOfDriving"/>
    <s v="no data"/>
    <s v="no data"/>
    <x v="2"/>
    <n v="7.3707865168539333E-2"/>
    <x v="2"/>
  </r>
  <r>
    <s v="P102"/>
    <s v="Twitter"/>
    <d v="2024-09-18T00:00:00"/>
    <s v="Reel"/>
    <s v="Check out our latest reel on twitter!"/>
    <n v="1000"/>
    <n v="978"/>
    <n v="162"/>
    <n v="6000"/>
    <n v="5221"/>
    <n v="223"/>
    <s v="#EVRevolution"/>
    <s v="no data"/>
    <s v="no data"/>
    <x v="1"/>
    <n v="0.35666666666666669"/>
    <x v="2"/>
  </r>
  <r>
    <s v="P103"/>
    <s v="Facebook"/>
    <d v="2024-06-11T00:00:00"/>
    <s v="Image"/>
    <s v="Check out our latest image on facebook!"/>
    <n v="3689"/>
    <n v="48"/>
    <n v="306"/>
    <n v="40579"/>
    <n v="39588"/>
    <n v="212"/>
    <s v="#EVRevolution"/>
    <s v="no data"/>
    <s v="no data"/>
    <x v="1"/>
    <n v="9.9632815002833983E-2"/>
    <x v="2"/>
  </r>
  <r>
    <s v="P104"/>
    <s v="YouTube"/>
    <d v="2025-03-23T00:00:00"/>
    <s v="Story"/>
    <s v="Check out our latest story on youtube!"/>
    <n v="3655"/>
    <n v="568"/>
    <n v="286"/>
    <n v="32895"/>
    <n v="32015"/>
    <n v="199"/>
    <s v="#TeslaCoInnovation"/>
    <s v="no data"/>
    <s v="no data"/>
    <x v="2"/>
    <n v="0.13707250341997265"/>
    <x v="2"/>
  </r>
  <r>
    <s v="P105"/>
    <s v="Instagram"/>
    <d v="2024-06-14T00:00:00"/>
    <s v="Carousel"/>
    <s v="Check out our latest carousel on instagram!"/>
    <n v="498"/>
    <n v="38"/>
    <n v="42"/>
    <n v="4482"/>
    <n v="3647"/>
    <n v="32"/>
    <s v="#FutureOfDriving"/>
    <s v="no data"/>
    <s v="no data"/>
    <x v="0"/>
    <n v="0.12896028558679162"/>
    <x v="2"/>
  </r>
  <r>
    <s v="P106"/>
    <s v="Instagram"/>
    <d v="2025-02-04T00:00:00"/>
    <s v="Image"/>
    <s v="Check out our latest image on instagram!"/>
    <n v="4619"/>
    <n v="821"/>
    <n v="499"/>
    <n v="69285"/>
    <n v="69141"/>
    <n v="298"/>
    <s v="#TeslaCoInnovation"/>
    <s v="no data"/>
    <s v="no data"/>
    <x v="3"/>
    <n v="8.5718409468138843E-2"/>
    <x v="0"/>
  </r>
  <r>
    <s v="P107"/>
    <s v="YouTube"/>
    <d v="2024-06-21T00:00:00"/>
    <s v="Image"/>
    <s v="Check out our latest image on youtube!"/>
    <n v="4832"/>
    <n v="893"/>
    <n v="10"/>
    <n v="91808"/>
    <n v="91296"/>
    <n v="182"/>
    <s v="#TeslaCoInnovation"/>
    <s v="no data"/>
    <s v="no data"/>
    <x v="4"/>
    <n v="6.2467323109097243E-2"/>
    <x v="3"/>
  </r>
  <r>
    <s v="P108"/>
    <s v="Twitter"/>
    <d v="2025-03-25T00:00:00"/>
    <s v="Video"/>
    <s v="Check out our latest video on twitter!"/>
    <n v="4050"/>
    <n v="871"/>
    <n v="347"/>
    <n v="52650"/>
    <n v="51755"/>
    <n v="209"/>
    <s v="#TeslaCoInnovation"/>
    <s v="no data"/>
    <s v="no data"/>
    <x v="1"/>
    <n v="0.10005698005698006"/>
    <x v="0"/>
  </r>
  <r>
    <s v="P109"/>
    <s v="Twitter"/>
    <d v="2024-08-08T00:00:00"/>
    <s v="Story"/>
    <s v="Check out our latest story on twitter!"/>
    <n v="3649"/>
    <n v="215"/>
    <n v="413"/>
    <n v="25543"/>
    <n v="24963"/>
    <n v="167"/>
    <s v="#FutureOfDriving"/>
    <s v="no data"/>
    <s v="no data"/>
    <x v="2"/>
    <n v="0.16744313510550835"/>
    <x v="2"/>
  </r>
  <r>
    <s v="P110"/>
    <s v="Instagram"/>
    <d v="2024-07-29T00:00:00"/>
    <s v="Reel"/>
    <s v="Check out our latest reel on instagram!"/>
    <n v="3523"/>
    <n v="753"/>
    <n v="482"/>
    <n v="38753"/>
    <n v="38579"/>
    <n v="270"/>
    <s v="#EVRevolution"/>
    <s v="no data"/>
    <s v="no data"/>
    <x v="1"/>
    <n v="0.12277759141227776"/>
    <x v="2"/>
  </r>
  <r>
    <s v="P111"/>
    <s v="YouTube"/>
    <d v="2024-11-23T00:00:00"/>
    <s v="Image"/>
    <s v="Check out our latest image on youtube!"/>
    <n v="2719"/>
    <n v="17"/>
    <n v="285"/>
    <n v="40785"/>
    <n v="40281"/>
    <n v="40"/>
    <s v="#TeslaCoInnovation"/>
    <s v="no data"/>
    <s v="no data"/>
    <x v="1"/>
    <n v="7.4071349760941527E-2"/>
    <x v="2"/>
  </r>
  <r>
    <s v="P112"/>
    <s v="Twitter"/>
    <d v="2024-10-05T00:00:00"/>
    <s v="Story"/>
    <s v="Check out our latest story on twitter!"/>
    <n v="1957"/>
    <n v="877"/>
    <n v="238"/>
    <n v="17613"/>
    <n v="16865"/>
    <n v="297"/>
    <s v="#FutureOfDriving"/>
    <s v="no data"/>
    <s v="no data"/>
    <x v="2"/>
    <n v="0.17441662408448305"/>
    <x v="2"/>
  </r>
  <r>
    <s v="P113"/>
    <s v="Twitter"/>
    <d v="2024-10-02T00:00:00"/>
    <s v="Carousel"/>
    <s v="Check out our latest carousel on twitter!"/>
    <n v="4419"/>
    <n v="236"/>
    <n v="369"/>
    <n v="44190"/>
    <n v="43582"/>
    <n v="10"/>
    <s v="#EVRevolution"/>
    <s v="no data"/>
    <s v="no data"/>
    <x v="0"/>
    <n v="0.11369088028965829"/>
    <x v="2"/>
  </r>
  <r>
    <s v="P114"/>
    <s v="Twitter"/>
    <d v="2024-11-14T00:00:00"/>
    <s v="Story"/>
    <s v="Check out our latest story on twitter!"/>
    <n v="4000"/>
    <n v="689"/>
    <n v="488"/>
    <n v="40000"/>
    <n v="39569"/>
    <n v="44"/>
    <s v="#FutureOfDriving"/>
    <s v="no data"/>
    <s v="no data"/>
    <x v="0"/>
    <n v="0.12942500000000001"/>
    <x v="0"/>
  </r>
  <r>
    <s v="P115"/>
    <s v="Twitter"/>
    <d v="2025-05-11T00:00:00"/>
    <s v="Image"/>
    <s v="Check out our latest image on twitter!"/>
    <n v="2493"/>
    <n v="97"/>
    <n v="44"/>
    <n v="42381"/>
    <n v="41991"/>
    <n v="242"/>
    <s v="#TeslaCoInnovation"/>
    <s v="#AnytimeIsTeslaTime"/>
    <s v="no data"/>
    <x v="3"/>
    <n v="6.2150491965739366E-2"/>
    <x v="0"/>
  </r>
  <r>
    <s v="P116"/>
    <s v="YouTube"/>
    <d v="2025-03-18T00:00:00"/>
    <s v="Reel"/>
    <s v="Check out our latest reel on youtube!"/>
    <n v="3704"/>
    <n v="186"/>
    <n v="458"/>
    <n v="25928"/>
    <n v="25081"/>
    <n v="131"/>
    <s v="#TeslaCoInnovation"/>
    <s v="no data"/>
    <s v="no data"/>
    <x v="4"/>
    <n v="0.16769515581610614"/>
    <x v="3"/>
  </r>
  <r>
    <s v="P117"/>
    <s v="Twitter"/>
    <d v="2024-11-04T00:00:00"/>
    <s v="Image"/>
    <s v="Check out our latest image on twitter!"/>
    <n v="1606"/>
    <n v="451"/>
    <n v="405"/>
    <n v="20878"/>
    <n v="20190"/>
    <n v="219"/>
    <s v="#EVRevolution"/>
    <s v="no data"/>
    <s v="no data"/>
    <x v="3"/>
    <n v="0.11792317271769326"/>
    <x v="0"/>
  </r>
  <r>
    <s v="P118"/>
    <s v="Facebook"/>
    <d v="2024-11-04T00:00:00"/>
    <s v="Image"/>
    <s v="Check out our latest image on facebook!"/>
    <n v="4551"/>
    <n v="714"/>
    <n v="207"/>
    <n v="68265"/>
    <n v="67754"/>
    <n v="57"/>
    <s v="#FutureOfDriving"/>
    <s v="no data"/>
    <s v="no data"/>
    <x v="2"/>
    <n v="8.0158206987475278E-2"/>
    <x v="2"/>
  </r>
  <r>
    <s v="P119"/>
    <s v="Instagram"/>
    <d v="2025-02-07T00:00:00"/>
    <s v="Reel"/>
    <s v="Check out our latest reel on instagram!"/>
    <n v="1970"/>
    <n v="675"/>
    <n v="478"/>
    <n v="9850"/>
    <n v="8924"/>
    <n v="117"/>
    <s v="#FutureOfDriving"/>
    <s v="no data"/>
    <s v="no data"/>
    <x v="4"/>
    <n v="0.31705583756345179"/>
    <x v="3"/>
  </r>
  <r>
    <s v="P120"/>
    <s v="Facebook"/>
    <d v="2024-10-21T00:00:00"/>
    <s v="Story"/>
    <s v="Check out our latest story on facebook!"/>
    <n v="780"/>
    <n v="928"/>
    <n v="301"/>
    <n v="8580"/>
    <n v="8081"/>
    <n v="91"/>
    <s v="#EVRevolution"/>
    <s v="no data"/>
    <s v="no data"/>
    <x v="2"/>
    <n v="0.23414918414918415"/>
    <x v="2"/>
  </r>
  <r>
    <s v="P121"/>
    <s v="Instagram"/>
    <d v="2024-07-29T00:00:00"/>
    <s v="Story"/>
    <s v="Check out our latest story on instagram!"/>
    <n v="498"/>
    <n v="701"/>
    <n v="412"/>
    <n v="4980"/>
    <n v="4185"/>
    <n v="185"/>
    <s v="#FutureOfDriving"/>
    <s v="no data"/>
    <s v="no data"/>
    <x v="4"/>
    <n v="0.32349397590361445"/>
    <x v="3"/>
  </r>
  <r>
    <s v="P122"/>
    <s v="Instagram"/>
    <d v="2024-10-02T00:00:00"/>
    <s v="Text"/>
    <s v="Check out our latest text on instagram!"/>
    <n v="3432"/>
    <n v="869"/>
    <n v="123"/>
    <n v="54912"/>
    <n v="53916"/>
    <n v="264"/>
    <s v="#EVRevolution"/>
    <s v="no data"/>
    <s v="no data"/>
    <x v="1"/>
    <n v="8.0565268065268064E-2"/>
    <x v="2"/>
  </r>
  <r>
    <s v="P123"/>
    <s v="Instagram"/>
    <d v="2024-06-14T00:00:00"/>
    <s v="Story"/>
    <s v="Check out our latest story on instagram!"/>
    <n v="4363"/>
    <n v="649"/>
    <n v="140"/>
    <n v="21815"/>
    <n v="21481"/>
    <n v="157"/>
    <s v="#EVRevolution"/>
    <s v="no data"/>
    <s v="no data"/>
    <x v="0"/>
    <n v="0.23616777446710979"/>
    <x v="2"/>
  </r>
  <r>
    <s v="P124"/>
    <s v="YouTube"/>
    <d v="2025-04-06T00:00:00"/>
    <s v="Carousel"/>
    <s v="Check out our latest carousel on youtube!"/>
    <n v="736"/>
    <n v="771"/>
    <n v="225"/>
    <n v="5152"/>
    <n v="4706"/>
    <n v="19"/>
    <s v="#EVRevolution"/>
    <s v="no data"/>
    <s v="no data"/>
    <x v="0"/>
    <n v="0.33618012422360249"/>
    <x v="0"/>
  </r>
  <r>
    <s v="P125"/>
    <s v="Twitter"/>
    <d v="2024-09-08T00:00:00"/>
    <s v="Carousel"/>
    <s v="Check out our latest carousel on twitter!"/>
    <n v="3811"/>
    <n v="866"/>
    <n v="216"/>
    <n v="34299"/>
    <n v="34088"/>
    <n v="233"/>
    <s v="#TeslaCoInnovation"/>
    <s v="no data"/>
    <s v="no data"/>
    <x v="3"/>
    <n v="0.14265722032712325"/>
    <x v="0"/>
  </r>
  <r>
    <s v="P126"/>
    <s v="Instagram"/>
    <d v="2025-03-28T00:00:00"/>
    <s v="Carousel"/>
    <s v="Check out our latest carousel on instagram!"/>
    <n v="4158"/>
    <n v="167"/>
    <n v="241"/>
    <n v="45738"/>
    <n v="45183"/>
    <n v="142"/>
    <s v="#FutureOfDriving"/>
    <s v="no data"/>
    <s v="no data"/>
    <x v="4"/>
    <n v="9.9829463465827106E-2"/>
    <x v="3"/>
  </r>
  <r>
    <s v="P127"/>
    <s v="Facebook"/>
    <d v="2025-01-27T00:00:00"/>
    <s v="Reel"/>
    <s v="Check out our latest reel on facebook!"/>
    <n v="3452"/>
    <n v="652"/>
    <n v="442"/>
    <n v="65588"/>
    <n v="65049"/>
    <n v="158"/>
    <s v="#FutureOfDriving"/>
    <s v="no data"/>
    <s v="no data"/>
    <x v="2"/>
    <n v="6.9311459413307311E-2"/>
    <x v="2"/>
  </r>
  <r>
    <s v="P128"/>
    <s v="Twitter"/>
    <d v="2025-01-10T00:00:00"/>
    <s v="Image"/>
    <s v="Check out our latest image on twitter!"/>
    <n v="3092"/>
    <n v="106"/>
    <n v="291"/>
    <n v="27828"/>
    <n v="27217"/>
    <n v="102"/>
    <s v="#FutureOfDriving"/>
    <s v="no data"/>
    <s v="no data"/>
    <x v="4"/>
    <n v="0.12537731780940059"/>
    <x v="3"/>
  </r>
  <r>
    <s v="P129"/>
    <s v="Twitter"/>
    <d v="2024-07-21T00:00:00"/>
    <s v="Text"/>
    <s v="Check out our latest text on twitter!"/>
    <n v="2147"/>
    <n v="430"/>
    <n v="393"/>
    <n v="17176"/>
    <n v="16483"/>
    <n v="170"/>
    <s v="#TeslaCoInnovation"/>
    <s v="no data"/>
    <s v="no data"/>
    <x v="4"/>
    <n v="0.17291569632044715"/>
    <x v="3"/>
  </r>
  <r>
    <s v="P130"/>
    <s v="YouTube"/>
    <d v="2024-09-29T00:00:00"/>
    <s v="Reel"/>
    <s v="Check out our latest reel on youtube!"/>
    <n v="2936"/>
    <n v="439"/>
    <n v="44"/>
    <n v="38168"/>
    <n v="37571"/>
    <n v="22"/>
    <s v="#EVRevolution"/>
    <s v="no data"/>
    <s v="no data"/>
    <x v="3"/>
    <n v="8.9577656675749323E-2"/>
    <x v="0"/>
  </r>
  <r>
    <s v="P131"/>
    <s v="Instagram"/>
    <d v="2024-10-21T00:00:00"/>
    <s v="Reel"/>
    <s v="Check out our latest reel on instagram!"/>
    <n v="4840"/>
    <n v="658"/>
    <n v="211"/>
    <n v="43560"/>
    <n v="43225"/>
    <n v="57"/>
    <s v="#FutureOfDriving"/>
    <s v="no data"/>
    <s v="no data"/>
    <x v="2"/>
    <n v="0.13106060606060607"/>
    <x v="2"/>
  </r>
  <r>
    <s v="P132"/>
    <s v="Instagram"/>
    <d v="2025-03-04T00:00:00"/>
    <s v="Story"/>
    <s v="Check out our latest story on instagram!"/>
    <n v="1947"/>
    <n v="842"/>
    <n v="101"/>
    <n v="21417"/>
    <n v="20967"/>
    <n v="186"/>
    <s v="#FutureOfDriving"/>
    <s v="no data"/>
    <s v="no data"/>
    <x v="1"/>
    <n v="0.13493953401503478"/>
    <x v="1"/>
  </r>
  <r>
    <s v="P133"/>
    <s v="Facebook"/>
    <d v="2025-02-06T00:00:00"/>
    <s v="Image"/>
    <s v="Check out our latest image on facebook!"/>
    <n v="2072"/>
    <n v="532"/>
    <n v="71"/>
    <n v="37296"/>
    <n v="36467"/>
    <n v="25"/>
    <s v="#TeslaCoInnovation"/>
    <s v="no data"/>
    <s v="no data"/>
    <x v="3"/>
    <n v="7.172350922350923E-2"/>
    <x v="0"/>
  </r>
  <r>
    <s v="P134"/>
    <s v="Twitter"/>
    <d v="2025-04-24T00:00:00"/>
    <s v="Reel"/>
    <s v="Check out our latest reel on twitter!"/>
    <n v="3731"/>
    <n v="115"/>
    <n v="135"/>
    <n v="55965"/>
    <n v="55436"/>
    <n v="103"/>
    <s v="#TeslaCoInnovation"/>
    <s v="no data"/>
    <s v="no data"/>
    <x v="0"/>
    <n v="7.1133744304476013E-2"/>
    <x v="0"/>
  </r>
  <r>
    <s v="P135"/>
    <s v="Facebook"/>
    <d v="2024-11-28T00:00:00"/>
    <s v="Text"/>
    <s v="Check out our latest text on facebook!"/>
    <n v="4213"/>
    <n v="253"/>
    <n v="434"/>
    <n v="75834"/>
    <n v="75437"/>
    <n v="272"/>
    <s v="#FutureOfDriving"/>
    <s v="no data"/>
    <s v="no data"/>
    <x v="3"/>
    <n v="6.461481657304112E-2"/>
    <x v="0"/>
  </r>
  <r>
    <s v="P136"/>
    <s v="Instagram"/>
    <d v="2024-07-11T00:00:00"/>
    <s v="Text"/>
    <s v="Check out our latest text on instagram!"/>
    <n v="3134"/>
    <n v="888"/>
    <n v="444"/>
    <n v="21938"/>
    <n v="21337"/>
    <n v="130"/>
    <s v="#EVRevolution"/>
    <s v="no data"/>
    <s v="no data"/>
    <x v="3"/>
    <n v="0.20357370772176134"/>
    <x v="0"/>
  </r>
  <r>
    <s v="P137"/>
    <s v="Facebook"/>
    <d v="2024-07-31T00:00:00"/>
    <s v="Video"/>
    <s v="Check out our latest video on facebook!"/>
    <n v="3008"/>
    <n v="94"/>
    <n v="37"/>
    <n v="15040"/>
    <n v="14639"/>
    <n v="277"/>
    <s v="#FutureOfDriving"/>
    <s v="no data"/>
    <s v="no data"/>
    <x v="4"/>
    <n v="0.20871010638297871"/>
    <x v="3"/>
  </r>
  <r>
    <s v="P138"/>
    <s v="Twitter"/>
    <d v="2025-03-29T00:00:00"/>
    <s v="Image"/>
    <s v="Check out our latest image on twitter!"/>
    <n v="305"/>
    <n v="187"/>
    <n v="243"/>
    <n v="4575"/>
    <n v="3704"/>
    <n v="234"/>
    <s v="#FutureOfDriving"/>
    <s v="no data"/>
    <s v="no data"/>
    <x v="2"/>
    <n v="0.16065573770491803"/>
    <x v="2"/>
  </r>
  <r>
    <s v="P139"/>
    <s v="YouTube"/>
    <d v="2024-10-29T00:00:00"/>
    <s v="Text"/>
    <s v="Check out our latest text on youtube!"/>
    <n v="2746"/>
    <n v="156"/>
    <n v="203"/>
    <n v="32952"/>
    <n v="32147"/>
    <n v="147"/>
    <s v="#EVRevolution"/>
    <s v="no data"/>
    <s v="no data"/>
    <x v="0"/>
    <n v="9.422796795338674E-2"/>
    <x v="1"/>
  </r>
  <r>
    <s v="P140"/>
    <s v="Facebook"/>
    <d v="2024-07-15T00:00:00"/>
    <s v="Image"/>
    <s v="Check out our latest image on facebook!"/>
    <n v="2291"/>
    <n v="78"/>
    <n v="485"/>
    <n v="18328"/>
    <n v="18101"/>
    <n v="10"/>
    <s v="#EVRevolution"/>
    <s v="#SmoothLikeNitroTesla"/>
    <s v="no data"/>
    <x v="1"/>
    <n v="0.15571802706241816"/>
    <x v="2"/>
  </r>
  <r>
    <s v="P141"/>
    <s v="Twitter"/>
    <d v="2024-08-31T00:00:00"/>
    <s v="Image"/>
    <s v="Check out our latest image on twitter!"/>
    <n v="3170"/>
    <n v="857"/>
    <n v="379"/>
    <n v="19020"/>
    <n v="18559"/>
    <n v="240"/>
    <s v="#FutureOfDriving"/>
    <s v="no data"/>
    <s v="no data"/>
    <x v="4"/>
    <n v="0.2316508937960042"/>
    <x v="3"/>
  </r>
  <r>
    <s v="P142"/>
    <s v="YouTube"/>
    <d v="2025-03-25T00:00:00"/>
    <s v="Story"/>
    <s v="Check out our latest story on youtube!"/>
    <n v="2070"/>
    <n v="275"/>
    <n v="386"/>
    <n v="39330"/>
    <n v="38627"/>
    <n v="114"/>
    <s v="#FutureOfDriving"/>
    <s v="no data"/>
    <s v="no data"/>
    <x v="3"/>
    <n v="6.9438087973557078E-2"/>
    <x v="0"/>
  </r>
  <r>
    <s v="P143"/>
    <s v="YouTube"/>
    <d v="2024-10-02T00:00:00"/>
    <s v="Carousel"/>
    <s v="Check out our latest carousel on youtube!"/>
    <n v="80"/>
    <n v="362"/>
    <n v="80"/>
    <n v="1040"/>
    <n v="349"/>
    <n v="117"/>
    <s v="#TeslaCoInnovation"/>
    <s v="no data"/>
    <s v="no data"/>
    <x v="2"/>
    <n v="0.50192307692307692"/>
    <x v="2"/>
  </r>
  <r>
    <s v="P144"/>
    <s v="YouTube"/>
    <d v="2024-10-28T00:00:00"/>
    <s v="Story"/>
    <s v="Check out our latest story on youtube!"/>
    <n v="4929"/>
    <n v="749"/>
    <n v="452"/>
    <n v="93651"/>
    <n v="92810"/>
    <n v="66"/>
    <s v="#EVRevolution"/>
    <s v="no data"/>
    <s v="no data"/>
    <x v="3"/>
    <n v="6.5455787978772245E-2"/>
    <x v="0"/>
  </r>
  <r>
    <s v="P145"/>
    <s v="Instagram"/>
    <d v="2024-08-12T00:00:00"/>
    <s v="Carousel"/>
    <s v="Check out our latest carousel on instagram!"/>
    <n v="1878"/>
    <n v="62"/>
    <n v="179"/>
    <n v="37560"/>
    <n v="36874"/>
    <n v="142"/>
    <s v="#TeslaCoInnovation"/>
    <s v="no data"/>
    <s v="no data"/>
    <x v="3"/>
    <n v="5.6416400425985093E-2"/>
    <x v="0"/>
  </r>
  <r>
    <s v="P146"/>
    <s v="YouTube"/>
    <d v="2024-06-05T00:00:00"/>
    <s v="Reel"/>
    <s v="Check out our latest reel on youtube!"/>
    <n v="3065"/>
    <n v="772"/>
    <n v="142"/>
    <n v="18390"/>
    <n v="17875"/>
    <n v="200"/>
    <s v="#EVRevolution"/>
    <s v="#AnytimeIsTeslaTime"/>
    <s v="no data"/>
    <x v="4"/>
    <n v="0.21636759108210984"/>
    <x v="3"/>
  </r>
  <r>
    <s v="P147"/>
    <s v="Instagram"/>
    <d v="2024-10-21T00:00:00"/>
    <s v="Reel"/>
    <s v="Check out our latest reel on instagram!"/>
    <n v="3256"/>
    <n v="459"/>
    <n v="266"/>
    <n v="26048"/>
    <n v="25529"/>
    <n v="143"/>
    <s v="#TeslaCoInnovation"/>
    <s v="no data"/>
    <s v="no data"/>
    <x v="1"/>
    <n v="0.15283323095823095"/>
    <x v="2"/>
  </r>
  <r>
    <s v="P148"/>
    <s v="Instagram"/>
    <d v="2025-04-15T00:00:00"/>
    <s v="Video"/>
    <s v="Check out our latest video on instagram!"/>
    <n v="4133"/>
    <n v="466"/>
    <n v="327"/>
    <n v="24798"/>
    <n v="24620"/>
    <n v="176"/>
    <s v="#EVRevolution"/>
    <s v="no data"/>
    <s v="no data"/>
    <x v="3"/>
    <n v="0.19864505202032423"/>
    <x v="0"/>
  </r>
  <r>
    <s v="P149"/>
    <s v="Twitter"/>
    <d v="2024-06-16T00:00:00"/>
    <s v="Video"/>
    <s v="Check out our latest video on twitter!"/>
    <n v="1702"/>
    <n v="750"/>
    <n v="179"/>
    <n v="34040"/>
    <n v="33174"/>
    <n v="76"/>
    <s v="#EVRevolution"/>
    <s v="no data"/>
    <s v="no data"/>
    <x v="0"/>
    <n v="7.7291421856639245E-2"/>
    <x v="2"/>
  </r>
  <r>
    <s v="P150"/>
    <s v="YouTube"/>
    <d v="2024-08-22T00:00:00"/>
    <s v="Carousel"/>
    <s v="Check out our latest carousel on youtube!"/>
    <n v="4295"/>
    <n v="853"/>
    <n v="325"/>
    <n v="85900"/>
    <n v="85788"/>
    <n v="290"/>
    <s v="#TeslaCoInnovation"/>
    <s v="no data"/>
    <s v="no data"/>
    <x v="3"/>
    <n v="6.3713620488940623E-2"/>
    <x v="0"/>
  </r>
  <r>
    <s v="P151"/>
    <s v="Instagram"/>
    <d v="2024-07-26T00:00:00"/>
    <s v="Image"/>
    <s v="Check out our latest image on instagram!"/>
    <n v="3559"/>
    <n v="59"/>
    <n v="289"/>
    <n v="35590"/>
    <n v="35105"/>
    <n v="122"/>
    <s v="#EVRevolution"/>
    <s v="no data"/>
    <s v="no data"/>
    <x v="0"/>
    <n v="0.10977802753582468"/>
    <x v="2"/>
  </r>
  <r>
    <s v="P152"/>
    <s v="Facebook"/>
    <d v="2025-04-22T00:00:00"/>
    <s v="Image"/>
    <s v="Check out our latest image on facebook!"/>
    <n v="4804"/>
    <n v="550"/>
    <n v="270"/>
    <n v="28824"/>
    <n v="28370"/>
    <n v="47"/>
    <s v="#EVRevolution"/>
    <s v="no data"/>
    <s v="no data"/>
    <x v="3"/>
    <n v="0.19511518179295032"/>
    <x v="0"/>
  </r>
  <r>
    <s v="P153"/>
    <s v="Twitter"/>
    <d v="2025-01-01T00:00:00"/>
    <s v="Video"/>
    <s v="Check out our latest video on twitter!"/>
    <n v="754"/>
    <n v="197"/>
    <n v="257"/>
    <n v="6786"/>
    <n v="6221"/>
    <n v="212"/>
    <s v="#TeslaCoInnovation"/>
    <s v="no data"/>
    <s v="no data"/>
    <x v="2"/>
    <n v="0.17801355732390214"/>
    <x v="2"/>
  </r>
  <r>
    <s v="P154"/>
    <s v="Instagram"/>
    <d v="2024-10-09T00:00:00"/>
    <s v="Carousel"/>
    <s v="Check out our latest carousel on instagram!"/>
    <n v="985"/>
    <n v="932"/>
    <n v="287"/>
    <n v="6895"/>
    <n v="6757"/>
    <n v="64"/>
    <s v="#FutureOfDriving"/>
    <s v="no data"/>
    <s v="no data"/>
    <x v="3"/>
    <n v="0.31965192168237855"/>
    <x v="0"/>
  </r>
  <r>
    <s v="P155"/>
    <s v="YouTube"/>
    <d v="2024-12-21T00:00:00"/>
    <s v="Image"/>
    <s v="Check out our latest image on youtube!"/>
    <n v="2283"/>
    <n v="210"/>
    <n v="130"/>
    <n v="22830"/>
    <n v="22617"/>
    <n v="143"/>
    <s v="#FutureOfDriving"/>
    <s v="no data"/>
    <s v="no data"/>
    <x v="1"/>
    <n v="0.11489268506351293"/>
    <x v="2"/>
  </r>
  <r>
    <s v="P156"/>
    <s v="Facebook"/>
    <d v="2024-10-22T00:00:00"/>
    <s v="Carousel"/>
    <s v="Check out our latest carousel on facebook!"/>
    <n v="3352"/>
    <n v="941"/>
    <n v="482"/>
    <n v="43576"/>
    <n v="43338"/>
    <n v="240"/>
    <s v="#FutureOfDriving"/>
    <s v="no data"/>
    <s v="no data"/>
    <x v="1"/>
    <n v="0.1095786671562328"/>
    <x v="2"/>
  </r>
  <r>
    <s v="P157"/>
    <s v="YouTube"/>
    <d v="2024-07-23T00:00:00"/>
    <s v="Story"/>
    <s v="Check out our latest story on youtube!"/>
    <n v="4775"/>
    <n v="173"/>
    <n v="206"/>
    <n v="47750"/>
    <n v="47544"/>
    <n v="187"/>
    <s v="#FutureOfDriving"/>
    <s v="no data"/>
    <s v="no data"/>
    <x v="1"/>
    <n v="0.10793717277486911"/>
    <x v="2"/>
  </r>
  <r>
    <s v="P158"/>
    <s v="Instagram"/>
    <d v="2024-08-11T00:00:00"/>
    <s v="Story"/>
    <s v="Check out our latest story on instagram!"/>
    <n v="1762"/>
    <n v="405"/>
    <n v="423"/>
    <n v="22906"/>
    <n v="21925"/>
    <n v="25"/>
    <s v="#TeslaCoInnovation"/>
    <s v="no data"/>
    <s v="no data"/>
    <x v="0"/>
    <n v="0.11307081114118571"/>
    <x v="2"/>
  </r>
  <r>
    <s v="P159"/>
    <s v="Facebook"/>
    <d v="2024-11-25T00:00:00"/>
    <s v="Story"/>
    <s v="Check out our latest story on facebook!"/>
    <n v="2120"/>
    <n v="158"/>
    <n v="488"/>
    <n v="12720"/>
    <n v="12085"/>
    <n v="17"/>
    <s v="#FutureOfDriving"/>
    <s v="no data"/>
    <s v="no data"/>
    <x v="1"/>
    <n v="0.21745283018867925"/>
    <x v="2"/>
  </r>
  <r>
    <s v="P160"/>
    <s v="Twitter"/>
    <d v="2024-08-24T00:00:00"/>
    <s v="Video"/>
    <s v="Check out our latest video on twitter!"/>
    <n v="1082"/>
    <n v="209"/>
    <n v="484"/>
    <n v="19476"/>
    <n v="18654"/>
    <n v="20"/>
    <s v="#TeslaCoInnovation"/>
    <s v="no data"/>
    <s v="no data"/>
    <x v="4"/>
    <n v="9.1137810638734856E-2"/>
    <x v="3"/>
  </r>
  <r>
    <s v="P161"/>
    <s v="Twitter"/>
    <d v="2025-02-19T00:00:00"/>
    <s v="Text"/>
    <s v="Check out our latest text on twitter!"/>
    <n v="4671"/>
    <n v="876"/>
    <n v="366"/>
    <n v="51381"/>
    <n v="50565"/>
    <n v="245"/>
    <s v="#TeslaCoInnovation"/>
    <s v="no data"/>
    <s v="no data"/>
    <x v="3"/>
    <n v="0.11508145034156594"/>
    <x v="0"/>
  </r>
  <r>
    <s v="P162"/>
    <s v="Facebook"/>
    <d v="2025-04-01T00:00:00"/>
    <s v="Story"/>
    <s v="Check out our latest story on facebook!"/>
    <n v="3430"/>
    <n v="566"/>
    <n v="164"/>
    <n v="48020"/>
    <n v="47305"/>
    <n v="120"/>
    <s v="#FutureOfDriving"/>
    <s v="no data"/>
    <s v="no data"/>
    <x v="4"/>
    <n v="8.6630570595585168E-2"/>
    <x v="3"/>
  </r>
  <r>
    <s v="P163"/>
    <s v="Instagram"/>
    <d v="2025-04-08T00:00:00"/>
    <s v="Image"/>
    <s v="Check out our latest image on instagram!"/>
    <n v="4501"/>
    <n v="375"/>
    <n v="323"/>
    <n v="22505"/>
    <n v="21836"/>
    <n v="132"/>
    <s v="#TeslaCoInnovation"/>
    <s v="no data"/>
    <s v="no data"/>
    <x v="1"/>
    <n v="0.23101532992668297"/>
    <x v="0"/>
  </r>
  <r>
    <s v="P164"/>
    <s v="YouTube"/>
    <d v="2025-02-27T00:00:00"/>
    <s v="Text"/>
    <s v="Check out our latest text on youtube!"/>
    <n v="4934"/>
    <n v="971"/>
    <n v="156"/>
    <n v="39472"/>
    <n v="39025"/>
    <n v="169"/>
    <s v="#TeslaCoInnovation"/>
    <s v="#AnytimeIsTeslaTime"/>
    <s v="no data"/>
    <x v="3"/>
    <n v="0.15355188488042157"/>
    <x v="0"/>
  </r>
  <r>
    <s v="P165"/>
    <s v="Twitter"/>
    <d v="2024-12-11T00:00:00"/>
    <s v="Text"/>
    <s v="Check out our latest text on twitter!"/>
    <n v="3239"/>
    <n v="43"/>
    <n v="211"/>
    <n v="22673"/>
    <n v="22171"/>
    <n v="230"/>
    <s v="#TeslaCoInnovation"/>
    <s v="no data"/>
    <s v="no data"/>
    <x v="1"/>
    <n v="0.15405989502933004"/>
    <x v="2"/>
  </r>
  <r>
    <s v="P166"/>
    <s v="Twitter"/>
    <d v="2025-02-16T00:00:00"/>
    <s v="Reel"/>
    <s v="Check out our latest reel on twitter!"/>
    <n v="1076"/>
    <n v="313"/>
    <n v="306"/>
    <n v="11836"/>
    <n v="11596"/>
    <n v="104"/>
    <s v="#FutureOfDriving"/>
    <s v="no data"/>
    <s v="no data"/>
    <x v="0"/>
    <n v="0.14320716458262928"/>
    <x v="0"/>
  </r>
  <r>
    <s v="P167"/>
    <s v="Instagram"/>
    <d v="2024-11-28T00:00:00"/>
    <s v="Text"/>
    <s v="Check out our latest text on instagram!"/>
    <n v="4771"/>
    <n v="818"/>
    <n v="56"/>
    <n v="57252"/>
    <n v="56378"/>
    <n v="150"/>
    <s v="#FutureOfDriving"/>
    <s v="no data"/>
    <s v="no data"/>
    <x v="4"/>
    <n v="9.859917557465242E-2"/>
    <x v="3"/>
  </r>
  <r>
    <s v="P168"/>
    <s v="Facebook"/>
    <d v="2024-11-12T00:00:00"/>
    <s v="Text"/>
    <s v="Check out our latest text on facebook!"/>
    <n v="2418"/>
    <n v="754"/>
    <n v="54"/>
    <n v="43524"/>
    <n v="42743"/>
    <n v="182"/>
    <s v="#EVRevolution"/>
    <s v="no data"/>
    <s v="no data"/>
    <x v="0"/>
    <n v="7.412002573292896E-2"/>
    <x v="0"/>
  </r>
  <r>
    <s v="P169"/>
    <s v="YouTube"/>
    <d v="2024-12-03T00:00:00"/>
    <s v="Video"/>
    <s v="Check out our latest video on youtube!"/>
    <n v="3809"/>
    <n v="273"/>
    <n v="200"/>
    <n v="34281"/>
    <n v="33534"/>
    <n v="83"/>
    <s v="#EVRevolution"/>
    <s v="no data"/>
    <s v="no data"/>
    <x v="0"/>
    <n v="0.12490884163239112"/>
    <x v="0"/>
  </r>
  <r>
    <s v="P170"/>
    <s v="Twitter"/>
    <d v="2025-04-28T00:00:00"/>
    <s v="Text"/>
    <s v="Check out our latest text on twitter!"/>
    <n v="3577"/>
    <n v="596"/>
    <n v="493"/>
    <n v="67963"/>
    <n v="67839"/>
    <n v="53"/>
    <s v="#TeslaCoInnovation"/>
    <s v="no data"/>
    <s v="no data"/>
    <x v="2"/>
    <n v="6.8655003457763777E-2"/>
    <x v="2"/>
  </r>
  <r>
    <s v="P171"/>
    <s v="YouTube"/>
    <d v="2024-12-31T00:00:00"/>
    <s v="Video"/>
    <s v="Check out our latest video on youtube!"/>
    <n v="1018"/>
    <n v="447"/>
    <n v="332"/>
    <n v="18324"/>
    <n v="18164"/>
    <n v="38"/>
    <s v="#FutureOfDriving"/>
    <s v="no data"/>
    <s v="no data"/>
    <x v="1"/>
    <n v="9.8068107400130972E-2"/>
    <x v="2"/>
  </r>
  <r>
    <s v="P172"/>
    <s v="Facebook"/>
    <d v="2024-08-14T00:00:00"/>
    <s v="Carousel"/>
    <s v="Check out our latest carousel on facebook!"/>
    <n v="3073"/>
    <n v="553"/>
    <n v="174"/>
    <n v="52241"/>
    <n v="51605"/>
    <n v="246"/>
    <s v="#EVRevolution"/>
    <s v="no data"/>
    <s v="no data"/>
    <x v="2"/>
    <n v="7.2739802071170159E-2"/>
    <x v="2"/>
  </r>
  <r>
    <s v="P173"/>
    <s v="Twitter"/>
    <d v="2024-12-05T00:00:00"/>
    <s v="Video"/>
    <s v="Check out our latest video on twitter!"/>
    <n v="1330"/>
    <n v="925"/>
    <n v="35"/>
    <n v="15960"/>
    <n v="15379"/>
    <n v="229"/>
    <s v="#FutureOfDriving"/>
    <s v="no data"/>
    <s v="no data"/>
    <x v="2"/>
    <n v="0.14348370927318296"/>
    <x v="2"/>
  </r>
  <r>
    <s v="P174"/>
    <s v="Facebook"/>
    <d v="2024-06-22T00:00:00"/>
    <s v="Text"/>
    <s v="Check out our latest text on facebook!"/>
    <n v="3828"/>
    <n v="148"/>
    <n v="253"/>
    <n v="30624"/>
    <n v="30229"/>
    <n v="235"/>
    <s v="#EVRevolution"/>
    <s v="no data"/>
    <s v="no data"/>
    <x v="4"/>
    <n v="0.13809430512016718"/>
    <x v="3"/>
  </r>
  <r>
    <s v="P175"/>
    <s v="Instagram"/>
    <d v="2025-01-17T00:00:00"/>
    <s v="Reel"/>
    <s v="Check out our latest reel on instagram!"/>
    <n v="142"/>
    <n v="784"/>
    <n v="183"/>
    <n v="1704"/>
    <n v="995"/>
    <n v="154"/>
    <s v="#FutureOfDriving"/>
    <s v="no data"/>
    <s v="no data"/>
    <x v="3"/>
    <n v="0.6508215962441315"/>
    <x v="0"/>
  </r>
  <r>
    <s v="P176"/>
    <s v="Facebook"/>
    <d v="2024-06-20T00:00:00"/>
    <s v="Video"/>
    <s v="Check out our latest video on facebook!"/>
    <n v="3798"/>
    <n v="31"/>
    <n v="279"/>
    <n v="75960"/>
    <n v="75813"/>
    <n v="266"/>
    <s v="#TeslaCoInnovation"/>
    <s v="no data"/>
    <s v="no data"/>
    <x v="0"/>
    <n v="5.4081095313322801E-2"/>
    <x v="2"/>
  </r>
  <r>
    <s v="P177"/>
    <s v="Instagram"/>
    <d v="2024-07-10T00:00:00"/>
    <s v="Carousel"/>
    <s v="Check out our latest carousel on instagram!"/>
    <n v="3099"/>
    <n v="694"/>
    <n v="171"/>
    <n v="43386"/>
    <n v="42921"/>
    <n v="52"/>
    <s v="#TeslaCoInnovation"/>
    <s v="no data"/>
    <s v="no data"/>
    <x v="2"/>
    <n v="9.1365878393951966E-2"/>
    <x v="2"/>
  </r>
  <r>
    <s v="P178"/>
    <s v="Instagram"/>
    <d v="2024-11-07T00:00:00"/>
    <s v="Video"/>
    <s v="Check out our latest video on instagram!"/>
    <n v="129"/>
    <n v="643"/>
    <n v="136"/>
    <n v="1290"/>
    <n v="839"/>
    <n v="238"/>
    <s v="#TeslaCoInnovation"/>
    <s v="no data"/>
    <s v="no data"/>
    <x v="3"/>
    <n v="0.70387596899224802"/>
    <x v="0"/>
  </r>
  <r>
    <s v="P179"/>
    <s v="Facebook"/>
    <d v="2024-07-15T00:00:00"/>
    <s v="Carousel"/>
    <s v="Check out our latest carousel on facebook!"/>
    <n v="3796"/>
    <n v="667"/>
    <n v="395"/>
    <n v="64532"/>
    <n v="63550"/>
    <n v="292"/>
    <s v="#TeslaCoInnovation"/>
    <s v="no data"/>
    <s v="no data"/>
    <x v="4"/>
    <n v="7.5280481001673588E-2"/>
    <x v="3"/>
  </r>
  <r>
    <s v="P180"/>
    <s v="YouTube"/>
    <d v="2024-12-03T00:00:00"/>
    <s v="Text"/>
    <s v="Check out our latest text on youtube!"/>
    <n v="3711"/>
    <n v="352"/>
    <n v="290"/>
    <n v="48243"/>
    <n v="47579"/>
    <n v="11"/>
    <s v="#TeslaCoInnovation"/>
    <s v="no data"/>
    <s v="no data"/>
    <x v="0"/>
    <n v="9.023070704558174E-2"/>
    <x v="0"/>
  </r>
  <r>
    <s v="P181"/>
    <s v="YouTube"/>
    <d v="2025-03-21T00:00:00"/>
    <s v="Image"/>
    <s v="Check out our latest image on youtube!"/>
    <n v="606"/>
    <n v="789"/>
    <n v="470"/>
    <n v="7878"/>
    <n v="7389"/>
    <n v="239"/>
    <s v="#EVRevolution"/>
    <s v="no data"/>
    <s v="no data"/>
    <x v="2"/>
    <n v="0.23673521198273673"/>
    <x v="2"/>
  </r>
  <r>
    <s v="P182"/>
    <s v="Facebook"/>
    <d v="2024-07-31T00:00:00"/>
    <s v="Image"/>
    <s v="Check out our latest image on facebook!"/>
    <n v="4689"/>
    <n v="134"/>
    <n v="403"/>
    <n v="51579"/>
    <n v="50924"/>
    <n v="173"/>
    <s v="#TeslaCoInnovation"/>
    <s v="no data"/>
    <s v="no data"/>
    <x v="3"/>
    <n v="0.10132030477519921"/>
    <x v="0"/>
  </r>
  <r>
    <s v="P183"/>
    <s v="Instagram"/>
    <d v="2024-12-17T00:00:00"/>
    <s v="Story"/>
    <s v="Check out our latest story on instagram!"/>
    <n v="360"/>
    <n v="590"/>
    <n v="393"/>
    <n v="4680"/>
    <n v="4322"/>
    <n v="208"/>
    <s v="#FutureOfDriving"/>
    <s v="no data"/>
    <s v="no data"/>
    <x v="1"/>
    <n v="0.28696581196581195"/>
    <x v="2"/>
  </r>
  <r>
    <s v="P184"/>
    <s v="Twitter"/>
    <d v="2024-07-28T00:00:00"/>
    <s v="Image"/>
    <s v="Check out our latest image on twitter!"/>
    <n v="3215"/>
    <n v="960"/>
    <n v="202"/>
    <n v="32150"/>
    <n v="31404"/>
    <n v="251"/>
    <s v="#EVRevolution"/>
    <s v="no data"/>
    <s v="no data"/>
    <x v="0"/>
    <n v="0.13614307931570763"/>
    <x v="2"/>
  </r>
  <r>
    <s v="P185"/>
    <s v="Instagram"/>
    <d v="2025-01-11T00:00:00"/>
    <s v="Carousel"/>
    <s v="Check out our latest carousel on instagram!"/>
    <n v="4523"/>
    <n v="61"/>
    <n v="157"/>
    <n v="49753"/>
    <n v="49329"/>
    <n v="71"/>
    <s v="#EVRevolution"/>
    <s v="no data"/>
    <s v="no data"/>
    <x v="4"/>
    <n v="9.5290736237010829E-2"/>
    <x v="3"/>
  </r>
  <r>
    <s v="P186"/>
    <s v="Facebook"/>
    <d v="2024-08-24T00:00:00"/>
    <s v="Carousel"/>
    <s v="Check out our latest carousel on facebook!"/>
    <n v="4292"/>
    <n v="51"/>
    <n v="392"/>
    <n v="55796"/>
    <n v="54826"/>
    <n v="264"/>
    <s v="#EVRevolution"/>
    <s v="no data"/>
    <s v="no data"/>
    <x v="2"/>
    <n v="8.4862714173059003E-2"/>
    <x v="2"/>
  </r>
  <r>
    <s v="P187"/>
    <s v="Twitter"/>
    <d v="2024-12-22T00:00:00"/>
    <s v="Reel"/>
    <s v="Check out our latest reel on twitter!"/>
    <n v="1644"/>
    <n v="546"/>
    <n v="150"/>
    <n v="27948"/>
    <n v="27184"/>
    <n v="300"/>
    <s v="#EVRevolution"/>
    <s v="no data"/>
    <s v="no data"/>
    <x v="2"/>
    <n v="8.3726921425504502E-2"/>
    <x v="2"/>
  </r>
  <r>
    <s v="P188"/>
    <s v="YouTube"/>
    <d v="2024-06-06T00:00:00"/>
    <s v="Reel"/>
    <s v="Check out our latest reel on youtube!"/>
    <n v="2728"/>
    <n v="533"/>
    <n v="215"/>
    <n v="40920"/>
    <n v="40816"/>
    <n v="137"/>
    <s v="#FutureOfDriving"/>
    <s v="no data"/>
    <s v="no data"/>
    <x v="1"/>
    <n v="8.4946236559139784E-2"/>
    <x v="2"/>
  </r>
  <r>
    <s v="P189"/>
    <s v="Facebook"/>
    <d v="2025-03-24T00:00:00"/>
    <s v="Reel"/>
    <s v="Check out our latest reel on facebook!"/>
    <n v="3360"/>
    <n v="525"/>
    <n v="500"/>
    <n v="60480"/>
    <n v="59610"/>
    <n v="192"/>
    <s v="#TeslaCoInnovation"/>
    <s v="no data"/>
    <s v="no data"/>
    <x v="0"/>
    <n v="7.2503306878306875E-2"/>
    <x v="0"/>
  </r>
  <r>
    <s v="P190"/>
    <s v="YouTube"/>
    <d v="2024-10-04T00:00:00"/>
    <s v="Text"/>
    <s v="Check out our latest text on youtube!"/>
    <n v="1963"/>
    <n v="213"/>
    <n v="19"/>
    <n v="39260"/>
    <n v="38771"/>
    <n v="145"/>
    <s v="#FutureOfDriving"/>
    <s v="no data"/>
    <s v="no data"/>
    <x v="4"/>
    <n v="5.5909322465613857E-2"/>
    <x v="3"/>
  </r>
  <r>
    <s v="P191"/>
    <s v="YouTube"/>
    <d v="2024-12-03T00:00:00"/>
    <s v="Story"/>
    <s v="Check out our latest story on youtube!"/>
    <n v="4285"/>
    <n v="886"/>
    <n v="376"/>
    <n v="55705"/>
    <n v="55556"/>
    <n v="51"/>
    <s v="#FutureOfDriving"/>
    <s v="no data"/>
    <s v="no data"/>
    <x v="2"/>
    <n v="9.9578134817341346E-2"/>
    <x v="2"/>
  </r>
  <r>
    <s v="P192"/>
    <s v="Instagram"/>
    <d v="2024-11-29T00:00:00"/>
    <s v="Video"/>
    <s v="Check out our latest video on instagram!"/>
    <n v="1176"/>
    <n v="464"/>
    <n v="394"/>
    <n v="14112"/>
    <n v="13588"/>
    <n v="272"/>
    <s v="#EVRevolution"/>
    <s v="no data"/>
    <s v="no data"/>
    <x v="4"/>
    <n v="0.1441326530612245"/>
    <x v="3"/>
  </r>
  <r>
    <s v="P193"/>
    <s v="Twitter"/>
    <d v="2024-09-11T00:00:00"/>
    <s v="Image"/>
    <s v="Check out our latest image on twitter!"/>
    <n v="4858"/>
    <n v="317"/>
    <n v="129"/>
    <n v="53438"/>
    <n v="52687"/>
    <n v="223"/>
    <s v="#EVRevolution"/>
    <s v="no data"/>
    <s v="no data"/>
    <x v="2"/>
    <n v="9.9255211647142488E-2"/>
    <x v="2"/>
  </r>
  <r>
    <s v="P194"/>
    <s v="YouTube"/>
    <d v="2024-10-02T00:00:00"/>
    <s v="Story"/>
    <s v="Check out our latest story on youtube!"/>
    <n v="4350"/>
    <n v="771"/>
    <n v="7"/>
    <n v="60900"/>
    <n v="60592"/>
    <n v="195"/>
    <s v="#EVRevolution"/>
    <s v="no data"/>
    <s v="no data"/>
    <x v="0"/>
    <n v="8.4203612479474554E-2"/>
    <x v="2"/>
  </r>
  <r>
    <s v="P195"/>
    <s v="Instagram"/>
    <d v="2024-08-15T00:00:00"/>
    <s v="Carousel"/>
    <s v="Check out our latest carousel on instagram!"/>
    <n v="914"/>
    <n v="464"/>
    <n v="246"/>
    <n v="11882"/>
    <n v="11500"/>
    <n v="282"/>
    <s v="#FutureOfDriving"/>
    <s v="#TeslaCoInnovation"/>
    <s v="#AnytimeIsTeslaTime"/>
    <x v="3"/>
    <n v="0.13667732704931829"/>
    <x v="0"/>
  </r>
  <r>
    <s v="P196"/>
    <s v="Instagram"/>
    <d v="2024-12-19T00:00:00"/>
    <s v="Text"/>
    <s v="Check out our latest text on instagram!"/>
    <n v="1813"/>
    <n v="623"/>
    <n v="72"/>
    <n v="19943"/>
    <n v="18959"/>
    <n v="85"/>
    <s v="#EVRevolution"/>
    <s v="no data"/>
    <s v="no data"/>
    <x v="2"/>
    <n v="0.12575841147269717"/>
    <x v="2"/>
  </r>
  <r>
    <s v="P197"/>
    <s v="Twitter"/>
    <d v="2024-10-22T00:00:00"/>
    <s v="Reel"/>
    <s v="Check out our latest reel on twitter!"/>
    <n v="4782"/>
    <n v="721"/>
    <n v="82"/>
    <n v="86076"/>
    <n v="85339"/>
    <n v="19"/>
    <s v="#EVRevolution"/>
    <s v="no data"/>
    <s v="no data"/>
    <x v="0"/>
    <n v="6.4884520656164318E-2"/>
    <x v="1"/>
  </r>
  <r>
    <s v="P198"/>
    <s v="Twitter"/>
    <d v="2024-09-14T00:00:00"/>
    <s v="Image"/>
    <s v="Check out our latest image on twitter!"/>
    <n v="1048"/>
    <n v="374"/>
    <n v="450"/>
    <n v="9432"/>
    <n v="8882"/>
    <n v="158"/>
    <s v="#TeslaCoInnovation"/>
    <s v="no data"/>
    <s v="no data"/>
    <x v="2"/>
    <n v="0.19847328244274809"/>
    <x v="2"/>
  </r>
  <r>
    <s v="P199"/>
    <s v="YouTube"/>
    <d v="2024-11-30T00:00:00"/>
    <s v="Carousel"/>
    <s v="Check out our latest carousel on youtube!"/>
    <n v="2509"/>
    <n v="324"/>
    <n v="171"/>
    <n v="35126"/>
    <n v="34685"/>
    <n v="277"/>
    <s v="#TeslaCoInnovation"/>
    <s v="no data"/>
    <s v="no data"/>
    <x v="1"/>
    <n v="8.5520696919660646E-2"/>
    <x v="2"/>
  </r>
  <r>
    <s v="P200"/>
    <s v="Facebook"/>
    <d v="2025-04-07T00:00:00"/>
    <s v="Reel"/>
    <s v="Check out our latest reel on facebook!"/>
    <n v="3718"/>
    <n v="385"/>
    <n v="310"/>
    <n v="70642"/>
    <n v="69749"/>
    <n v="233"/>
    <s v="#TeslaCoInnovation"/>
    <s v="no data"/>
    <s v="no data"/>
    <x v="1"/>
    <n v="6.246991874522239E-2"/>
    <x v="0"/>
  </r>
  <r>
    <s v="P201"/>
    <s v="Twitter"/>
    <d v="2025-01-15T00:00:00"/>
    <s v="Reel"/>
    <s v="Check out our latest reel on twitter!"/>
    <n v="802"/>
    <n v="262"/>
    <n v="244"/>
    <n v="14436"/>
    <n v="14280"/>
    <n v="49"/>
    <s v="#EVRevolution"/>
    <s v="no data"/>
    <s v="no data"/>
    <x v="0"/>
    <n v="9.0606816292601824E-2"/>
    <x v="0"/>
  </r>
  <r>
    <s v="P202"/>
    <s v="Facebook"/>
    <d v="2024-06-02T00:00:00"/>
    <s v="Image"/>
    <s v="Check out our latest image on facebook!"/>
    <n v="1871"/>
    <n v="252"/>
    <n v="335"/>
    <n v="29936"/>
    <n v="29576"/>
    <n v="288"/>
    <s v="#EVRevolution"/>
    <s v="no data"/>
    <s v="no data"/>
    <x v="2"/>
    <n v="8.2108498129342594E-2"/>
    <x v="2"/>
  </r>
  <r>
    <s v="P203"/>
    <s v="Instagram"/>
    <d v="2024-11-21T00:00:00"/>
    <s v="Carousel"/>
    <s v="Check out our latest carousel on instagram!"/>
    <n v="3773"/>
    <n v="299"/>
    <n v="38"/>
    <n v="71687"/>
    <n v="71447"/>
    <n v="286"/>
    <s v="#FutureOfDriving"/>
    <s v="no data"/>
    <s v="no data"/>
    <x v="0"/>
    <n v="5.7332570758993957E-2"/>
    <x v="0"/>
  </r>
  <r>
    <s v="P204"/>
    <s v="Instagram"/>
    <d v="2025-01-01T00:00:00"/>
    <s v="Carousel"/>
    <s v="Check out our latest carousel on instagram!"/>
    <n v="2234"/>
    <n v="653"/>
    <n v="432"/>
    <n v="11170"/>
    <n v="10569"/>
    <n v="198"/>
    <s v="#FutureOfDriving"/>
    <s v="no data"/>
    <s v="no data"/>
    <x v="2"/>
    <n v="0.29713518352730528"/>
    <x v="2"/>
  </r>
  <r>
    <s v="P205"/>
    <s v="Twitter"/>
    <d v="2025-04-24T00:00:00"/>
    <s v="Video"/>
    <s v="Check out our latest video on twitter!"/>
    <n v="3820"/>
    <n v="697"/>
    <n v="268"/>
    <n v="45840"/>
    <n v="45631"/>
    <n v="171"/>
    <s v="#TeslaCoInnovation"/>
    <s v="#SmoothLikeNitroTesla"/>
    <s v="no data"/>
    <x v="3"/>
    <n v="0.1043848167539267"/>
    <x v="0"/>
  </r>
  <r>
    <s v="P206"/>
    <s v="Twitter"/>
    <d v="2024-06-24T00:00:00"/>
    <s v="Text"/>
    <s v="Check out our latest text on twitter!"/>
    <n v="941"/>
    <n v="121"/>
    <n v="458"/>
    <n v="14115"/>
    <n v="13838"/>
    <n v="87"/>
    <s v="#EVRevolution"/>
    <s v="no data"/>
    <s v="no data"/>
    <x v="0"/>
    <n v="0.10768685795253277"/>
    <x v="2"/>
  </r>
  <r>
    <s v="P207"/>
    <s v="Twitter"/>
    <d v="2024-12-29T00:00:00"/>
    <s v="Carousel"/>
    <s v="Check out our latest carousel on twitter!"/>
    <n v="4274"/>
    <n v="340"/>
    <n v="281"/>
    <n v="34192"/>
    <n v="33446"/>
    <n v="129"/>
    <s v="#TeslaCoInnovation"/>
    <s v="#SmoothLikeNitroTesla"/>
    <s v="no data"/>
    <x v="2"/>
    <n v="0.14316214319138981"/>
    <x v="2"/>
  </r>
  <r>
    <s v="P208"/>
    <s v="YouTube"/>
    <d v="2024-06-24T00:00:00"/>
    <s v="Video"/>
    <s v="Check out our latest video on youtube!"/>
    <n v="2949"/>
    <n v="476"/>
    <n v="403"/>
    <n v="44235"/>
    <n v="43705"/>
    <n v="135"/>
    <s v="#TeslaCoInnovation"/>
    <s v="no data"/>
    <s v="no data"/>
    <x v="1"/>
    <n v="8.6537809426924378E-2"/>
    <x v="2"/>
  </r>
  <r>
    <s v="P209"/>
    <s v="Twitter"/>
    <d v="2025-03-19T00:00:00"/>
    <s v="Video"/>
    <s v="Check out our latest video on twitter!"/>
    <n v="3160"/>
    <n v="204"/>
    <n v="297"/>
    <n v="44240"/>
    <n v="43666"/>
    <n v="49"/>
    <s v="#FutureOfDriving"/>
    <s v="#AnytimeIsTeslaTime"/>
    <s v="no data"/>
    <x v="3"/>
    <n v="8.2753164556962022E-2"/>
    <x v="0"/>
  </r>
  <r>
    <s v="P210"/>
    <s v="YouTube"/>
    <d v="2025-02-19T00:00:00"/>
    <s v="Image"/>
    <s v="Check out our latest image on youtube!"/>
    <n v="257"/>
    <n v="966"/>
    <n v="398"/>
    <n v="3341"/>
    <n v="2753"/>
    <n v="287"/>
    <s v="#FutureOfDriving"/>
    <s v="no data"/>
    <s v="no data"/>
    <x v="0"/>
    <n v="0.48518407662376534"/>
    <x v="0"/>
  </r>
  <r>
    <s v="P211"/>
    <s v="Twitter"/>
    <d v="2024-07-18T00:00:00"/>
    <s v="Carousel"/>
    <s v="Check out our latest carousel on twitter!"/>
    <n v="2120"/>
    <n v="38"/>
    <n v="212"/>
    <n v="12720"/>
    <n v="12564"/>
    <n v="21"/>
    <s v="#FutureOfDriving"/>
    <s v="no data"/>
    <s v="no data"/>
    <x v="3"/>
    <n v="0.18632075471698112"/>
    <x v="0"/>
  </r>
  <r>
    <s v="P212"/>
    <s v="YouTube"/>
    <d v="2025-03-03T00:00:00"/>
    <s v="Video"/>
    <s v="Check out our latest video on youtube!"/>
    <n v="3874"/>
    <n v="884"/>
    <n v="19"/>
    <n v="38740"/>
    <n v="38552"/>
    <n v="219"/>
    <s v="#TeslaCoInnovation"/>
    <s v="no data"/>
    <s v="no data"/>
    <x v="1"/>
    <n v="0.123309241094476"/>
    <x v="1"/>
  </r>
  <r>
    <s v="P213"/>
    <s v="Facebook"/>
    <d v="2025-05-01T00:00:00"/>
    <s v="Carousel"/>
    <s v="Check out our latest carousel on facebook!"/>
    <n v="2696"/>
    <n v="628"/>
    <n v="443"/>
    <n v="45832"/>
    <n v="45632"/>
    <n v="248"/>
    <s v="#EVRevolution"/>
    <s v="no data"/>
    <s v="no data"/>
    <x v="3"/>
    <n v="8.21914819340199E-2"/>
    <x v="0"/>
  </r>
  <r>
    <s v="P214"/>
    <s v="Instagram"/>
    <d v="2024-12-23T00:00:00"/>
    <s v="Image"/>
    <s v="Check out our latest image on instagram!"/>
    <n v="521"/>
    <n v="746"/>
    <n v="315"/>
    <n v="4168"/>
    <n v="3399"/>
    <n v="282"/>
    <s v="#FutureOfDriving"/>
    <s v="no data"/>
    <s v="no data"/>
    <x v="1"/>
    <n v="0.37955854126679461"/>
    <x v="2"/>
  </r>
  <r>
    <s v="P215"/>
    <s v="Facebook"/>
    <d v="2025-05-06T00:00:00"/>
    <s v="Image"/>
    <s v="Check out our latest image on facebook!"/>
    <n v="4872"/>
    <n v="925"/>
    <n v="176"/>
    <n v="82824"/>
    <n v="82543"/>
    <n v="89"/>
    <s v="#EVRevolution"/>
    <s v="no data"/>
    <s v="no data"/>
    <x v="1"/>
    <n v="7.2116777745580993E-2"/>
    <x v="0"/>
  </r>
  <r>
    <s v="P216"/>
    <s v="YouTube"/>
    <d v="2024-07-29T00:00:00"/>
    <s v="Story"/>
    <s v="Check out our latest story on youtube!"/>
    <n v="1509"/>
    <n v="88"/>
    <n v="163"/>
    <n v="30180"/>
    <n v="29689"/>
    <n v="119"/>
    <s v="#EVRevolution"/>
    <s v="no data"/>
    <s v="no data"/>
    <x v="1"/>
    <n v="5.8316766070245198E-2"/>
    <x v="2"/>
  </r>
  <r>
    <s v="P217"/>
    <s v="Facebook"/>
    <d v="2024-12-03T00:00:00"/>
    <s v="Image"/>
    <s v="Check out our latest image on facebook!"/>
    <n v="4606"/>
    <n v="931"/>
    <n v="230"/>
    <n v="92120"/>
    <n v="91440"/>
    <n v="56"/>
    <s v="#TeslaCoInnovation"/>
    <s v="no data"/>
    <s v="no data"/>
    <x v="4"/>
    <n v="6.2603126356925748E-2"/>
    <x v="3"/>
  </r>
  <r>
    <s v="P218"/>
    <s v="Facebook"/>
    <d v="2024-06-11T00:00:00"/>
    <s v="Carousel"/>
    <s v="Check out our latest carousel on facebook!"/>
    <n v="1869"/>
    <n v="453"/>
    <n v="490"/>
    <n v="14952"/>
    <n v="14309"/>
    <n v="275"/>
    <s v="#TeslaCoInnovation"/>
    <s v="no data"/>
    <s v="no data"/>
    <x v="3"/>
    <n v="0.18806848582129482"/>
    <x v="1"/>
  </r>
  <r>
    <s v="P219"/>
    <s v="Twitter"/>
    <d v="2025-01-28T00:00:00"/>
    <s v="Reel"/>
    <s v="Check out our latest reel on twitter!"/>
    <n v="1188"/>
    <n v="470"/>
    <n v="174"/>
    <n v="7128"/>
    <n v="6145"/>
    <n v="270"/>
    <s v="#TeslaCoInnovation"/>
    <s v="no data"/>
    <s v="no data"/>
    <x v="3"/>
    <n v="0.25701459034792368"/>
    <x v="0"/>
  </r>
  <r>
    <s v="P220"/>
    <s v="Instagram"/>
    <d v="2024-06-02T00:00:00"/>
    <s v="Story"/>
    <s v="Check out our latest story on instagram!"/>
    <n v="84"/>
    <n v="897"/>
    <n v="85"/>
    <n v="588"/>
    <n v="8"/>
    <n v="12"/>
    <s v="#EVRevolution"/>
    <s v="no data"/>
    <s v="no data"/>
    <x v="4"/>
    <n v="1.8129251700680271"/>
    <x v="3"/>
  </r>
  <r>
    <s v="P221"/>
    <s v="Facebook"/>
    <d v="2025-03-23T00:00:00"/>
    <s v="Video"/>
    <s v="Check out our latest video on facebook!"/>
    <n v="4453"/>
    <n v="111"/>
    <n v="420"/>
    <n v="31171"/>
    <n v="30565"/>
    <n v="23"/>
    <s v="#TeslaCoInnovation"/>
    <s v="no data"/>
    <s v="no data"/>
    <x v="4"/>
    <n v="0.15989220750056141"/>
    <x v="3"/>
  </r>
  <r>
    <s v="P222"/>
    <s v="Facebook"/>
    <d v="2024-10-08T00:00:00"/>
    <s v="Reel"/>
    <s v="Check out our latest reel on facebook!"/>
    <n v="1814"/>
    <n v="653"/>
    <n v="363"/>
    <n v="25396"/>
    <n v="25286"/>
    <n v="39"/>
    <s v="#FutureOfDriving"/>
    <s v="#SmoothLikeNitroTesla"/>
    <s v="no data"/>
    <x v="0"/>
    <n v="0.11143487163332809"/>
    <x v="2"/>
  </r>
  <r>
    <s v="P223"/>
    <s v="Twitter"/>
    <d v="2024-11-12T00:00:00"/>
    <s v="Image"/>
    <s v="Check out our latest image on twitter!"/>
    <n v="3338"/>
    <n v="277"/>
    <n v="118"/>
    <n v="60084"/>
    <n v="59842"/>
    <n v="252"/>
    <s v="#TeslaCoInnovation"/>
    <s v="no data"/>
    <s v="no data"/>
    <x v="4"/>
    <n v="6.2129685107516146E-2"/>
    <x v="3"/>
  </r>
  <r>
    <s v="P224"/>
    <s v="Facebook"/>
    <d v="2025-05-13T00:00:00"/>
    <s v="Image"/>
    <s v="Check out our latest image on facebook!"/>
    <n v="602"/>
    <n v="594"/>
    <n v="156"/>
    <n v="4214"/>
    <n v="3363"/>
    <n v="164"/>
    <s v="#TeslaCoInnovation"/>
    <s v="no data"/>
    <s v="no data"/>
    <x v="2"/>
    <n v="0.32083531086853345"/>
    <x v="1"/>
  </r>
  <r>
    <s v="P225"/>
    <s v="Twitter"/>
    <d v="2024-06-20T00:00:00"/>
    <s v="Carousel"/>
    <s v="Check out our latest carousel on twitter!"/>
    <n v="4672"/>
    <n v="325"/>
    <n v="32"/>
    <n v="88768"/>
    <n v="87833"/>
    <n v="118"/>
    <s v="#EVRevolution"/>
    <s v="no data"/>
    <s v="no data"/>
    <x v="4"/>
    <n v="5.6653298485940883E-2"/>
    <x v="3"/>
  </r>
  <r>
    <s v="P226"/>
    <s v="Instagram"/>
    <d v="2024-08-07T00:00:00"/>
    <s v="Carousel"/>
    <s v="Check out our latest carousel on instagram!"/>
    <n v="1741"/>
    <n v="164"/>
    <n v="318"/>
    <n v="8705"/>
    <n v="8272"/>
    <n v="121"/>
    <s v="#TeslaCoInnovation"/>
    <s v="no data"/>
    <s v="no data"/>
    <x v="4"/>
    <n v="0.25537047673750718"/>
    <x v="3"/>
  </r>
  <r>
    <s v="P227"/>
    <s v="Instagram"/>
    <d v="2024-06-12T00:00:00"/>
    <s v="Text"/>
    <s v="Check out our latest text on instagram!"/>
    <n v="246"/>
    <n v="149"/>
    <n v="130"/>
    <n v="4674"/>
    <n v="4390"/>
    <n v="217"/>
    <s v="#FutureOfDriving"/>
    <s v="no data"/>
    <s v="no data"/>
    <x v="2"/>
    <n v="0.11232349165596919"/>
    <x v="2"/>
  </r>
  <r>
    <s v="P228"/>
    <s v="Instagram"/>
    <d v="2024-07-01T00:00:00"/>
    <s v="Story"/>
    <s v="Check out our latest story on instagram!"/>
    <n v="4808"/>
    <n v="772"/>
    <n v="320"/>
    <n v="72120"/>
    <n v="71696"/>
    <n v="195"/>
    <s v="#EVRevolution"/>
    <s v="no data"/>
    <s v="no data"/>
    <x v="0"/>
    <n v="8.1808097615085965E-2"/>
    <x v="2"/>
  </r>
  <r>
    <s v="P229"/>
    <s v="Instagram"/>
    <d v="2024-07-03T00:00:00"/>
    <s v="Carousel"/>
    <s v="Check out our latest carousel on instagram!"/>
    <n v="4799"/>
    <n v="694"/>
    <n v="289"/>
    <n v="43191"/>
    <n v="42228"/>
    <n v="118"/>
    <s v="#TeslaCoInnovation"/>
    <s v="no data"/>
    <s v="no data"/>
    <x v="4"/>
    <n v="0.13387048227640017"/>
    <x v="3"/>
  </r>
  <r>
    <s v="P230"/>
    <s v="Facebook"/>
    <d v="2024-07-15T00:00:00"/>
    <s v="Reel"/>
    <s v="Check out our latest reel on facebook!"/>
    <n v="3663"/>
    <n v="17"/>
    <n v="295"/>
    <n v="51282"/>
    <n v="50567"/>
    <n v="84"/>
    <s v="#EVRevolution"/>
    <s v="no data"/>
    <s v="no data"/>
    <x v="2"/>
    <n v="7.7512577512577507E-2"/>
    <x v="2"/>
  </r>
  <r>
    <s v="P231"/>
    <s v="Instagram"/>
    <d v="2025-05-01T00:00:00"/>
    <s v="Text"/>
    <s v="Check out our latest text on instagram!"/>
    <n v="1430"/>
    <n v="376"/>
    <n v="33"/>
    <n v="21450"/>
    <n v="20509"/>
    <n v="251"/>
    <s v="#FutureOfDriving"/>
    <s v="no data"/>
    <s v="no data"/>
    <x v="0"/>
    <n v="8.5734265734265735E-2"/>
    <x v="0"/>
  </r>
  <r>
    <s v="P232"/>
    <s v="Twitter"/>
    <d v="2025-04-29T00:00:00"/>
    <s v="Story"/>
    <s v="Check out our latest story on twitter!"/>
    <n v="249"/>
    <n v="592"/>
    <n v="230"/>
    <n v="1494"/>
    <n v="1044"/>
    <n v="201"/>
    <s v="#EVRevolution"/>
    <s v="no data"/>
    <s v="no data"/>
    <x v="3"/>
    <n v="0.7168674698795181"/>
    <x v="0"/>
  </r>
  <r>
    <s v="P233"/>
    <s v="Facebook"/>
    <d v="2025-03-08T00:00:00"/>
    <s v="Image"/>
    <s v="Check out our latest image on facebook!"/>
    <n v="2382"/>
    <n v="265"/>
    <n v="134"/>
    <n v="38112"/>
    <n v="37437"/>
    <n v="249"/>
    <s v="#FutureOfDriving"/>
    <s v="no data"/>
    <s v="no data"/>
    <x v="3"/>
    <n v="7.2969143576826198E-2"/>
    <x v="0"/>
  </r>
  <r>
    <s v="P234"/>
    <s v="Facebook"/>
    <d v="2024-06-01T00:00:00"/>
    <s v="Text"/>
    <s v="Check out our latest text on facebook!"/>
    <n v="1272"/>
    <n v="465"/>
    <n v="99"/>
    <n v="24168"/>
    <n v="23719"/>
    <n v="42"/>
    <s v="#TeslaCoInnovation"/>
    <s v="no data"/>
    <s v="no data"/>
    <x v="4"/>
    <n v="7.5968222442899705E-2"/>
    <x v="3"/>
  </r>
  <r>
    <s v="P235"/>
    <s v="Facebook"/>
    <d v="2024-12-22T00:00:00"/>
    <s v="Image"/>
    <s v="Check out our latest image on facebook!"/>
    <n v="3196"/>
    <n v="941"/>
    <n v="376"/>
    <n v="35156"/>
    <n v="34444"/>
    <n v="241"/>
    <s v="#TeslaCoInnovation"/>
    <s v="no data"/>
    <s v="no data"/>
    <x v="2"/>
    <n v="0.1283706906360223"/>
    <x v="2"/>
  </r>
  <r>
    <s v="P236"/>
    <s v="Facebook"/>
    <d v="2024-08-19T00:00:00"/>
    <s v="Text"/>
    <s v="Check out our latest text on facebook!"/>
    <n v="1257"/>
    <n v="19"/>
    <n v="351"/>
    <n v="12570"/>
    <n v="11660"/>
    <n v="194"/>
    <s v="#FutureOfDriving"/>
    <s v="#AnytimeIsTeslaTime"/>
    <s v="#EVRevolution"/>
    <x v="1"/>
    <n v="0.12943516308671441"/>
    <x v="2"/>
  </r>
  <r>
    <s v="P237"/>
    <s v="Instagram"/>
    <d v="2024-10-22T00:00:00"/>
    <s v="Story"/>
    <s v="Check out our latest story on instagram!"/>
    <n v="3770"/>
    <n v="917"/>
    <n v="129"/>
    <n v="71630"/>
    <n v="71322"/>
    <n v="76"/>
    <s v="#FutureOfDriving"/>
    <s v="no data"/>
    <s v="no data"/>
    <x v="0"/>
    <n v="6.7234398994834563E-2"/>
    <x v="1"/>
  </r>
  <r>
    <s v="P238"/>
    <s v="Twitter"/>
    <d v="2024-07-16T00:00:00"/>
    <s v="Text"/>
    <s v="Check out our latest text on twitter!"/>
    <n v="4725"/>
    <n v="400"/>
    <n v="362"/>
    <n v="75600"/>
    <n v="74927"/>
    <n v="43"/>
    <s v="#FutureOfDriving"/>
    <s v="no data"/>
    <s v="no data"/>
    <x v="3"/>
    <n v="7.2579365079365077E-2"/>
    <x v="0"/>
  </r>
  <r>
    <s v="P239"/>
    <s v="YouTube"/>
    <d v="2025-02-24T00:00:00"/>
    <s v="Text"/>
    <s v="Check out our latest text on youtube!"/>
    <n v="4188"/>
    <n v="942"/>
    <n v="118"/>
    <n v="20940"/>
    <n v="20471"/>
    <n v="102"/>
    <s v="#FutureOfDriving"/>
    <s v="no data"/>
    <s v="no data"/>
    <x v="4"/>
    <n v="0.25062082139446035"/>
    <x v="3"/>
  </r>
  <r>
    <s v="P240"/>
    <s v="Twitter"/>
    <d v="2024-08-26T00:00:00"/>
    <s v="Carousel"/>
    <s v="Check out our latest carousel on twitter!"/>
    <n v="929"/>
    <n v="192"/>
    <n v="322"/>
    <n v="16722"/>
    <n v="15996"/>
    <n v="145"/>
    <s v="#EVRevolution"/>
    <s v="#TeslaCoInnovation"/>
    <s v="#AnytimeIsTeslaTime"/>
    <x v="2"/>
    <n v="8.6293505561535699E-2"/>
    <x v="2"/>
  </r>
  <r>
    <s v="P241"/>
    <s v="Facebook"/>
    <d v="2025-01-18T00:00:00"/>
    <s v="Story"/>
    <s v="Check out our latest story on facebook!"/>
    <n v="4321"/>
    <n v="874"/>
    <n v="172"/>
    <n v="30247"/>
    <n v="29254"/>
    <n v="122"/>
    <s v="#TeslaCoInnovation"/>
    <s v="no data"/>
    <s v="no data"/>
    <x v="3"/>
    <n v="0.17743908486792079"/>
    <x v="0"/>
  </r>
  <r>
    <s v="P242"/>
    <s v="Facebook"/>
    <d v="2024-07-07T00:00:00"/>
    <s v="Reel"/>
    <s v="Check out our latest reel on facebook!"/>
    <n v="4767"/>
    <n v="190"/>
    <n v="340"/>
    <n v="28602"/>
    <n v="28044"/>
    <n v="210"/>
    <s v="#EVRevolution"/>
    <s v="no data"/>
    <s v="no data"/>
    <x v="2"/>
    <n v="0.18519683938186141"/>
    <x v="2"/>
  </r>
  <r>
    <s v="P243"/>
    <s v="Twitter"/>
    <d v="2025-03-06T00:00:00"/>
    <s v="Image"/>
    <s v="Check out our latest image on twitter!"/>
    <n v="3592"/>
    <n v="911"/>
    <n v="375"/>
    <n v="50288"/>
    <n v="49490"/>
    <n v="32"/>
    <s v="#FutureOfDriving"/>
    <s v="no data"/>
    <s v="no data"/>
    <x v="3"/>
    <n v="9.7001272669424113E-2"/>
    <x v="0"/>
  </r>
  <r>
    <s v="P244"/>
    <s v="YouTube"/>
    <d v="2024-10-25T00:00:00"/>
    <s v="Video"/>
    <s v="Check out our latest video on youtube!"/>
    <n v="4661"/>
    <n v="935"/>
    <n v="433"/>
    <n v="23305"/>
    <n v="22583"/>
    <n v="63"/>
    <s v="#FutureOfDriving"/>
    <s v="no data"/>
    <s v="no data"/>
    <x v="2"/>
    <n v="0.25869984981763572"/>
    <x v="2"/>
  </r>
  <r>
    <s v="P245"/>
    <s v="Facebook"/>
    <d v="2025-01-12T00:00:00"/>
    <s v="Reel"/>
    <s v="Check out our latest reel on facebook!"/>
    <n v="4134"/>
    <n v="824"/>
    <n v="99"/>
    <n v="41340"/>
    <n v="41050"/>
    <n v="177"/>
    <s v="#EVRevolution"/>
    <s v="no data"/>
    <s v="no data"/>
    <x v="0"/>
    <n v="0.12232704402515723"/>
    <x v="0"/>
  </r>
  <r>
    <s v="P246"/>
    <s v="Facebook"/>
    <d v="2024-10-11T00:00:00"/>
    <s v="Image"/>
    <s v="Check out our latest image on facebook!"/>
    <n v="400"/>
    <n v="680"/>
    <n v="434"/>
    <n v="6400"/>
    <n v="5472"/>
    <n v="160"/>
    <s v="#FutureOfDriving"/>
    <s v="no data"/>
    <s v="no data"/>
    <x v="1"/>
    <n v="0.23656250000000001"/>
    <x v="2"/>
  </r>
  <r>
    <s v="P247"/>
    <s v="Facebook"/>
    <d v="2024-08-27T00:00:00"/>
    <s v="Reel"/>
    <s v="Check out our latest reel on facebook!"/>
    <n v="3960"/>
    <n v="266"/>
    <n v="8"/>
    <n v="35640"/>
    <n v="34850"/>
    <n v="208"/>
    <s v="#FutureOfDriving"/>
    <s v="#EVRevolution"/>
    <s v="#BetterWithTesla"/>
    <x v="4"/>
    <n v="0.11879910213243547"/>
    <x v="3"/>
  </r>
  <r>
    <s v="P248"/>
    <s v="Facebook"/>
    <d v="2025-02-02T00:00:00"/>
    <s v="Story"/>
    <s v="Check out our latest story on facebook!"/>
    <n v="886"/>
    <n v="126"/>
    <n v="153"/>
    <n v="4430"/>
    <n v="4037"/>
    <n v="212"/>
    <s v="#EVRevolution"/>
    <s v="no data"/>
    <s v="no data"/>
    <x v="4"/>
    <n v="0.26297968397291194"/>
    <x v="3"/>
  </r>
  <r>
    <s v="P249"/>
    <s v="Twitter"/>
    <d v="2024-07-18T00:00:00"/>
    <s v="Image"/>
    <s v="Check out our latest image on twitter!"/>
    <n v="827"/>
    <n v="77"/>
    <n v="402"/>
    <n v="14886"/>
    <n v="14129"/>
    <n v="254"/>
    <s v="#EVRevolution"/>
    <s v="no data"/>
    <s v="no data"/>
    <x v="1"/>
    <n v="8.7733440816874911E-2"/>
    <x v="2"/>
  </r>
  <r>
    <s v="P250"/>
    <s v="Facebook"/>
    <d v="2024-06-22T00:00:00"/>
    <s v="Reel"/>
    <s v="Check out our latest reel on facebook!"/>
    <n v="3813"/>
    <n v="935"/>
    <n v="274"/>
    <n v="68634"/>
    <n v="68488"/>
    <n v="251"/>
    <s v="#FutureOfDriving"/>
    <s v="no data"/>
    <s v="no data"/>
    <x v="4"/>
    <n v="7.3170731707317069E-2"/>
    <x v="3"/>
  </r>
  <r>
    <s v="P251"/>
    <s v="Instagram"/>
    <d v="2025-03-27T00:00:00"/>
    <s v="Carousel"/>
    <s v="Check out our latest carousel on instagram!"/>
    <n v="1377"/>
    <n v="796"/>
    <n v="387"/>
    <n v="22032"/>
    <n v="21869"/>
    <n v="189"/>
    <s v="#FutureOfDriving"/>
    <s v="no data"/>
    <s v="no data"/>
    <x v="4"/>
    <n v="0.11619462599854757"/>
    <x v="3"/>
  </r>
  <r>
    <s v="P252"/>
    <s v="Facebook"/>
    <d v="2025-04-28T00:00:00"/>
    <s v="Carousel"/>
    <s v="Check out our latest carousel on facebook!"/>
    <n v="2089"/>
    <n v="476"/>
    <n v="69"/>
    <n v="16712"/>
    <n v="16309"/>
    <n v="64"/>
    <s v="#FutureOfDriving"/>
    <s v="no data"/>
    <s v="no data"/>
    <x v="2"/>
    <n v="0.15761129727142173"/>
    <x v="2"/>
  </r>
  <r>
    <s v="P253"/>
    <s v="Twitter"/>
    <d v="2024-08-03T00:00:00"/>
    <s v="Reel"/>
    <s v="Check out our latest reel on twitter!"/>
    <n v="3791"/>
    <n v="593"/>
    <n v="228"/>
    <n v="53074"/>
    <n v="52613"/>
    <n v="205"/>
    <s v="#EVRevolution"/>
    <s v="no data"/>
    <s v="no data"/>
    <x v="4"/>
    <n v="8.6897539284772202E-2"/>
    <x v="3"/>
  </r>
  <r>
    <s v="P254"/>
    <s v="Twitter"/>
    <d v="2025-01-14T00:00:00"/>
    <s v="Image"/>
    <s v="Check out our latest image on twitter!"/>
    <n v="2692"/>
    <n v="115"/>
    <n v="64"/>
    <n v="21536"/>
    <n v="21120"/>
    <n v="224"/>
    <s v="#FutureOfDriving"/>
    <s v="no data"/>
    <s v="no data"/>
    <x v="1"/>
    <n v="0.13331166419019316"/>
    <x v="2"/>
  </r>
  <r>
    <s v="P255"/>
    <s v="Facebook"/>
    <d v="2025-04-03T00:00:00"/>
    <s v="Story"/>
    <s v="Check out our latest story on facebook!"/>
    <n v="3767"/>
    <n v="514"/>
    <n v="238"/>
    <n v="37670"/>
    <n v="36807"/>
    <n v="226"/>
    <s v="#FutureOfDriving"/>
    <s v="no data"/>
    <s v="no data"/>
    <x v="3"/>
    <n v="0.11996283514733209"/>
    <x v="0"/>
  </r>
  <r>
    <s v="P256"/>
    <s v="YouTube"/>
    <d v="2024-09-18T00:00:00"/>
    <s v="Carousel"/>
    <s v="Check out our latest carousel on youtube!"/>
    <n v="2143"/>
    <n v="12"/>
    <n v="204"/>
    <n v="40717"/>
    <n v="40125"/>
    <n v="248"/>
    <s v="#EVRevolution"/>
    <s v="no data"/>
    <s v="no data"/>
    <x v="1"/>
    <n v="5.7936488444630008E-2"/>
    <x v="2"/>
  </r>
  <r>
    <s v="P257"/>
    <s v="Facebook"/>
    <d v="2025-04-06T00:00:00"/>
    <s v="Image"/>
    <s v="Check out our latest image on facebook!"/>
    <n v="3090"/>
    <n v="697"/>
    <n v="164"/>
    <n v="49440"/>
    <n v="48524"/>
    <n v="25"/>
    <s v="#EVRevolution"/>
    <s v="#EVRevolution"/>
    <s v="#BetterWithTesla"/>
    <x v="1"/>
    <n v="7.9915048543689318E-2"/>
    <x v="0"/>
  </r>
  <r>
    <s v="P258"/>
    <s v="Instagram"/>
    <d v="2024-08-05T00:00:00"/>
    <s v="Story"/>
    <s v="Check out our latest story on instagram!"/>
    <n v="3601"/>
    <n v="695"/>
    <n v="75"/>
    <n v="21606"/>
    <n v="21454"/>
    <n v="172"/>
    <s v="#EVRevolution"/>
    <s v="no data"/>
    <s v="no data"/>
    <x v="1"/>
    <n v="0.2023049153013052"/>
    <x v="2"/>
  </r>
  <r>
    <s v="P259"/>
    <s v="Facebook"/>
    <d v="2025-02-10T00:00:00"/>
    <s v="Text"/>
    <s v="Check out our latest text on facebook!"/>
    <n v="562"/>
    <n v="158"/>
    <n v="149"/>
    <n v="3372"/>
    <n v="2940"/>
    <n v="93"/>
    <s v="#TeslaCoInnovation"/>
    <s v="no data"/>
    <s v="no data"/>
    <x v="0"/>
    <n v="0.25771055753262156"/>
    <x v="0"/>
  </r>
  <r>
    <s v="P260"/>
    <s v="Instagram"/>
    <d v="2025-02-12T00:00:00"/>
    <s v="Story"/>
    <s v="Check out our latest story on instagram!"/>
    <n v="4332"/>
    <n v="771"/>
    <n v="219"/>
    <n v="60648"/>
    <n v="60397"/>
    <n v="10"/>
    <s v="#TeslaCoInnovation"/>
    <s v="#EVRevolution"/>
    <s v="#BetterWithTesla"/>
    <x v="2"/>
    <n v="8.7752275425405618E-2"/>
    <x v="2"/>
  </r>
  <r>
    <s v="P261"/>
    <s v="Instagram"/>
    <d v="2024-10-27T00:00:00"/>
    <s v="Image"/>
    <s v="Check out our latest image on instagram!"/>
    <n v="4853"/>
    <n v="837"/>
    <n v="340"/>
    <n v="72795"/>
    <n v="72237"/>
    <n v="170"/>
    <s v="#EVRevolution"/>
    <s v="no data"/>
    <s v="no data"/>
    <x v="0"/>
    <n v="8.2835359571399134E-2"/>
    <x v="1"/>
  </r>
  <r>
    <s v="P262"/>
    <s v="YouTube"/>
    <d v="2025-01-18T00:00:00"/>
    <s v="Image"/>
    <s v="Check out our latest image on youtube!"/>
    <n v="1206"/>
    <n v="238"/>
    <n v="36"/>
    <n v="9648"/>
    <n v="9417"/>
    <n v="237"/>
    <s v="#TeslaCoInnovation"/>
    <s v="no data"/>
    <s v="no data"/>
    <x v="4"/>
    <n v="0.15339966832504145"/>
    <x v="3"/>
  </r>
  <r>
    <s v="P263"/>
    <s v="Instagram"/>
    <d v="2024-08-20T00:00:00"/>
    <s v="Reel"/>
    <s v="Check out our latest reel on instagram!"/>
    <n v="2603"/>
    <n v="690"/>
    <n v="205"/>
    <n v="13015"/>
    <n v="12130"/>
    <n v="20"/>
    <s v="#FutureOfDriving"/>
    <s v="no data"/>
    <s v="no data"/>
    <x v="1"/>
    <n v="0.26876680752977333"/>
    <x v="2"/>
  </r>
  <r>
    <s v="P264"/>
    <s v="Twitter"/>
    <d v="2025-01-30T00:00:00"/>
    <s v="Image"/>
    <s v="Check out our latest image on twitter!"/>
    <n v="59"/>
    <n v="163"/>
    <n v="93"/>
    <n v="590"/>
    <n v="475"/>
    <n v="293"/>
    <s v="#TeslaCoInnovation"/>
    <s v="no data"/>
    <s v="no data"/>
    <x v="1"/>
    <n v="0.53389830508474578"/>
    <x v="2"/>
  </r>
  <r>
    <s v="P265"/>
    <s v="Twitter"/>
    <d v="2025-02-20T00:00:00"/>
    <s v="Carousel"/>
    <s v="Check out our latest carousel on twitter!"/>
    <n v="1877"/>
    <n v="745"/>
    <n v="225"/>
    <n v="11262"/>
    <n v="10967"/>
    <n v="41"/>
    <s v="#EVRevolution"/>
    <s v="no data"/>
    <s v="no data"/>
    <x v="3"/>
    <n v="0.25279701651571657"/>
    <x v="0"/>
  </r>
  <r>
    <s v="P266"/>
    <s v="Facebook"/>
    <d v="2024-11-25T00:00:00"/>
    <s v="Story"/>
    <s v="Check out our latest story on facebook!"/>
    <n v="4182"/>
    <n v="640"/>
    <n v="240"/>
    <n v="50184"/>
    <n v="49351"/>
    <n v="10"/>
    <s v="#TeslaCoInnovation"/>
    <s v="no data"/>
    <s v="no data"/>
    <x v="2"/>
    <n v="0.10086880280567512"/>
    <x v="2"/>
  </r>
  <r>
    <s v="P267"/>
    <s v="Twitter"/>
    <d v="2024-10-04T00:00:00"/>
    <s v="Reel"/>
    <s v="Check out our latest reel on twitter!"/>
    <n v="4187"/>
    <n v="66"/>
    <n v="31"/>
    <n v="66992"/>
    <n v="66614"/>
    <n v="62"/>
    <s v="#FutureOfDriving"/>
    <s v="no data"/>
    <s v="no data"/>
    <x v="4"/>
    <n v="6.3947934081681396E-2"/>
    <x v="3"/>
  </r>
  <r>
    <s v="P268"/>
    <s v="Instagram"/>
    <d v="2025-04-13T00:00:00"/>
    <s v="Reel"/>
    <s v="Check out our latest reel on instagram!"/>
    <n v="4579"/>
    <n v="125"/>
    <n v="300"/>
    <n v="59527"/>
    <n v="59400"/>
    <n v="269"/>
    <s v="#EVRevolution"/>
    <s v="no data"/>
    <s v="no data"/>
    <x v="0"/>
    <n v="8.4062694239588759E-2"/>
    <x v="0"/>
  </r>
  <r>
    <s v="P269"/>
    <s v="Instagram"/>
    <d v="2024-11-05T00:00:00"/>
    <s v="Video"/>
    <s v="Check out our latest video on instagram!"/>
    <n v="4561"/>
    <n v="51"/>
    <n v="441"/>
    <n v="22805"/>
    <n v="21890"/>
    <n v="45"/>
    <s v="#TeslaCoInnovation"/>
    <s v="no data"/>
    <s v="no data"/>
    <x v="1"/>
    <n v="0.22157421618066214"/>
    <x v="2"/>
  </r>
  <r>
    <s v="P270"/>
    <s v="YouTube"/>
    <d v="2025-01-15T00:00:00"/>
    <s v="Reel"/>
    <s v="Check out our latest reel on youtube!"/>
    <n v="3774"/>
    <n v="239"/>
    <n v="39"/>
    <n v="60384"/>
    <n v="59490"/>
    <n v="241"/>
    <s v="#TeslaCoInnovation"/>
    <s v="no data"/>
    <s v="no data"/>
    <x v="2"/>
    <n v="6.7103868574456813E-2"/>
    <x v="2"/>
  </r>
  <r>
    <s v="P271"/>
    <s v="Instagram"/>
    <d v="2024-10-17T00:00:00"/>
    <s v="Video"/>
    <s v="Check out our latest video on instagram!"/>
    <n v="3575"/>
    <n v="749"/>
    <n v="111"/>
    <n v="21450"/>
    <n v="20785"/>
    <n v="195"/>
    <s v="#EVRevolution"/>
    <s v="no data"/>
    <s v="no data"/>
    <x v="1"/>
    <n v="0.20675990675990677"/>
    <x v="2"/>
  </r>
  <r>
    <s v="P272"/>
    <s v="Instagram"/>
    <d v="2025-03-27T00:00:00"/>
    <s v="Text"/>
    <s v="Check out our latest text on instagram!"/>
    <n v="4941"/>
    <n v="414"/>
    <n v="266"/>
    <n v="39528"/>
    <n v="39154"/>
    <n v="217"/>
    <s v="#TeslaCoInnovation"/>
    <s v="no data"/>
    <s v="no data"/>
    <x v="2"/>
    <n v="0.14220299534507186"/>
    <x v="2"/>
  </r>
  <r>
    <s v="P273"/>
    <s v="YouTube"/>
    <d v="2024-10-12T00:00:00"/>
    <s v="Story"/>
    <s v="Check out our latest story on youtube!"/>
    <n v="3641"/>
    <n v="226"/>
    <n v="46"/>
    <n v="40051"/>
    <n v="39319"/>
    <n v="296"/>
    <s v="#EVRevolution"/>
    <s v="no data"/>
    <s v="no data"/>
    <x v="3"/>
    <n v="9.7700431949264685E-2"/>
    <x v="0"/>
  </r>
  <r>
    <s v="P274"/>
    <s v="Twitter"/>
    <d v="2025-01-01T00:00:00"/>
    <s v="Carousel"/>
    <s v="Check out our latest carousel on twitter!"/>
    <n v="3535"/>
    <n v="494"/>
    <n v="152"/>
    <n v="53025"/>
    <n v="52791"/>
    <n v="44"/>
    <s v="#TeslaCoInnovation"/>
    <s v="no data"/>
    <s v="no data"/>
    <x v="3"/>
    <n v="7.8849599245638849E-2"/>
    <x v="0"/>
  </r>
  <r>
    <s v="P275"/>
    <s v="Facebook"/>
    <d v="2024-08-05T00:00:00"/>
    <s v="Reel"/>
    <s v="Check out our latest reel on facebook!"/>
    <n v="1741"/>
    <n v="831"/>
    <n v="345"/>
    <n v="17410"/>
    <n v="16844"/>
    <n v="58"/>
    <s v="#EVRevolution"/>
    <s v="no data"/>
    <s v="no data"/>
    <x v="2"/>
    <n v="0.16754738655944859"/>
    <x v="2"/>
  </r>
  <r>
    <s v="P276"/>
    <s v="Twitter"/>
    <d v="2024-06-07T00:00:00"/>
    <s v="Carousel"/>
    <s v="Check out our latest carousel on twitter!"/>
    <n v="1556"/>
    <n v="195"/>
    <n v="131"/>
    <n v="9336"/>
    <n v="8875"/>
    <n v="137"/>
    <s v="#TeslaCoInnovation"/>
    <s v="no data"/>
    <s v="no data"/>
    <x v="1"/>
    <n v="0.2015852613538989"/>
    <x v="2"/>
  </r>
  <r>
    <s v="P277"/>
    <s v="Facebook"/>
    <d v="2025-04-06T00:00:00"/>
    <s v="Image"/>
    <s v="Check out our latest image on facebook!"/>
    <n v="4236"/>
    <n v="711"/>
    <n v="298"/>
    <n v="21180"/>
    <n v="20516"/>
    <n v="238"/>
    <s v="#FutureOfDriving"/>
    <s v="no data"/>
    <s v="no data"/>
    <x v="0"/>
    <n v="0.24763928234183191"/>
    <x v="0"/>
  </r>
  <r>
    <s v="P278"/>
    <s v="Twitter"/>
    <d v="2024-11-26T00:00:00"/>
    <s v="Text"/>
    <s v="Check out our latest text on twitter!"/>
    <n v="4516"/>
    <n v="836"/>
    <n v="169"/>
    <n v="49676"/>
    <n v="49257"/>
    <n v="282"/>
    <s v="#EVRevolution"/>
    <s v="no data"/>
    <s v="no data"/>
    <x v="3"/>
    <n v="0.11114018842096787"/>
    <x v="0"/>
  </r>
  <r>
    <s v="P279"/>
    <s v="YouTube"/>
    <d v="2024-09-02T00:00:00"/>
    <s v="Image"/>
    <s v="Check out our latest image on youtube!"/>
    <n v="4905"/>
    <n v="845"/>
    <n v="129"/>
    <n v="98100"/>
    <n v="97772"/>
    <n v="279"/>
    <s v="#TeslaCoInnovation"/>
    <s v="no data"/>
    <s v="no data"/>
    <x v="1"/>
    <n v="5.9928644240570844E-2"/>
    <x v="2"/>
  </r>
  <r>
    <s v="P280"/>
    <s v="YouTube"/>
    <d v="2024-10-21T00:00:00"/>
    <s v="Video"/>
    <s v="Check out our latest video on youtube!"/>
    <n v="4275"/>
    <n v="680"/>
    <n v="385"/>
    <n v="64125"/>
    <n v="63650"/>
    <n v="104"/>
    <s v="#EVRevolution"/>
    <s v="#TeslaCoInnovation"/>
    <s v="#AnytimeIsTeslaTime"/>
    <x v="3"/>
    <n v="8.3274853801169585E-2"/>
    <x v="0"/>
  </r>
  <r>
    <s v="P281"/>
    <s v="YouTube"/>
    <d v="2025-03-22T00:00:00"/>
    <s v="Image"/>
    <s v="Check out our latest image on youtube!"/>
    <n v="3166"/>
    <n v="90"/>
    <n v="341"/>
    <n v="56988"/>
    <n v="56125"/>
    <n v="135"/>
    <s v="#EVRevolution"/>
    <s v="no data"/>
    <s v="no data"/>
    <x v="1"/>
    <n v="6.3118551273952411E-2"/>
    <x v="0"/>
  </r>
  <r>
    <s v="P282"/>
    <s v="Instagram"/>
    <d v="2024-10-03T00:00:00"/>
    <s v="Video"/>
    <s v="Check out our latest video on instagram!"/>
    <n v="1488"/>
    <n v="417"/>
    <n v="168"/>
    <n v="19344"/>
    <n v="18395"/>
    <n v="30"/>
    <s v="#FutureOfDriving"/>
    <s v="no data"/>
    <s v="no data"/>
    <x v="2"/>
    <n v="0.1071650124069479"/>
    <x v="2"/>
  </r>
  <r>
    <s v="P283"/>
    <s v="Twitter"/>
    <d v="2025-05-09T00:00:00"/>
    <s v="Reel"/>
    <s v="Check out our latest reel on twitter!"/>
    <n v="3367"/>
    <n v="302"/>
    <n v="57"/>
    <n v="63973"/>
    <n v="63789"/>
    <n v="157"/>
    <s v="#FutureOfDriving"/>
    <s v="no data"/>
    <s v="no data"/>
    <x v="1"/>
    <n v="5.8243321401216137E-2"/>
    <x v="0"/>
  </r>
  <r>
    <s v="P284"/>
    <s v="Twitter"/>
    <d v="2024-09-17T00:00:00"/>
    <s v="Text"/>
    <s v="Check out our latest text on twitter!"/>
    <n v="571"/>
    <n v="190"/>
    <n v="352"/>
    <n v="9707"/>
    <n v="9418"/>
    <n v="231"/>
    <s v="#TeslaCoInnovation"/>
    <s v="no data"/>
    <s v="no data"/>
    <x v="3"/>
    <n v="0.11465952405480581"/>
    <x v="0"/>
  </r>
  <r>
    <s v="P285"/>
    <s v="YouTube"/>
    <d v="2024-07-18T00:00:00"/>
    <s v="Text"/>
    <s v="Check out our latest text on youtube!"/>
    <n v="4021"/>
    <n v="794"/>
    <n v="77"/>
    <n v="36189"/>
    <n v="35505"/>
    <n v="174"/>
    <s v="#EVRevolution"/>
    <s v="no data"/>
    <s v="no data"/>
    <x v="4"/>
    <n v="0.13517919809886983"/>
    <x v="3"/>
  </r>
  <r>
    <s v="P286"/>
    <s v="YouTube"/>
    <d v="2024-09-25T00:00:00"/>
    <s v="Video"/>
    <s v="Check out our latest video on youtube!"/>
    <n v="3389"/>
    <n v="344"/>
    <n v="229"/>
    <n v="20334"/>
    <n v="19443"/>
    <n v="228"/>
    <s v="#FutureOfDriving"/>
    <s v="no data"/>
    <s v="no data"/>
    <x v="2"/>
    <n v="0.19484607062063539"/>
    <x v="2"/>
  </r>
  <r>
    <s v="P287"/>
    <s v="Instagram"/>
    <d v="2024-08-15T00:00:00"/>
    <s v="Reel"/>
    <s v="Check out our latest reel on instagram!"/>
    <n v="1164"/>
    <n v="616"/>
    <n v="324"/>
    <n v="6984"/>
    <n v="6636"/>
    <n v="82"/>
    <s v="#EVRevolution"/>
    <s v="no data"/>
    <s v="no data"/>
    <x v="0"/>
    <n v="0.30126002290950743"/>
    <x v="2"/>
  </r>
  <r>
    <s v="P288"/>
    <s v="YouTube"/>
    <d v="2025-04-17T00:00:00"/>
    <s v="Carousel"/>
    <s v="Check out our latest carousel on youtube!"/>
    <n v="4780"/>
    <n v="691"/>
    <n v="380"/>
    <n v="86040"/>
    <n v="85743"/>
    <n v="262"/>
    <s v="#FutureOfDriving"/>
    <s v="no data"/>
    <s v="no data"/>
    <x v="2"/>
    <n v="6.800325430032543E-2"/>
    <x v="2"/>
  </r>
  <r>
    <s v="P289"/>
    <s v="Facebook"/>
    <d v="2024-11-28T00:00:00"/>
    <s v="Carousel"/>
    <s v="Check out our latest carousel on facebook!"/>
    <n v="2751"/>
    <n v="33"/>
    <n v="430"/>
    <n v="44016"/>
    <n v="43415"/>
    <n v="129"/>
    <s v="#FutureOfDriving"/>
    <s v="no data"/>
    <s v="no data"/>
    <x v="4"/>
    <n v="7.3018902217375503E-2"/>
    <x v="3"/>
  </r>
  <r>
    <s v="P290"/>
    <s v="Instagram"/>
    <d v="2024-12-20T00:00:00"/>
    <s v="Carousel"/>
    <s v="Check out our latest carousel on instagram!"/>
    <n v="2107"/>
    <n v="550"/>
    <n v="349"/>
    <n v="35819"/>
    <n v="35340"/>
    <n v="191"/>
    <s v="#EVRevolution"/>
    <s v="no data"/>
    <s v="no data"/>
    <x v="3"/>
    <n v="8.3921940869371006E-2"/>
    <x v="0"/>
  </r>
  <r>
    <s v="P291"/>
    <s v="Facebook"/>
    <d v="2024-11-06T00:00:00"/>
    <s v="Video"/>
    <s v="Check out our latest video on facebook!"/>
    <n v="4663"/>
    <n v="145"/>
    <n v="225"/>
    <n v="69945"/>
    <n v="69596"/>
    <n v="35"/>
    <s v="#EVRevolution"/>
    <s v="no data"/>
    <s v="no data"/>
    <x v="3"/>
    <n v="7.1956537279290869E-2"/>
    <x v="0"/>
  </r>
  <r>
    <s v="P292"/>
    <s v="Facebook"/>
    <d v="2024-11-17T00:00:00"/>
    <s v="Text"/>
    <s v="Check out our latest text on facebook!"/>
    <n v="880"/>
    <n v="297"/>
    <n v="345"/>
    <n v="12320"/>
    <n v="11978"/>
    <n v="238"/>
    <s v="#TeslaCoInnovation"/>
    <s v="#AnytimeIsTeslaTime"/>
    <s v="no data"/>
    <x v="4"/>
    <n v="0.12353896103896105"/>
    <x v="3"/>
  </r>
  <r>
    <s v="P293"/>
    <s v="Facebook"/>
    <d v="2025-05-14T00:00:00"/>
    <s v="Text"/>
    <s v="Check out our latest text on facebook!"/>
    <n v="2634"/>
    <n v="726"/>
    <n v="241"/>
    <n v="28974"/>
    <n v="28102"/>
    <n v="277"/>
    <s v="#EVRevolution"/>
    <s v="no data"/>
    <s v="no data"/>
    <x v="0"/>
    <n v="0.12428384068475185"/>
    <x v="0"/>
  </r>
  <r>
    <s v="P294"/>
    <s v="Facebook"/>
    <d v="2024-06-19T00:00:00"/>
    <s v="Carousel"/>
    <s v="Check out our latest carousel on facebook!"/>
    <n v="4731"/>
    <n v="173"/>
    <n v="276"/>
    <n v="28386"/>
    <n v="28185"/>
    <n v="89"/>
    <s v="#EVRevolution"/>
    <s v="no data"/>
    <s v="no data"/>
    <x v="2"/>
    <n v="0.18248432325794406"/>
    <x v="2"/>
  </r>
  <r>
    <s v="P295"/>
    <s v="Twitter"/>
    <d v="2025-05-06T00:00:00"/>
    <s v="Image"/>
    <s v="Check out our latest image on twitter!"/>
    <n v="1952"/>
    <n v="344"/>
    <n v="287"/>
    <n v="15616"/>
    <n v="15403"/>
    <n v="235"/>
    <s v="#FutureOfDriving"/>
    <s v="#TeslaCoInnovation"/>
    <s v="#AnytimeIsTeslaTime"/>
    <x v="1"/>
    <n v="0.16540727459016394"/>
    <x v="0"/>
  </r>
  <r>
    <s v="P296"/>
    <s v="Twitter"/>
    <d v="2025-02-11T00:00:00"/>
    <s v="Video"/>
    <s v="Check out our latest video on twitter!"/>
    <n v="3440"/>
    <n v="13"/>
    <n v="20"/>
    <n v="58480"/>
    <n v="58146"/>
    <n v="210"/>
    <s v="#TeslaCoInnovation"/>
    <s v="#SmoothLikeNitroTesla"/>
    <s v="no data"/>
    <x v="3"/>
    <n v="5.9387824897400819E-2"/>
    <x v="0"/>
  </r>
  <r>
    <s v="P297"/>
    <s v="Twitter"/>
    <d v="2024-12-24T00:00:00"/>
    <s v="Text"/>
    <s v="Check out our latest text on twitter!"/>
    <n v="2166"/>
    <n v="354"/>
    <n v="117"/>
    <n v="10830"/>
    <n v="10245"/>
    <n v="24"/>
    <s v="#EVRevolution"/>
    <s v="no data"/>
    <s v="no data"/>
    <x v="3"/>
    <n v="0.24349030470914126"/>
    <x v="0"/>
  </r>
  <r>
    <s v="P298"/>
    <s v="Facebook"/>
    <d v="2024-10-24T00:00:00"/>
    <s v="Image"/>
    <s v="Check out our latest image on facebook!"/>
    <n v="4303"/>
    <n v="451"/>
    <n v="286"/>
    <n v="86060"/>
    <n v="85823"/>
    <n v="14"/>
    <s v="#TeslaCoInnovation"/>
    <s v="no data"/>
    <s v="no data"/>
    <x v="2"/>
    <n v="5.8563792702765516E-2"/>
    <x v="2"/>
  </r>
  <r>
    <s v="P299"/>
    <s v="Facebook"/>
    <d v="2024-08-26T00:00:00"/>
    <s v="Image"/>
    <s v="Check out our latest image on facebook!"/>
    <n v="2581"/>
    <n v="517"/>
    <n v="117"/>
    <n v="23229"/>
    <n v="22331"/>
    <n v="70"/>
    <s v="#FutureOfDriving"/>
    <s v="no data"/>
    <s v="no data"/>
    <x v="2"/>
    <n v="0.13840458048129492"/>
    <x v="2"/>
  </r>
  <r>
    <s v="P300"/>
    <s v="Twitter"/>
    <d v="2024-08-31T00:00:00"/>
    <s v="Carousel"/>
    <s v="Check out our latest carousel on twitter!"/>
    <n v="4494"/>
    <n v="717"/>
    <n v="45"/>
    <n v="62916"/>
    <n v="62688"/>
    <n v="191"/>
    <s v="#TeslaCoInnovation"/>
    <s v="#EVRevolution"/>
    <s v="#BetterWithTesla"/>
    <x v="0"/>
    <n v="8.3539958039290485E-2"/>
    <x v="2"/>
  </r>
  <r>
    <m/>
    <m/>
    <m/>
    <m/>
    <m/>
    <m/>
    <m/>
    <m/>
    <m/>
    <m/>
    <m/>
    <m/>
    <m/>
    <m/>
    <x v="5"/>
    <m/>
    <x v="4"/>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n v="1135"/>
    <n v="88"/>
    <n v="344084"/>
    <n v="8.06"/>
    <x v="0"/>
    <n v="1047"/>
    <n v="3.0428616268120576E-3"/>
    <x v="0"/>
  </r>
  <r>
    <x v="0"/>
    <x v="1"/>
    <n v="1312"/>
    <n v="310"/>
    <n v="42654"/>
    <n v="4.9800000000000004"/>
    <x v="1"/>
    <n v="1002"/>
    <n v="2.3491348994232664E-2"/>
    <x v="1"/>
  </r>
  <r>
    <x v="0"/>
    <x v="2"/>
    <n v="584"/>
    <n v="169"/>
    <n v="146834"/>
    <n v="8.31"/>
    <x v="2"/>
    <n v="415"/>
    <n v="2.826320879360366E-3"/>
    <x v="0"/>
  </r>
  <r>
    <x v="0"/>
    <x v="3"/>
    <n v="1535"/>
    <n v="445"/>
    <n v="395536"/>
    <n v="4.1100000000000003"/>
    <x v="3"/>
    <n v="1090"/>
    <n v="2.7557542170624167E-3"/>
    <x v="2"/>
  </r>
  <r>
    <x v="1"/>
    <x v="0"/>
    <n v="656"/>
    <n v="139"/>
    <n v="49157"/>
    <n v="9.0500000000000007"/>
    <x v="4"/>
    <n v="517"/>
    <n v="1.0517322049758936E-2"/>
    <x v="2"/>
  </r>
  <r>
    <x v="1"/>
    <x v="1"/>
    <n v="1697"/>
    <n v="414"/>
    <n v="316555"/>
    <n v="2.37"/>
    <x v="5"/>
    <n v="1283"/>
    <n v="4.0530081660374974E-3"/>
    <x v="3"/>
  </r>
  <r>
    <x v="1"/>
    <x v="2"/>
    <n v="436"/>
    <n v="250"/>
    <n v="254347"/>
    <n v="4.01"/>
    <x v="6"/>
    <n v="186"/>
    <n v="7.3128442639386348E-4"/>
    <x v="0"/>
  </r>
  <r>
    <x v="1"/>
    <x v="3"/>
    <n v="1197"/>
    <n v="203"/>
    <n v="413878"/>
    <n v="3.16"/>
    <x v="7"/>
    <n v="994"/>
    <n v="2.4016739232334168E-3"/>
    <x v="2"/>
  </r>
  <r>
    <x v="2"/>
    <x v="0"/>
    <n v="1048"/>
    <n v="155"/>
    <n v="456946"/>
    <n v="2.46"/>
    <x v="8"/>
    <n v="893"/>
    <n v="1.9542790614208243E-3"/>
    <x v="0"/>
  </r>
  <r>
    <x v="2"/>
    <x v="1"/>
    <n v="1753"/>
    <n v="371"/>
    <n v="169496"/>
    <n v="8.11"/>
    <x v="9"/>
    <n v="1382"/>
    <n v="8.1535847453627231E-3"/>
    <x v="3"/>
  </r>
  <r>
    <x v="2"/>
    <x v="2"/>
    <n v="1335"/>
    <n v="40"/>
    <n v="122732"/>
    <n v="8.19"/>
    <x v="10"/>
    <n v="1295"/>
    <n v="1.0551445425805821E-2"/>
    <x v="3"/>
  </r>
  <r>
    <x v="2"/>
    <x v="3"/>
    <n v="403"/>
    <n v="66"/>
    <n v="382851"/>
    <n v="3.49"/>
    <x v="11"/>
    <n v="337"/>
    <n v="8.80238003818718E-4"/>
    <x v="2"/>
  </r>
  <r>
    <x v="3"/>
    <x v="0"/>
    <n v="911"/>
    <n v="282"/>
    <n v="35664"/>
    <n v="6.92"/>
    <x v="12"/>
    <n v="629"/>
    <n v="1.7636832660385824E-2"/>
    <x v="0"/>
  </r>
  <r>
    <x v="3"/>
    <x v="1"/>
    <n v="1779"/>
    <n v="109"/>
    <n v="26295"/>
    <n v="9.1199999999999992"/>
    <x v="13"/>
    <n v="1670"/>
    <n v="6.3510173036698994E-2"/>
    <x v="0"/>
  </r>
  <r>
    <x v="3"/>
    <x v="2"/>
    <n v="1238"/>
    <n v="403"/>
    <n v="298421"/>
    <n v="3.5"/>
    <x v="14"/>
    <n v="835"/>
    <n v="2.798060458211721E-3"/>
    <x v="3"/>
  </r>
  <r>
    <x v="3"/>
    <x v="3"/>
    <n v="308"/>
    <n v="431"/>
    <n v="426184"/>
    <n v="2.62"/>
    <x v="15"/>
    <n v="-123"/>
    <n v="-2.8860773750305035E-4"/>
    <x v="4"/>
  </r>
  <r>
    <x v="4"/>
    <x v="0"/>
    <n v="226"/>
    <n v="445"/>
    <n v="419447"/>
    <n v="9.36"/>
    <x v="1"/>
    <n v="-219"/>
    <n v="-5.2211602419375983E-4"/>
    <x v="4"/>
  </r>
  <r>
    <x v="4"/>
    <x v="1"/>
    <n v="505"/>
    <n v="441"/>
    <n v="220020"/>
    <n v="4.4800000000000004"/>
    <x v="16"/>
    <n v="64"/>
    <n v="2.9088264703208797E-4"/>
    <x v="0"/>
  </r>
  <r>
    <x v="4"/>
    <x v="2"/>
    <n v="1420"/>
    <n v="63"/>
    <n v="315305"/>
    <n v="6.19"/>
    <x v="17"/>
    <n v="1357"/>
    <n v="4.3037693661692649E-3"/>
    <x v="3"/>
  </r>
  <r>
    <x v="4"/>
    <x v="3"/>
    <n v="144"/>
    <n v="53"/>
    <n v="113678"/>
    <n v="8.7200000000000006"/>
    <x v="18"/>
    <n v="91"/>
    <n v="8.0050669434719116E-4"/>
    <x v="4"/>
  </r>
  <r>
    <x v="5"/>
    <x v="0"/>
    <n v="1757"/>
    <n v="85"/>
    <n v="58223"/>
    <n v="8.74"/>
    <x v="19"/>
    <n v="1672"/>
    <n v="2.8717173625543171E-2"/>
    <x v="0"/>
  </r>
  <r>
    <x v="5"/>
    <x v="1"/>
    <n v="350"/>
    <n v="41"/>
    <n v="251694"/>
    <n v="1.91"/>
    <x v="20"/>
    <n v="309"/>
    <n v="1.2276812319721568E-3"/>
    <x v="0"/>
  </r>
  <r>
    <x v="5"/>
    <x v="2"/>
    <n v="987"/>
    <n v="440"/>
    <n v="389810"/>
    <n v="4.66"/>
    <x v="21"/>
    <n v="547"/>
    <n v="1.40324773607655E-3"/>
    <x v="2"/>
  </r>
  <r>
    <x v="5"/>
    <x v="3"/>
    <n v="883"/>
    <n v="369"/>
    <n v="233694"/>
    <n v="2.88"/>
    <x v="22"/>
    <n v="514"/>
    <n v="2.1994574101175039E-3"/>
    <x v="0"/>
  </r>
  <r>
    <x v="6"/>
    <x v="0"/>
    <n v="1960"/>
    <n v="115"/>
    <n v="154169"/>
    <n v="3.74"/>
    <x v="23"/>
    <n v="1845"/>
    <n v="1.1967386439556591E-2"/>
    <x v="0"/>
  </r>
  <r>
    <x v="6"/>
    <x v="1"/>
    <n v="170"/>
    <n v="334"/>
    <n v="334626"/>
    <n v="6.44"/>
    <x v="24"/>
    <n v="-164"/>
    <n v="-4.9009939454794306E-4"/>
    <x v="1"/>
  </r>
  <r>
    <x v="6"/>
    <x v="2"/>
    <n v="704"/>
    <n v="275"/>
    <n v="226002"/>
    <n v="8.56"/>
    <x v="25"/>
    <n v="429"/>
    <n v="1.8982132901478749E-3"/>
    <x v="2"/>
  </r>
  <r>
    <x v="6"/>
    <x v="3"/>
    <n v="224"/>
    <n v="64"/>
    <n v="156683"/>
    <n v="4.5599999999999996"/>
    <x v="26"/>
    <n v="160"/>
    <n v="1.0211701333265254E-3"/>
    <x v="0"/>
  </r>
  <r>
    <x v="7"/>
    <x v="0"/>
    <n v="508"/>
    <n v="349"/>
    <n v="473812"/>
    <n v="7.88"/>
    <x v="27"/>
    <n v="159"/>
    <n v="3.3557613568250698E-4"/>
    <x v="1"/>
  </r>
  <r>
    <x v="7"/>
    <x v="1"/>
    <n v="1391"/>
    <n v="430"/>
    <n v="295032"/>
    <n v="7.86"/>
    <x v="28"/>
    <n v="961"/>
    <n v="3.2572737872501967E-3"/>
    <x v="1"/>
  </r>
  <r>
    <x v="7"/>
    <x v="2"/>
    <n v="1701"/>
    <n v="385"/>
    <n v="198278"/>
    <n v="5.34"/>
    <x v="29"/>
    <n v="1316"/>
    <n v="6.6371458255580548E-3"/>
    <x v="4"/>
  </r>
  <r>
    <x v="7"/>
    <x v="3"/>
    <n v="804"/>
    <n v="487"/>
    <n v="306564"/>
    <n v="5.52"/>
    <x v="30"/>
    <n v="317"/>
    <n v="1.0340418313957282E-3"/>
    <x v="3"/>
  </r>
  <r>
    <x v="8"/>
    <x v="0"/>
    <n v="653"/>
    <n v="112"/>
    <n v="23664"/>
    <n v="4.05"/>
    <x v="31"/>
    <n v="541"/>
    <n v="2.2861730899256253E-2"/>
    <x v="0"/>
  </r>
  <r>
    <x v="8"/>
    <x v="1"/>
    <n v="160"/>
    <n v="478"/>
    <n v="435034"/>
    <n v="7.73"/>
    <x v="32"/>
    <n v="-318"/>
    <n v="-7.3097734889686784E-4"/>
    <x v="2"/>
  </r>
  <r>
    <x v="8"/>
    <x v="2"/>
    <n v="1756"/>
    <n v="261"/>
    <n v="287574"/>
    <n v="4.3600000000000003"/>
    <x v="33"/>
    <n v="1495"/>
    <n v="5.1986619096302169E-3"/>
    <x v="4"/>
  </r>
  <r>
    <x v="8"/>
    <x v="3"/>
    <n v="576"/>
    <n v="101"/>
    <n v="62499"/>
    <n v="3.48"/>
    <x v="34"/>
    <n v="475"/>
    <n v="7.600121601945631E-3"/>
    <x v="3"/>
  </r>
  <r>
    <x v="9"/>
    <x v="0"/>
    <n v="645"/>
    <n v="293"/>
    <n v="437968"/>
    <n v="7.83"/>
    <x v="35"/>
    <n v="352"/>
    <n v="8.0371168669857163E-4"/>
    <x v="0"/>
  </r>
  <r>
    <x v="9"/>
    <x v="1"/>
    <n v="214"/>
    <n v="411"/>
    <n v="125034"/>
    <n v="6.11"/>
    <x v="36"/>
    <n v="-197"/>
    <n v="-1.5755714445670778E-3"/>
    <x v="2"/>
  </r>
  <r>
    <x v="9"/>
    <x v="2"/>
    <n v="826"/>
    <n v="498"/>
    <n v="449994"/>
    <n v="9.43"/>
    <x v="37"/>
    <n v="328"/>
    <n v="7.2889860753698943E-4"/>
    <x v="4"/>
  </r>
  <r>
    <x v="9"/>
    <x v="3"/>
    <n v="460"/>
    <n v="141"/>
    <n v="320650"/>
    <n v="4.04"/>
    <x v="38"/>
    <n v="319"/>
    <n v="9.9485420240137223E-4"/>
    <x v="3"/>
  </r>
  <r>
    <x v="10"/>
    <x v="0"/>
    <n v="1528"/>
    <n v="203"/>
    <n v="489188"/>
    <n v="6.23"/>
    <x v="39"/>
    <n v="1325"/>
    <n v="2.7085701202809553E-3"/>
    <x v="0"/>
  </r>
  <r>
    <x v="10"/>
    <x v="1"/>
    <n v="1534"/>
    <n v="200"/>
    <n v="307612"/>
    <n v="6.01"/>
    <x v="40"/>
    <n v="1334"/>
    <n v="4.3366318609156986E-3"/>
    <x v="1"/>
  </r>
  <r>
    <x v="10"/>
    <x v="2"/>
    <n v="485"/>
    <n v="448"/>
    <n v="434883"/>
    <n v="8.5500000000000007"/>
    <x v="41"/>
    <n v="37"/>
    <n v="8.5080354946042954E-5"/>
    <x v="1"/>
  </r>
  <r>
    <x v="10"/>
    <x v="3"/>
    <n v="1210"/>
    <n v="178"/>
    <n v="102042"/>
    <n v="5.42"/>
    <x v="42"/>
    <n v="1032"/>
    <n v="1.011348268360087E-2"/>
    <x v="2"/>
  </r>
  <r>
    <x v="11"/>
    <x v="0"/>
    <n v="215"/>
    <n v="139"/>
    <n v="325444"/>
    <n v="3.25"/>
    <x v="43"/>
    <n v="76"/>
    <n v="2.335271198731579E-4"/>
    <x v="0"/>
  </r>
  <r>
    <x v="11"/>
    <x v="1"/>
    <n v="1078"/>
    <n v="20"/>
    <n v="183924"/>
    <n v="8.84"/>
    <x v="44"/>
    <n v="1058"/>
    <n v="5.7523759813836147E-3"/>
    <x v="1"/>
  </r>
  <r>
    <x v="11"/>
    <x v="2"/>
    <n v="1751"/>
    <n v="86"/>
    <n v="188655"/>
    <n v="7.24"/>
    <x v="45"/>
    <n v="1665"/>
    <n v="8.825634093981077E-3"/>
    <x v="2"/>
  </r>
  <r>
    <x v="11"/>
    <x v="3"/>
    <n v="221"/>
    <n v="31"/>
    <n v="87443"/>
    <n v="6.19"/>
    <x v="46"/>
    <n v="190"/>
    <n v="2.1728440241071327E-3"/>
    <x v="0"/>
  </r>
  <r>
    <x v="12"/>
    <x v="0"/>
    <n v="1685"/>
    <n v="76"/>
    <n v="453799"/>
    <n v="5.71"/>
    <x v="47"/>
    <n v="1609"/>
    <n v="3.5456226214689766E-3"/>
    <x v="4"/>
  </r>
  <r>
    <x v="12"/>
    <x v="1"/>
    <n v="248"/>
    <n v="211"/>
    <n v="379380"/>
    <n v="9.0399999999999991"/>
    <x v="48"/>
    <n v="37"/>
    <n v="9.7527544941747058E-5"/>
    <x v="3"/>
  </r>
  <r>
    <x v="12"/>
    <x v="2"/>
    <n v="1300"/>
    <n v="71"/>
    <n v="186454"/>
    <n v="3.91"/>
    <x v="49"/>
    <n v="1229"/>
    <n v="6.5914381026955706E-3"/>
    <x v="2"/>
  </r>
  <r>
    <x v="12"/>
    <x v="3"/>
    <n v="422"/>
    <n v="394"/>
    <n v="239044"/>
    <n v="7.83"/>
    <x v="50"/>
    <n v="28"/>
    <n v="1.1713324743561855E-4"/>
    <x v="3"/>
  </r>
  <r>
    <x v="13"/>
    <x v="0"/>
    <n v="1429"/>
    <n v="182"/>
    <n v="101332"/>
    <n v="7.16"/>
    <x v="51"/>
    <n v="1247"/>
    <n v="1.2306082974775983E-2"/>
    <x v="4"/>
  </r>
  <r>
    <x v="13"/>
    <x v="1"/>
    <n v="1520"/>
    <n v="475"/>
    <n v="496982"/>
    <n v="6.41"/>
    <x v="52"/>
    <n v="1045"/>
    <n v="2.1026918479944948E-3"/>
    <x v="3"/>
  </r>
  <r>
    <x v="13"/>
    <x v="2"/>
    <n v="557"/>
    <n v="360"/>
    <n v="318779"/>
    <n v="8.02"/>
    <x v="53"/>
    <n v="197"/>
    <n v="6.1798299135137512E-4"/>
    <x v="4"/>
  </r>
  <r>
    <x v="13"/>
    <x v="3"/>
    <n v="728"/>
    <n v="395"/>
    <n v="370971"/>
    <n v="3.86"/>
    <x v="54"/>
    <n v="333"/>
    <n v="8.9764429025449434E-4"/>
    <x v="3"/>
  </r>
  <r>
    <x v="14"/>
    <x v="0"/>
    <n v="1592"/>
    <n v="20"/>
    <n v="378054"/>
    <n v="9.09"/>
    <x v="55"/>
    <n v="1572"/>
    <n v="4.1581361392816901E-3"/>
    <x v="4"/>
  </r>
  <r>
    <x v="14"/>
    <x v="1"/>
    <n v="1842"/>
    <n v="414"/>
    <n v="307524"/>
    <n v="1.76"/>
    <x v="56"/>
    <n v="1428"/>
    <n v="4.6435400163889647E-3"/>
    <x v="2"/>
  </r>
  <r>
    <x v="14"/>
    <x v="2"/>
    <n v="751"/>
    <n v="491"/>
    <n v="434047"/>
    <n v="9.24"/>
    <x v="57"/>
    <n v="260"/>
    <n v="5.990134708914012E-4"/>
    <x v="4"/>
  </r>
  <r>
    <x v="14"/>
    <x v="3"/>
    <n v="1409"/>
    <n v="309"/>
    <n v="64583"/>
    <n v="8.99"/>
    <x v="58"/>
    <n v="1100"/>
    <n v="1.7032345973398571E-2"/>
    <x v="3"/>
  </r>
  <r>
    <x v="15"/>
    <x v="0"/>
    <n v="778"/>
    <n v="401"/>
    <n v="50793"/>
    <n v="3.4"/>
    <x v="59"/>
    <n v="377"/>
    <n v="7.4222825979957871E-3"/>
    <x v="4"/>
  </r>
  <r>
    <x v="15"/>
    <x v="1"/>
    <n v="443"/>
    <n v="345"/>
    <n v="474162"/>
    <n v="9.1999999999999993"/>
    <x v="60"/>
    <n v="98"/>
    <n v="2.0668041724136477E-4"/>
    <x v="2"/>
  </r>
  <r>
    <x v="15"/>
    <x v="2"/>
    <n v="1472"/>
    <n v="347"/>
    <n v="392355"/>
    <n v="8.59"/>
    <x v="61"/>
    <n v="1125"/>
    <n v="2.8673012960201858E-3"/>
    <x v="2"/>
  </r>
  <r>
    <x v="15"/>
    <x v="3"/>
    <n v="123"/>
    <n v="155"/>
    <n v="119934"/>
    <n v="3.5"/>
    <x v="62"/>
    <n v="-32"/>
    <n v="-2.6681341404439108E-4"/>
    <x v="0"/>
  </r>
  <r>
    <x v="16"/>
    <x v="0"/>
    <n v="817"/>
    <n v="151"/>
    <n v="422625"/>
    <n v="2.36"/>
    <x v="63"/>
    <n v="666"/>
    <n v="1.5758651286601596E-3"/>
    <x v="2"/>
  </r>
  <r>
    <x v="16"/>
    <x v="1"/>
    <n v="198"/>
    <n v="217"/>
    <n v="239753"/>
    <n v="7.36"/>
    <x v="64"/>
    <n v="-19"/>
    <n v="-7.9248226299566635E-5"/>
    <x v="2"/>
  </r>
  <r>
    <x v="16"/>
    <x v="2"/>
    <n v="1911"/>
    <n v="231"/>
    <n v="268516"/>
    <n v="8.5500000000000007"/>
    <x v="65"/>
    <n v="1680"/>
    <n v="6.2566104068286429E-3"/>
    <x v="3"/>
  </r>
  <r>
    <x v="16"/>
    <x v="3"/>
    <n v="1218"/>
    <n v="212"/>
    <n v="63177"/>
    <n v="8.1300000000000008"/>
    <x v="66"/>
    <n v="1006"/>
    <n v="1.592351646960128E-2"/>
    <x v="0"/>
  </r>
  <r>
    <x v="17"/>
    <x v="0"/>
    <n v="1433"/>
    <n v="408"/>
    <n v="370269"/>
    <n v="3.3"/>
    <x v="67"/>
    <n v="1025"/>
    <n v="2.7682576721248606E-3"/>
    <x v="3"/>
  </r>
  <r>
    <x v="17"/>
    <x v="1"/>
    <n v="250"/>
    <n v="429"/>
    <n v="453423"/>
    <n v="1.77"/>
    <x v="68"/>
    <n v="-179"/>
    <n v="-3.9477485703195471E-4"/>
    <x v="2"/>
  </r>
  <r>
    <x v="17"/>
    <x v="2"/>
    <n v="752"/>
    <n v="153"/>
    <n v="64906"/>
    <n v="2.09"/>
    <x v="69"/>
    <n v="599"/>
    <n v="9.2287307798970819E-3"/>
    <x v="1"/>
  </r>
  <r>
    <x v="17"/>
    <x v="3"/>
    <n v="1918"/>
    <n v="212"/>
    <n v="94360"/>
    <n v="7.36"/>
    <x v="70"/>
    <n v="1706"/>
    <n v="1.8079694785926241E-2"/>
    <x v="0"/>
  </r>
  <r>
    <x v="18"/>
    <x v="0"/>
    <n v="1939"/>
    <n v="67"/>
    <n v="187183"/>
    <n v="6.25"/>
    <x v="71"/>
    <n v="1872"/>
    <n v="1.0000908202133741E-2"/>
    <x v="3"/>
  </r>
  <r>
    <x v="18"/>
    <x v="1"/>
    <n v="1929"/>
    <n v="267"/>
    <n v="379363"/>
    <n v="1.75"/>
    <x v="72"/>
    <n v="1662"/>
    <n v="4.3810281972675247E-3"/>
    <x v="4"/>
  </r>
  <r>
    <x v="18"/>
    <x v="2"/>
    <n v="437"/>
    <n v="330"/>
    <n v="476486"/>
    <n v="4.97"/>
    <x v="73"/>
    <n v="107"/>
    <n v="2.2456063766826309E-4"/>
    <x v="1"/>
  </r>
  <r>
    <x v="18"/>
    <x v="3"/>
    <n v="307"/>
    <n v="189"/>
    <n v="117767"/>
    <n v="9.3000000000000007"/>
    <x v="74"/>
    <n v="118"/>
    <n v="1.0019784829366461E-3"/>
    <x v="1"/>
  </r>
  <r>
    <x v="19"/>
    <x v="0"/>
    <n v="1527"/>
    <n v="303"/>
    <n v="388555"/>
    <n v="8.9"/>
    <x v="75"/>
    <n v="1224"/>
    <n v="3.1501331857780751E-3"/>
    <x v="3"/>
  </r>
  <r>
    <x v="19"/>
    <x v="1"/>
    <n v="643"/>
    <n v="358"/>
    <n v="157599"/>
    <n v="3.88"/>
    <x v="76"/>
    <n v="285"/>
    <n v="1.8083871090552605E-3"/>
    <x v="0"/>
  </r>
  <r>
    <x v="19"/>
    <x v="2"/>
    <n v="201"/>
    <n v="221"/>
    <n v="309772"/>
    <n v="5.9"/>
    <x v="77"/>
    <n v="-20"/>
    <n v="-6.456361452939582E-5"/>
    <x v="4"/>
  </r>
  <r>
    <x v="19"/>
    <x v="3"/>
    <n v="414"/>
    <n v="47"/>
    <n v="199178"/>
    <n v="1.53"/>
    <x v="78"/>
    <n v="367"/>
    <n v="1.8425729749269497E-3"/>
    <x v="2"/>
  </r>
  <r>
    <x v="20"/>
    <x v="0"/>
    <n v="703"/>
    <n v="441"/>
    <n v="357089"/>
    <n v="6.5"/>
    <x v="79"/>
    <n v="262"/>
    <n v="7.3371064356504961E-4"/>
    <x v="1"/>
  </r>
  <r>
    <x v="20"/>
    <x v="1"/>
    <n v="508"/>
    <n v="69"/>
    <n v="23492"/>
    <n v="3.16"/>
    <x v="80"/>
    <n v="439"/>
    <n v="1.8687212668142345E-2"/>
    <x v="4"/>
  </r>
  <r>
    <x v="20"/>
    <x v="2"/>
    <n v="697"/>
    <n v="61"/>
    <n v="258287"/>
    <n v="8.25"/>
    <x v="81"/>
    <n v="636"/>
    <n v="2.4623771231227277E-3"/>
    <x v="4"/>
  </r>
  <r>
    <x v="20"/>
    <x v="3"/>
    <n v="1707"/>
    <n v="223"/>
    <n v="256910"/>
    <n v="5.41"/>
    <x v="82"/>
    <n v="1484"/>
    <n v="5.7763419096181542E-3"/>
    <x v="1"/>
  </r>
  <r>
    <x v="21"/>
    <x v="0"/>
    <n v="642"/>
    <n v="66"/>
    <n v="346522"/>
    <n v="5.85"/>
    <x v="83"/>
    <n v="576"/>
    <n v="1.6622321237901201E-3"/>
    <x v="1"/>
  </r>
  <r>
    <x v="21"/>
    <x v="1"/>
    <n v="859"/>
    <n v="473"/>
    <n v="209987"/>
    <n v="4.46"/>
    <x v="84"/>
    <n v="386"/>
    <n v="1.8382090319876945E-3"/>
    <x v="3"/>
  </r>
  <r>
    <x v="21"/>
    <x v="2"/>
    <n v="191"/>
    <n v="154"/>
    <n v="240550"/>
    <n v="5.22"/>
    <x v="85"/>
    <n v="37"/>
    <n v="1.5381417584701726E-4"/>
    <x v="4"/>
  </r>
  <r>
    <x v="21"/>
    <x v="3"/>
    <n v="1814"/>
    <n v="157"/>
    <n v="305827"/>
    <n v="1.99"/>
    <x v="86"/>
    <n v="1657"/>
    <n v="5.4180958515762179E-3"/>
    <x v="1"/>
  </r>
  <r>
    <x v="22"/>
    <x v="0"/>
    <n v="1466"/>
    <n v="69"/>
    <n v="54935"/>
    <n v="6.85"/>
    <x v="87"/>
    <n v="1397"/>
    <n v="2.5430053699827069E-2"/>
    <x v="1"/>
  </r>
  <r>
    <x v="22"/>
    <x v="1"/>
    <n v="947"/>
    <n v="407"/>
    <n v="319186"/>
    <n v="3.32"/>
    <x v="88"/>
    <n v="540"/>
    <n v="1.6918035252172713E-3"/>
    <x v="3"/>
  </r>
  <r>
    <x v="22"/>
    <x v="2"/>
    <n v="1821"/>
    <n v="218"/>
    <n v="439080"/>
    <n v="5.68"/>
    <x v="89"/>
    <n v="1603"/>
    <n v="3.6508153411678964E-3"/>
    <x v="0"/>
  </r>
  <r>
    <x v="22"/>
    <x v="3"/>
    <n v="1507"/>
    <n v="463"/>
    <n v="258944"/>
    <n v="6.08"/>
    <x v="90"/>
    <n v="1044"/>
    <n v="4.0317597627286209E-3"/>
    <x v="1"/>
  </r>
  <r>
    <x v="23"/>
    <x v="0"/>
    <n v="1075"/>
    <n v="173"/>
    <n v="51395"/>
    <n v="4.66"/>
    <x v="91"/>
    <n v="902"/>
    <n v="1.7550345364335054E-2"/>
    <x v="1"/>
  </r>
  <r>
    <x v="23"/>
    <x v="1"/>
    <n v="171"/>
    <n v="277"/>
    <n v="309483"/>
    <n v="8.6999999999999993"/>
    <x v="92"/>
    <n v="-106"/>
    <n v="-3.4250669665215861E-4"/>
    <x v="3"/>
  </r>
  <r>
    <x v="23"/>
    <x v="2"/>
    <n v="1487"/>
    <n v="337"/>
    <n v="87305"/>
    <n v="2.46"/>
    <x v="93"/>
    <n v="1150"/>
    <n v="1.3172212358971423E-2"/>
    <x v="0"/>
  </r>
  <r>
    <x v="23"/>
    <x v="3"/>
    <n v="454"/>
    <n v="105"/>
    <n v="121091"/>
    <n v="7.97"/>
    <x v="94"/>
    <n v="349"/>
    <n v="2.8821299683708945E-3"/>
    <x v="4"/>
  </r>
  <r>
    <x v="24"/>
    <x v="0"/>
    <n v="187"/>
    <n v="236"/>
    <n v="51087"/>
    <n v="9.41"/>
    <x v="95"/>
    <n v="-49"/>
    <n v="-9.5914811987394058E-4"/>
    <x v="4"/>
  </r>
  <r>
    <x v="24"/>
    <x v="1"/>
    <n v="513"/>
    <n v="441"/>
    <n v="338847"/>
    <n v="2.68"/>
    <x v="96"/>
    <n v="72"/>
    <n v="2.1248528096751631E-4"/>
    <x v="2"/>
  </r>
  <r>
    <x v="24"/>
    <x v="2"/>
    <n v="628"/>
    <n v="183"/>
    <n v="487523"/>
    <n v="7.32"/>
    <x v="97"/>
    <n v="445"/>
    <n v="9.1277744844858602E-4"/>
    <x v="1"/>
  </r>
  <r>
    <x v="24"/>
    <x v="3"/>
    <n v="278"/>
    <n v="218"/>
    <n v="301695"/>
    <n v="4.68"/>
    <x v="98"/>
    <n v="60"/>
    <n v="1.9887634863023914E-4"/>
    <x v="4"/>
  </r>
  <r>
    <x v="25"/>
    <x v="0"/>
    <n v="1854"/>
    <n v="161"/>
    <n v="282466"/>
    <n v="5.17"/>
    <x v="99"/>
    <n v="1693"/>
    <n v="5.9936417126309005E-3"/>
    <x v="3"/>
  </r>
  <r>
    <x v="25"/>
    <x v="1"/>
    <n v="1710"/>
    <n v="378"/>
    <n v="336661"/>
    <n v="6.2"/>
    <x v="100"/>
    <n v="1332"/>
    <n v="3.9565022381564839E-3"/>
    <x v="2"/>
  </r>
  <r>
    <x v="25"/>
    <x v="2"/>
    <n v="330"/>
    <n v="232"/>
    <n v="88455"/>
    <n v="2.69"/>
    <x v="101"/>
    <n v="98"/>
    <n v="1.1079079758069075E-3"/>
    <x v="1"/>
  </r>
  <r>
    <x v="25"/>
    <x v="3"/>
    <n v="1293"/>
    <n v="408"/>
    <n v="62535"/>
    <n v="8.9"/>
    <x v="102"/>
    <n v="885"/>
    <n v="1.4152074838090669E-2"/>
    <x v="4"/>
  </r>
  <r>
    <x v="26"/>
    <x v="0"/>
    <n v="1696"/>
    <n v="71"/>
    <n v="421957"/>
    <n v="3.79"/>
    <x v="103"/>
    <n v="1625"/>
    <n v="3.8511033114748661E-3"/>
    <x v="3"/>
  </r>
  <r>
    <x v="26"/>
    <x v="1"/>
    <n v="1902"/>
    <n v="196"/>
    <n v="470269"/>
    <n v="4.79"/>
    <x v="104"/>
    <n v="1706"/>
    <n v="3.6277109484146308E-3"/>
    <x v="2"/>
  </r>
  <r>
    <x v="26"/>
    <x v="2"/>
    <n v="1441"/>
    <n v="268"/>
    <n v="309904"/>
    <n v="6.37"/>
    <x v="105"/>
    <n v="1173"/>
    <n v="3.7850431101244257E-3"/>
    <x v="1"/>
  </r>
  <r>
    <x v="26"/>
    <x v="3"/>
    <n v="452"/>
    <n v="161"/>
    <n v="221274"/>
    <n v="2.65"/>
    <x v="106"/>
    <n v="291"/>
    <n v="1.3151115811166245E-3"/>
    <x v="4"/>
  </r>
  <r>
    <x v="27"/>
    <x v="0"/>
    <n v="1494"/>
    <n v="375"/>
    <n v="220616"/>
    <n v="1.81"/>
    <x v="107"/>
    <n v="1119"/>
    <n v="5.0721615839286359E-3"/>
    <x v="3"/>
  </r>
  <r>
    <x v="27"/>
    <x v="1"/>
    <n v="1514"/>
    <n v="141"/>
    <n v="35842"/>
    <n v="7.47"/>
    <x v="108"/>
    <n v="1373"/>
    <n v="3.8307014117515761E-2"/>
    <x v="0"/>
  </r>
  <r>
    <x v="27"/>
    <x v="2"/>
    <n v="1937"/>
    <n v="210"/>
    <n v="20607"/>
    <n v="4.2"/>
    <x v="109"/>
    <n v="1727"/>
    <n v="8.3806473528412681E-2"/>
    <x v="3"/>
  </r>
  <r>
    <x v="27"/>
    <x v="3"/>
    <n v="736"/>
    <n v="163"/>
    <n v="451894"/>
    <n v="5.43"/>
    <x v="110"/>
    <n v="573"/>
    <n v="1.2679964770499277E-3"/>
    <x v="4"/>
  </r>
  <r>
    <x v="28"/>
    <x v="0"/>
    <n v="1502"/>
    <n v="70"/>
    <n v="465553"/>
    <n v="3.32"/>
    <x v="111"/>
    <n v="1432"/>
    <n v="3.0759118725472716E-3"/>
    <x v="3"/>
  </r>
  <r>
    <x v="28"/>
    <x v="1"/>
    <n v="1623"/>
    <n v="246"/>
    <n v="415815"/>
    <n v="8.11"/>
    <x v="112"/>
    <n v="1377"/>
    <n v="3.311568846722701E-3"/>
    <x v="1"/>
  </r>
  <r>
    <x v="28"/>
    <x v="2"/>
    <n v="1592"/>
    <n v="233"/>
    <n v="327183"/>
    <n v="6.66"/>
    <x v="113"/>
    <n v="1359"/>
    <n v="4.1536387893013997E-3"/>
    <x v="4"/>
  </r>
  <r>
    <x v="28"/>
    <x v="3"/>
    <n v="1004"/>
    <n v="128"/>
    <n v="488901"/>
    <n v="8.09"/>
    <x v="114"/>
    <n v="876"/>
    <n v="1.7917737946946315E-3"/>
    <x v="3"/>
  </r>
  <r>
    <x v="29"/>
    <x v="0"/>
    <n v="1092"/>
    <n v="408"/>
    <n v="280795"/>
    <n v="8.44"/>
    <x v="115"/>
    <n v="684"/>
    <n v="2.4359408109118751E-3"/>
    <x v="3"/>
  </r>
  <r>
    <x v="29"/>
    <x v="1"/>
    <n v="1155"/>
    <n v="425"/>
    <n v="93347"/>
    <n v="2.02"/>
    <x v="116"/>
    <n v="730"/>
    <n v="7.8202834584935772E-3"/>
    <x v="1"/>
  </r>
  <r>
    <x v="29"/>
    <x v="2"/>
    <n v="1137"/>
    <n v="226"/>
    <n v="81119"/>
    <n v="7.74"/>
    <x v="117"/>
    <n v="911"/>
    <n v="1.1230414576116569E-2"/>
    <x v="4"/>
  </r>
  <r>
    <x v="29"/>
    <x v="3"/>
    <n v="1900"/>
    <n v="311"/>
    <n v="25177"/>
    <n v="2.89"/>
    <x v="118"/>
    <n v="1589"/>
    <n v="6.3113158835445049E-2"/>
    <x v="3"/>
  </r>
  <r>
    <x v="30"/>
    <x v="0"/>
    <n v="1814"/>
    <n v="49"/>
    <n v="140804"/>
    <n v="1.76"/>
    <x v="119"/>
    <n v="1765"/>
    <n v="1.253515525127127E-2"/>
    <x v="0"/>
  </r>
  <r>
    <x v="30"/>
    <x v="1"/>
    <n v="1980"/>
    <n v="204"/>
    <n v="379431"/>
    <n v="3.09"/>
    <x v="120"/>
    <n v="1776"/>
    <n v="4.6806929323118035E-3"/>
    <x v="3"/>
  </r>
  <r>
    <x v="30"/>
    <x v="2"/>
    <n v="1786"/>
    <n v="257"/>
    <n v="274831"/>
    <n v="4.68"/>
    <x v="121"/>
    <n v="1529"/>
    <n v="5.5634189738421064E-3"/>
    <x v="4"/>
  </r>
  <r>
    <x v="30"/>
    <x v="3"/>
    <n v="1495"/>
    <n v="35"/>
    <n v="136845"/>
    <n v="4.4800000000000004"/>
    <x v="122"/>
    <n v="1460"/>
    <n v="1.0669005078738719E-2"/>
    <x v="3"/>
  </r>
  <r>
    <x v="31"/>
    <x v="0"/>
    <n v="1013"/>
    <n v="110"/>
    <n v="466382"/>
    <n v="5.3"/>
    <x v="123"/>
    <n v="903"/>
    <n v="1.9361810704529763E-3"/>
    <x v="0"/>
  </r>
  <r>
    <x v="31"/>
    <x v="1"/>
    <n v="816"/>
    <n v="196"/>
    <n v="95728"/>
    <n v="8.1999999999999993"/>
    <x v="124"/>
    <n v="620"/>
    <n v="6.4766839378238338E-3"/>
    <x v="3"/>
  </r>
  <r>
    <x v="31"/>
    <x v="2"/>
    <n v="1633"/>
    <n v="445"/>
    <n v="371156"/>
    <n v="2.2200000000000002"/>
    <x v="125"/>
    <n v="1188"/>
    <n v="3.2008104408927781E-3"/>
    <x v="2"/>
  </r>
  <r>
    <x v="31"/>
    <x v="3"/>
    <n v="891"/>
    <n v="45"/>
    <n v="95410"/>
    <n v="8.33"/>
    <x v="126"/>
    <n v="846"/>
    <n v="8.8669950738916262E-3"/>
    <x v="3"/>
  </r>
  <r>
    <x v="32"/>
    <x v="0"/>
    <n v="1855"/>
    <n v="133"/>
    <n v="349413"/>
    <n v="3.3"/>
    <x v="127"/>
    <n v="1722"/>
    <n v="4.9282654051223049E-3"/>
    <x v="0"/>
  </r>
  <r>
    <x v="32"/>
    <x v="1"/>
    <n v="651"/>
    <n v="353"/>
    <n v="224699"/>
    <n v="5.61"/>
    <x v="128"/>
    <n v="298"/>
    <n v="1.3262186302564765E-3"/>
    <x v="3"/>
  </r>
  <r>
    <x v="32"/>
    <x v="2"/>
    <n v="118"/>
    <n v="262"/>
    <n v="487896"/>
    <n v="2.56"/>
    <x v="129"/>
    <n v="-144"/>
    <n v="-2.9514486693885583E-4"/>
    <x v="2"/>
  </r>
  <r>
    <x v="32"/>
    <x v="3"/>
    <n v="1331"/>
    <n v="430"/>
    <n v="14437"/>
    <n v="3.29"/>
    <x v="130"/>
    <n v="901"/>
    <n v="6.2409087760615087E-2"/>
    <x v="2"/>
  </r>
  <r>
    <x v="33"/>
    <x v="0"/>
    <n v="1748"/>
    <n v="176"/>
    <n v="383681"/>
    <n v="9.24"/>
    <x v="131"/>
    <n v="1572"/>
    <n v="4.0971536250166149E-3"/>
    <x v="0"/>
  </r>
  <r>
    <x v="33"/>
    <x v="1"/>
    <n v="663"/>
    <n v="236"/>
    <n v="479490"/>
    <n v="4.51"/>
    <x v="132"/>
    <n v="427"/>
    <n v="8.9052952094934197E-4"/>
    <x v="1"/>
  </r>
  <r>
    <x v="33"/>
    <x v="2"/>
    <n v="1040"/>
    <n v="149"/>
    <n v="124404"/>
    <n v="5.23"/>
    <x v="133"/>
    <n v="891"/>
    <n v="7.1621491270377159E-3"/>
    <x v="4"/>
  </r>
  <r>
    <x v="33"/>
    <x v="3"/>
    <n v="1166"/>
    <n v="442"/>
    <n v="336949"/>
    <n v="4.68"/>
    <x v="134"/>
    <n v="724"/>
    <n v="2.1486931256659019E-3"/>
    <x v="0"/>
  </r>
  <r>
    <x v="34"/>
    <x v="0"/>
    <n v="115"/>
    <n v="281"/>
    <n v="357265"/>
    <n v="9.23"/>
    <x v="135"/>
    <n v="-166"/>
    <n v="-4.6464109274628077E-4"/>
    <x v="0"/>
  </r>
  <r>
    <x v="34"/>
    <x v="1"/>
    <n v="1249"/>
    <n v="351"/>
    <n v="321307"/>
    <n v="6.37"/>
    <x v="136"/>
    <n v="898"/>
    <n v="2.7948348464241365E-3"/>
    <x v="1"/>
  </r>
  <r>
    <x v="34"/>
    <x v="2"/>
    <n v="1501"/>
    <n v="75"/>
    <n v="262569"/>
    <n v="2.0099999999999998"/>
    <x v="137"/>
    <n v="1426"/>
    <n v="5.4309533874905263E-3"/>
    <x v="0"/>
  </r>
  <r>
    <x v="34"/>
    <x v="3"/>
    <n v="1411"/>
    <n v="186"/>
    <n v="461669"/>
    <n v="3.72"/>
    <x v="138"/>
    <n v="1225"/>
    <n v="2.6534161921203288E-3"/>
    <x v="0"/>
  </r>
  <r>
    <x v="35"/>
    <x v="0"/>
    <n v="1556"/>
    <n v="476"/>
    <n v="351556"/>
    <n v="3.89"/>
    <x v="139"/>
    <n v="1080"/>
    <n v="3.0720567989168156E-3"/>
    <x v="0"/>
  </r>
  <r>
    <x v="35"/>
    <x v="1"/>
    <n v="1159"/>
    <n v="411"/>
    <n v="135987"/>
    <n v="8.6999999999999993"/>
    <x v="140"/>
    <n v="748"/>
    <n v="5.5005257855530306E-3"/>
    <x v="1"/>
  </r>
  <r>
    <x v="35"/>
    <x v="2"/>
    <n v="927"/>
    <n v="358"/>
    <n v="177554"/>
    <n v="6.95"/>
    <x v="141"/>
    <n v="569"/>
    <n v="3.2046588643454949E-3"/>
    <x v="0"/>
  </r>
  <r>
    <x v="35"/>
    <x v="3"/>
    <n v="152"/>
    <n v="355"/>
    <n v="270766"/>
    <n v="9.48"/>
    <x v="142"/>
    <n v="-203"/>
    <n v="-7.4972485467156139E-4"/>
    <x v="0"/>
  </r>
  <r>
    <x v="36"/>
    <x v="0"/>
    <n v="1957"/>
    <n v="234"/>
    <n v="222126"/>
    <n v="4.6100000000000003"/>
    <x v="143"/>
    <n v="1723"/>
    <n v="7.7568587198256845E-3"/>
    <x v="0"/>
  </r>
  <r>
    <x v="36"/>
    <x v="1"/>
    <n v="1294"/>
    <n v="382"/>
    <n v="309914"/>
    <n v="8.0299999999999994"/>
    <x v="144"/>
    <n v="912"/>
    <n v="2.9427518601934728E-3"/>
    <x v="2"/>
  </r>
  <r>
    <x v="36"/>
    <x v="2"/>
    <n v="1587"/>
    <n v="385"/>
    <n v="126582"/>
    <n v="6.99"/>
    <x v="145"/>
    <n v="1202"/>
    <n v="9.4958208908059605E-3"/>
    <x v="4"/>
  </r>
  <r>
    <x v="36"/>
    <x v="3"/>
    <n v="1707"/>
    <n v="263"/>
    <n v="485280"/>
    <n v="9.0299999999999994"/>
    <x v="146"/>
    <n v="1444"/>
    <n v="2.9756017144741179E-3"/>
    <x v="0"/>
  </r>
  <r>
    <x v="37"/>
    <x v="0"/>
    <n v="1138"/>
    <n v="173"/>
    <n v="453243"/>
    <n v="2.86"/>
    <x v="147"/>
    <n v="965"/>
    <n v="2.1291007252180398E-3"/>
    <x v="1"/>
  </r>
  <r>
    <x v="37"/>
    <x v="1"/>
    <n v="1895"/>
    <n v="305"/>
    <n v="104967"/>
    <n v="3.85"/>
    <x v="148"/>
    <n v="1590"/>
    <n v="1.5147617822744291E-2"/>
    <x v="2"/>
  </r>
  <r>
    <x v="37"/>
    <x v="2"/>
    <n v="362"/>
    <n v="399"/>
    <n v="145608"/>
    <n v="7.3"/>
    <x v="149"/>
    <n v="-37"/>
    <n v="-2.5410691720235154E-4"/>
    <x v="2"/>
  </r>
  <r>
    <x v="37"/>
    <x v="3"/>
    <n v="1662"/>
    <n v="487"/>
    <n v="105980"/>
    <n v="9.08"/>
    <x v="150"/>
    <n v="1175"/>
    <n v="1.1086997546706926E-2"/>
    <x v="0"/>
  </r>
  <r>
    <x v="38"/>
    <x v="0"/>
    <n v="1440"/>
    <n v="65"/>
    <n v="126524"/>
    <n v="4.34"/>
    <x v="151"/>
    <n v="1375"/>
    <n v="1.0867503398564699E-2"/>
    <x v="2"/>
  </r>
  <r>
    <x v="38"/>
    <x v="1"/>
    <n v="1884"/>
    <n v="177"/>
    <n v="230448"/>
    <n v="7.8"/>
    <x v="152"/>
    <n v="1707"/>
    <n v="7.4073109768798169E-3"/>
    <x v="0"/>
  </r>
  <r>
    <x v="38"/>
    <x v="2"/>
    <n v="861"/>
    <n v="153"/>
    <n v="317007"/>
    <n v="3.85"/>
    <x v="153"/>
    <n v="708"/>
    <n v="2.2333891680625349E-3"/>
    <x v="2"/>
  </r>
  <r>
    <x v="38"/>
    <x v="3"/>
    <n v="1063"/>
    <n v="47"/>
    <n v="464239"/>
    <n v="6.58"/>
    <x v="154"/>
    <n v="1016"/>
    <n v="2.1885278918832756E-3"/>
    <x v="0"/>
  </r>
  <r>
    <x v="39"/>
    <x v="0"/>
    <n v="1371"/>
    <n v="56"/>
    <n v="257579"/>
    <n v="8.6199999999999992"/>
    <x v="155"/>
    <n v="1315"/>
    <n v="5.1052298518124532E-3"/>
    <x v="0"/>
  </r>
  <r>
    <x v="39"/>
    <x v="1"/>
    <n v="345"/>
    <n v="464"/>
    <n v="366881"/>
    <n v="4.55"/>
    <x v="156"/>
    <n v="-119"/>
    <n v="-3.2435585380545735E-4"/>
    <x v="0"/>
  </r>
  <r>
    <x v="39"/>
    <x v="2"/>
    <n v="946"/>
    <n v="47"/>
    <n v="466575"/>
    <n v="8.33"/>
    <x v="157"/>
    <n v="899"/>
    <n v="1.9268070513850934E-3"/>
    <x v="0"/>
  </r>
  <r>
    <x v="39"/>
    <x v="3"/>
    <n v="510"/>
    <n v="195"/>
    <n v="224534"/>
    <n v="9.4"/>
    <x v="158"/>
    <n v="315"/>
    <n v="1.4029055733207443E-3"/>
    <x v="2"/>
  </r>
  <r>
    <x v="40"/>
    <x v="0"/>
    <n v="393"/>
    <n v="181"/>
    <n v="462142"/>
    <n v="7.23"/>
    <x v="159"/>
    <n v="212"/>
    <n v="4.5873346287504706E-4"/>
    <x v="0"/>
  </r>
  <r>
    <x v="40"/>
    <x v="1"/>
    <n v="1098"/>
    <n v="190"/>
    <n v="340842"/>
    <n v="9.39"/>
    <x v="160"/>
    <n v="908"/>
    <n v="2.6639909400836752E-3"/>
    <x v="3"/>
  </r>
  <r>
    <x v="40"/>
    <x v="2"/>
    <n v="1399"/>
    <n v="49"/>
    <n v="12471"/>
    <n v="5.12"/>
    <x v="161"/>
    <n v="1350"/>
    <n v="0.10825114265095021"/>
    <x v="0"/>
  </r>
  <r>
    <x v="40"/>
    <x v="3"/>
    <n v="1658"/>
    <n v="416"/>
    <n v="98397"/>
    <n v="6.11"/>
    <x v="162"/>
    <n v="1242"/>
    <n v="1.2622336046830695E-2"/>
    <x v="2"/>
  </r>
  <r>
    <x v="41"/>
    <x v="0"/>
    <n v="1102"/>
    <n v="422"/>
    <n v="410330"/>
    <n v="7.74"/>
    <x v="163"/>
    <n v="680"/>
    <n v="1.6572027392586454E-3"/>
    <x v="2"/>
  </r>
  <r>
    <x v="41"/>
    <x v="1"/>
    <n v="1358"/>
    <n v="242"/>
    <n v="342129"/>
    <n v="4.9400000000000004"/>
    <x v="164"/>
    <n v="1116"/>
    <n v="3.2619275185675578E-3"/>
    <x v="3"/>
  </r>
  <r>
    <x v="41"/>
    <x v="2"/>
    <n v="1077"/>
    <n v="216"/>
    <n v="12447"/>
    <n v="1.8"/>
    <x v="165"/>
    <n v="861"/>
    <n v="6.9173294769824048E-2"/>
    <x v="2"/>
  </r>
  <r>
    <x v="41"/>
    <x v="3"/>
    <n v="1596"/>
    <n v="211"/>
    <n v="17380"/>
    <n v="8.64"/>
    <x v="166"/>
    <n v="1385"/>
    <n v="7.9689298043728429E-2"/>
    <x v="3"/>
  </r>
  <r>
    <x v="42"/>
    <x v="0"/>
    <n v="490"/>
    <n v="29"/>
    <n v="364810"/>
    <n v="1.53"/>
    <x v="167"/>
    <n v="461"/>
    <n v="1.2636715002329981E-3"/>
    <x v="2"/>
  </r>
  <r>
    <x v="42"/>
    <x v="1"/>
    <n v="609"/>
    <n v="135"/>
    <n v="373606"/>
    <n v="8.52"/>
    <x v="168"/>
    <n v="474"/>
    <n v="1.268716241173857E-3"/>
    <x v="1"/>
  </r>
  <r>
    <x v="42"/>
    <x v="2"/>
    <n v="364"/>
    <n v="72"/>
    <n v="211090"/>
    <n v="5.53"/>
    <x v="169"/>
    <n v="292"/>
    <n v="1.3832962243592781E-3"/>
    <x v="3"/>
  </r>
  <r>
    <x v="42"/>
    <x v="3"/>
    <n v="442"/>
    <n v="53"/>
    <n v="441931"/>
    <n v="1.87"/>
    <x v="170"/>
    <n v="389"/>
    <n v="8.8022790888170322E-4"/>
    <x v="1"/>
  </r>
  <r>
    <x v="43"/>
    <x v="0"/>
    <n v="1033"/>
    <n v="392"/>
    <n v="282780"/>
    <n v="6.27"/>
    <x v="171"/>
    <n v="641"/>
    <n v="2.2667798288422093E-3"/>
    <x v="2"/>
  </r>
  <r>
    <x v="43"/>
    <x v="1"/>
    <n v="988"/>
    <n v="474"/>
    <n v="370070"/>
    <n v="9.4600000000000009"/>
    <x v="172"/>
    <n v="514"/>
    <n v="1.3889264193260734E-3"/>
    <x v="1"/>
  </r>
  <r>
    <x v="43"/>
    <x v="2"/>
    <n v="1946"/>
    <n v="270"/>
    <n v="198350"/>
    <n v="7.5"/>
    <x v="173"/>
    <n v="1676"/>
    <n v="8.4497101083942528E-3"/>
    <x v="3"/>
  </r>
  <r>
    <x v="43"/>
    <x v="3"/>
    <n v="1957"/>
    <n v="490"/>
    <n v="435726"/>
    <n v="4.7300000000000004"/>
    <x v="174"/>
    <n v="1467"/>
    <n v="3.3667947287974553E-3"/>
    <x v="3"/>
  </r>
  <r>
    <x v="44"/>
    <x v="0"/>
    <n v="559"/>
    <n v="392"/>
    <n v="78789"/>
    <n v="3.19"/>
    <x v="175"/>
    <n v="167"/>
    <n v="2.1195852212872357E-3"/>
    <x v="3"/>
  </r>
  <r>
    <x v="44"/>
    <x v="1"/>
    <n v="1307"/>
    <n v="278"/>
    <n v="98596"/>
    <n v="2.4900000000000002"/>
    <x v="176"/>
    <n v="1029"/>
    <n v="1.0436528865268368E-2"/>
    <x v="2"/>
  </r>
  <r>
    <x v="44"/>
    <x v="2"/>
    <n v="1432"/>
    <n v="425"/>
    <n v="29589"/>
    <n v="4.5"/>
    <x v="177"/>
    <n v="1007"/>
    <n v="3.4032917638311531E-2"/>
    <x v="3"/>
  </r>
  <r>
    <x v="44"/>
    <x v="3"/>
    <n v="623"/>
    <n v="414"/>
    <n v="290354"/>
    <n v="6.49"/>
    <x v="178"/>
    <n v="209"/>
    <n v="7.1981098934404211E-4"/>
    <x v="3"/>
  </r>
  <r>
    <x v="45"/>
    <x v="0"/>
    <n v="198"/>
    <n v="358"/>
    <n v="66682"/>
    <n v="6.73"/>
    <x v="179"/>
    <n v="-160"/>
    <n v="-2.3994481269308059E-3"/>
    <x v="3"/>
  </r>
  <r>
    <x v="45"/>
    <x v="1"/>
    <n v="198"/>
    <n v="373"/>
    <n v="70707"/>
    <n v="4.83"/>
    <x v="180"/>
    <n v="-175"/>
    <n v="-2.4750024750024749E-3"/>
    <x v="3"/>
  </r>
  <r>
    <x v="45"/>
    <x v="2"/>
    <n v="353"/>
    <n v="300"/>
    <n v="142507"/>
    <n v="5.3"/>
    <x v="181"/>
    <n v="53"/>
    <n v="3.7191155522184875E-4"/>
    <x v="2"/>
  </r>
  <r>
    <x v="45"/>
    <x v="3"/>
    <n v="520"/>
    <n v="375"/>
    <n v="369525"/>
    <n v="6.54"/>
    <x v="182"/>
    <n v="145"/>
    <n v="3.9239564305527366E-4"/>
    <x v="1"/>
  </r>
  <r>
    <x v="46"/>
    <x v="0"/>
    <n v="961"/>
    <n v="358"/>
    <n v="62942"/>
    <n v="6.8"/>
    <x v="183"/>
    <n v="603"/>
    <n v="9.5802484827301332E-3"/>
    <x v="3"/>
  </r>
  <r>
    <x v="46"/>
    <x v="1"/>
    <n v="1375"/>
    <n v="330"/>
    <n v="377382"/>
    <n v="2.6"/>
    <x v="184"/>
    <n v="1045"/>
    <n v="2.7690774864725927E-3"/>
    <x v="0"/>
  </r>
  <r>
    <x v="46"/>
    <x v="2"/>
    <n v="1147"/>
    <n v="388"/>
    <n v="333851"/>
    <n v="2.44"/>
    <x v="185"/>
    <n v="759"/>
    <n v="2.2734693021737242E-3"/>
    <x v="4"/>
  </r>
  <r>
    <x v="46"/>
    <x v="3"/>
    <n v="1707"/>
    <n v="74"/>
    <n v="270958"/>
    <n v="3.09"/>
    <x v="186"/>
    <n v="1633"/>
    <n v="6.0267642955734836E-3"/>
    <x v="1"/>
  </r>
  <r>
    <x v="47"/>
    <x v="0"/>
    <n v="1693"/>
    <n v="154"/>
    <n v="445944"/>
    <n v="5.69"/>
    <x v="187"/>
    <n v="1539"/>
    <n v="3.4511059684624078E-3"/>
    <x v="4"/>
  </r>
  <r>
    <x v="47"/>
    <x v="1"/>
    <n v="833"/>
    <n v="380"/>
    <n v="224830"/>
    <n v="3.86"/>
    <x v="188"/>
    <n v="453"/>
    <n v="2.014855668727483E-3"/>
    <x v="0"/>
  </r>
  <r>
    <x v="47"/>
    <x v="2"/>
    <n v="1222"/>
    <n v="274"/>
    <n v="487289"/>
    <n v="3.16"/>
    <x v="189"/>
    <n v="948"/>
    <n v="1.9454574184929272E-3"/>
    <x v="0"/>
  </r>
  <r>
    <x v="47"/>
    <x v="3"/>
    <n v="777"/>
    <n v="140"/>
    <n v="11435"/>
    <n v="1.6"/>
    <x v="190"/>
    <n v="637"/>
    <n v="5.5706165282028861E-2"/>
    <x v="2"/>
  </r>
  <r>
    <x v="48"/>
    <x v="0"/>
    <n v="1957"/>
    <n v="76"/>
    <n v="447902"/>
    <n v="6.09"/>
    <x v="191"/>
    <n v="1881"/>
    <n v="4.1995793722733989E-3"/>
    <x v="4"/>
  </r>
  <r>
    <x v="48"/>
    <x v="1"/>
    <n v="405"/>
    <n v="66"/>
    <n v="418696"/>
    <n v="5.59"/>
    <x v="192"/>
    <n v="339"/>
    <n v="8.0965664826031301E-4"/>
    <x v="0"/>
  </r>
  <r>
    <x v="48"/>
    <x v="2"/>
    <n v="1581"/>
    <n v="71"/>
    <n v="484364"/>
    <n v="3.55"/>
    <x v="193"/>
    <n v="1510"/>
    <n v="3.1174901520344203E-3"/>
    <x v="0"/>
  </r>
  <r>
    <x v="48"/>
    <x v="3"/>
    <n v="1035"/>
    <n v="171"/>
    <n v="148477"/>
    <n v="5.21"/>
    <x v="194"/>
    <n v="864"/>
    <n v="5.8190830903102836E-3"/>
    <x v="1"/>
  </r>
  <r>
    <x v="49"/>
    <x v="0"/>
    <n v="1765"/>
    <n v="109"/>
    <n v="468301"/>
    <n v="1.82"/>
    <x v="195"/>
    <n v="1656"/>
    <n v="3.5361871958419907E-3"/>
    <x v="2"/>
  </r>
  <r>
    <x v="49"/>
    <x v="1"/>
    <n v="837"/>
    <n v="430"/>
    <n v="364820"/>
    <n v="4"/>
    <x v="196"/>
    <n v="407"/>
    <n v="1.1156186612576065E-3"/>
    <x v="0"/>
  </r>
  <r>
    <x v="49"/>
    <x v="2"/>
    <n v="337"/>
    <n v="68"/>
    <n v="456298"/>
    <n v="7.57"/>
    <x v="197"/>
    <n v="269"/>
    <n v="5.8952701962314107E-4"/>
    <x v="0"/>
  </r>
  <r>
    <x v="49"/>
    <x v="3"/>
    <n v="119"/>
    <n v="456"/>
    <n v="82558"/>
    <n v="6.81"/>
    <x v="198"/>
    <n v="-337"/>
    <n v="-4.0819787301048958E-3"/>
    <x v="1"/>
  </r>
  <r>
    <x v="50"/>
    <x v="4"/>
    <m/>
    <m/>
    <m/>
    <m/>
    <x v="199"/>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5CAC1-EE2F-42D3-8F47-535C753BEE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9:S14" firstHeaderRow="1" firstDataRow="1" firstDataCol="1"/>
  <pivotFields count="16">
    <pivotField showAll="0"/>
    <pivotField axis="axisRow" showAll="0" sortType="descending">
      <items count="6">
        <item x="3"/>
        <item x="2"/>
        <item x="0"/>
        <item x="1"/>
        <item h="1" x="4"/>
        <item t="default"/>
      </items>
      <autoSortScope>
        <pivotArea dataOnly="0" outline="0" fieldPosition="0">
          <references count="1">
            <reference field="4294967294" count="1" selected="0">
              <x v="0"/>
            </reference>
          </references>
        </pivotArea>
      </autoSortScope>
    </pivotField>
    <pivotField showAll="0"/>
    <pivotField showAll="0">
      <items count="8">
        <item x="3"/>
        <item h="1" x="4"/>
        <item h="1" x="0"/>
        <item x="2"/>
        <item x="1"/>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5">
    <i>
      <x v="1"/>
    </i>
    <i>
      <x v="2"/>
    </i>
    <i>
      <x v="3"/>
    </i>
    <i>
      <x/>
    </i>
    <i t="grand">
      <x/>
    </i>
  </rowItems>
  <colItems count="1">
    <i/>
  </colItems>
  <dataFields count="1">
    <dataField name="Average of Engagement rate" fld="15" subtotal="average" baseField="1" baseItem="0"/>
  </dataFields>
  <formats count="9">
    <format dxfId="255">
      <pivotArea collapsedLevelsAreSubtotals="1" fieldPosition="0">
        <references count="1">
          <reference field="1" count="4">
            <x v="0"/>
            <x v="1"/>
            <x v="2"/>
            <x v="3"/>
          </reference>
        </references>
      </pivotArea>
    </format>
    <format dxfId="254">
      <pivotArea collapsedLevelsAreSubtotals="1" fieldPosition="0">
        <references count="1">
          <reference field="1" count="1">
            <x v="1"/>
          </reference>
        </references>
      </pivotArea>
    </format>
    <format dxfId="253">
      <pivotArea dataOnly="0" labelOnly="1" fieldPosition="0">
        <references count="1">
          <reference field="1" count="1">
            <x v="1"/>
          </reference>
        </references>
      </pivotArea>
    </format>
    <format dxfId="252">
      <pivotArea type="all" dataOnly="0" outline="0" fieldPosition="0"/>
    </format>
    <format dxfId="251">
      <pivotArea outline="0" collapsedLevelsAreSubtotals="1" fieldPosition="0"/>
    </format>
    <format dxfId="250">
      <pivotArea field="1" type="button" dataOnly="0" labelOnly="1" outline="0" axis="axisRow" fieldPosition="0"/>
    </format>
    <format dxfId="249">
      <pivotArea dataOnly="0" labelOnly="1" fieldPosition="0">
        <references count="1">
          <reference field="1" count="0"/>
        </references>
      </pivotArea>
    </format>
    <format dxfId="248">
      <pivotArea dataOnly="0" labelOnly="1" grandRow="1" outline="0" fieldPosition="0"/>
    </format>
    <format dxfId="24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49BE24-A79C-4575-96DA-C0052D489DB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7:M13" firstHeaderRow="1" firstDataRow="3" firstDataCol="1"/>
  <pivotFields count="16">
    <pivotField showAll="0"/>
    <pivotField axis="axisCol" showAll="0">
      <items count="6">
        <item x="3"/>
        <item x="2"/>
        <item x="0"/>
        <item x="1"/>
        <item h="1" x="4"/>
        <item t="default"/>
      </items>
    </pivotField>
    <pivotField showAll="0"/>
    <pivotField axis="axisRow" showAll="0">
      <items count="8">
        <item x="3"/>
        <item h="1" x="4"/>
        <item h="1" x="0"/>
        <item x="2"/>
        <item x="1"/>
        <item x="5"/>
        <item h="1" x="6"/>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1">
    <field x="3"/>
  </rowFields>
  <rowItems count="4">
    <i>
      <x/>
    </i>
    <i>
      <x v="3"/>
    </i>
    <i>
      <x v="4"/>
    </i>
    <i>
      <x v="5"/>
    </i>
  </rowItems>
  <colFields count="2">
    <field x="1"/>
    <field x="-2"/>
  </colFields>
  <colItems count="12">
    <i>
      <x/>
      <x/>
    </i>
    <i r="1" i="1">
      <x v="1"/>
    </i>
    <i r="1" i="2">
      <x v="2"/>
    </i>
    <i>
      <x v="1"/>
      <x/>
    </i>
    <i r="1" i="1">
      <x v="1"/>
    </i>
    <i r="1" i="2">
      <x v="2"/>
    </i>
    <i>
      <x v="2"/>
      <x/>
    </i>
    <i r="1" i="1">
      <x v="1"/>
    </i>
    <i r="1" i="2">
      <x v="2"/>
    </i>
    <i>
      <x v="3"/>
      <x/>
    </i>
    <i r="1" i="1">
      <x v="1"/>
    </i>
    <i r="1" i="2">
      <x v="2"/>
    </i>
  </colItems>
  <dataFields count="3">
    <dataField name="Sum of Likes" fld="5" baseField="0" baseItem="0"/>
    <dataField name="Sum of Shares" fld="6" baseField="0" baseItem="0"/>
    <dataField name="Sum of Comments" fld="7" baseField="0" baseItem="0"/>
  </dataFields>
  <formats count="1">
    <format dxfId="206">
      <pivotArea type="all" dataOnly="0" outline="0" fieldPosition="0"/>
    </format>
  </formats>
  <chartFormats count="1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1"/>
          </reference>
          <reference field="1" count="1" selected="0">
            <x v="0"/>
          </reference>
        </references>
      </pivotArea>
    </chartFormat>
    <chartFormat chart="1" format="2" series="1">
      <pivotArea type="data" outline="0" fieldPosition="0">
        <references count="2">
          <reference field="4294967294" count="1" selected="0">
            <x v="2"/>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1" format="4" series="1">
      <pivotArea type="data" outline="0" fieldPosition="0">
        <references count="2">
          <reference field="4294967294" count="1" selected="0">
            <x v="1"/>
          </reference>
          <reference field="1" count="1" selected="0">
            <x v="1"/>
          </reference>
        </references>
      </pivotArea>
    </chartFormat>
    <chartFormat chart="1" format="5" series="1">
      <pivotArea type="data" outline="0" fieldPosition="0">
        <references count="2">
          <reference field="4294967294" count="1" selected="0">
            <x v="2"/>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2">
          <reference field="4294967294" count="1" selected="0">
            <x v="1"/>
          </reference>
          <reference field="1" count="1" selected="0">
            <x v="2"/>
          </reference>
        </references>
      </pivotArea>
    </chartFormat>
    <chartFormat chart="1" format="8" series="1">
      <pivotArea type="data" outline="0" fieldPosition="0">
        <references count="2">
          <reference field="4294967294" count="1" selected="0">
            <x v="2"/>
          </reference>
          <reference field="1" count="1" selected="0">
            <x v="2"/>
          </reference>
        </references>
      </pivotArea>
    </chartFormat>
    <chartFormat chart="1" format="9" series="1">
      <pivotArea type="data" outline="0" fieldPosition="0">
        <references count="2">
          <reference field="4294967294" count="1" selected="0">
            <x v="0"/>
          </reference>
          <reference field="1" count="1" selected="0">
            <x v="3"/>
          </reference>
        </references>
      </pivotArea>
    </chartFormat>
    <chartFormat chart="1" format="10" series="1">
      <pivotArea type="data" outline="0" fieldPosition="0">
        <references count="2">
          <reference field="4294967294" count="1" selected="0">
            <x v="1"/>
          </reference>
          <reference field="1" count="1" selected="0">
            <x v="3"/>
          </reference>
        </references>
      </pivotArea>
    </chartFormat>
    <chartFormat chart="1" format="11" series="1">
      <pivotArea type="data" outline="0" fieldPosition="0">
        <references count="2">
          <reference field="4294967294" count="1" selected="0">
            <x v="2"/>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6BC140-C065-4E80-B42C-C446DC808FF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4:C21" firstHeaderRow="1" firstDataRow="1" firstDataCol="1"/>
  <pivotFields count="14">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9">
        <item x="1"/>
        <item x="4"/>
        <item x="5"/>
        <item x="0"/>
        <item x="6"/>
        <item x="3"/>
        <item h="1" x="2"/>
        <item h="1" x="7"/>
        <item t="default"/>
      </items>
      <autoSortScope>
        <pivotArea dataOnly="0" outline="0" fieldPosition="0">
          <references count="1">
            <reference field="4294967294" count="1" selected="0">
              <x v="0"/>
            </reference>
          </references>
        </pivotArea>
      </autoSortScope>
    </pivotField>
  </pivotFields>
  <rowFields count="1">
    <field x="13"/>
  </rowFields>
  <rowItems count="7">
    <i>
      <x/>
    </i>
    <i>
      <x v="5"/>
    </i>
    <i>
      <x v="2"/>
    </i>
    <i>
      <x v="3"/>
    </i>
    <i>
      <x v="1"/>
    </i>
    <i>
      <x v="4"/>
    </i>
    <i t="grand">
      <x/>
    </i>
  </rowItems>
  <colItems count="1">
    <i/>
  </colItems>
  <dataFields count="1">
    <dataField name="Average of Clicks" fld="10" subtotal="average" baseField="13" baseItem="0"/>
  </dataFields>
  <formats count="9">
    <format dxfId="205">
      <pivotArea collapsedLevelsAreSubtotals="1" fieldPosition="0">
        <references count="1">
          <reference field="13" count="7">
            <x v="0"/>
            <x v="1"/>
            <x v="2"/>
            <x v="3"/>
            <x v="4"/>
            <x v="5"/>
            <x v="6"/>
          </reference>
        </references>
      </pivotArea>
    </format>
    <format dxfId="204">
      <pivotArea type="all" dataOnly="0" outline="0" fieldPosition="0"/>
    </format>
    <format dxfId="203">
      <pivotArea outline="0" collapsedLevelsAreSubtotals="1" fieldPosition="0"/>
    </format>
    <format dxfId="202">
      <pivotArea field="13" type="button" dataOnly="0" labelOnly="1" outline="0" axis="axisRow" fieldPosition="0"/>
    </format>
    <format dxfId="201">
      <pivotArea dataOnly="0" labelOnly="1" fieldPosition="0">
        <references count="1">
          <reference field="13" count="0"/>
        </references>
      </pivotArea>
    </format>
    <format dxfId="200">
      <pivotArea dataOnly="0" labelOnly="1" grandRow="1" outline="0" fieldPosition="0"/>
    </format>
    <format dxfId="199">
      <pivotArea dataOnly="0" labelOnly="1" outline="0" axis="axisValues" fieldPosition="0"/>
    </format>
    <format dxfId="198">
      <pivotArea collapsedLevelsAreSubtotals="1" fieldPosition="0">
        <references count="1">
          <reference field="13" count="1">
            <x v="0"/>
          </reference>
        </references>
      </pivotArea>
    </format>
    <format dxfId="197">
      <pivotArea dataOnly="0" labelOnly="1" fieldPosition="0">
        <references count="1">
          <reference field="13"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6FAED9-BC57-43D7-BD2B-A5A8798431E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2:D19" firstHeaderRow="1" firstDataRow="1" firstDataCol="1"/>
  <pivotFields count="14">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9">
        <item x="1"/>
        <item x="4"/>
        <item x="5"/>
        <item x="0"/>
        <item x="6"/>
        <item x="3"/>
        <item h="1" x="2"/>
        <item h="1" x="7"/>
        <item t="default"/>
      </items>
      <autoSortScope>
        <pivotArea dataOnly="0" outline="0" fieldPosition="0">
          <references count="1">
            <reference field="4294967294" count="1" selected="0">
              <x v="0"/>
            </reference>
          </references>
        </pivotArea>
      </autoSortScope>
    </pivotField>
  </pivotFields>
  <rowFields count="1">
    <field x="13"/>
  </rowFields>
  <rowItems count="7">
    <i>
      <x/>
    </i>
    <i>
      <x v="5"/>
    </i>
    <i>
      <x v="2"/>
    </i>
    <i>
      <x v="3"/>
    </i>
    <i>
      <x v="1"/>
    </i>
    <i>
      <x v="4"/>
    </i>
    <i t="grand">
      <x/>
    </i>
  </rowItems>
  <colItems count="1">
    <i/>
  </colItems>
  <dataFields count="1">
    <dataField name="Average of Clicks" fld="10" subtotal="average" baseField="13" baseItem="0"/>
  </dataFields>
  <formats count="9">
    <format dxfId="178">
      <pivotArea collapsedLevelsAreSubtotals="1" fieldPosition="0">
        <references count="1">
          <reference field="13" count="7">
            <x v="0"/>
            <x v="1"/>
            <x v="2"/>
            <x v="3"/>
            <x v="4"/>
            <x v="5"/>
            <x v="6"/>
          </reference>
        </references>
      </pivotArea>
    </format>
    <format dxfId="177">
      <pivotArea type="all" dataOnly="0" outline="0" fieldPosition="0"/>
    </format>
    <format dxfId="176">
      <pivotArea outline="0" collapsedLevelsAreSubtotals="1" fieldPosition="0"/>
    </format>
    <format dxfId="175">
      <pivotArea field="13" type="button" dataOnly="0" labelOnly="1" outline="0" axis="axisRow" fieldPosition="0"/>
    </format>
    <format dxfId="174">
      <pivotArea dataOnly="0" labelOnly="1" fieldPosition="0">
        <references count="1">
          <reference field="13" count="0"/>
        </references>
      </pivotArea>
    </format>
    <format dxfId="173">
      <pivotArea dataOnly="0" labelOnly="1" grandRow="1" outline="0" fieldPosition="0"/>
    </format>
    <format dxfId="172">
      <pivotArea dataOnly="0" labelOnly="1" outline="0" axis="axisValues" fieldPosition="0"/>
    </format>
    <format dxfId="171">
      <pivotArea collapsedLevelsAreSubtotals="1" fieldPosition="0">
        <references count="1">
          <reference field="13" count="1">
            <x v="0"/>
          </reference>
        </references>
      </pivotArea>
    </format>
    <format dxfId="170">
      <pivotArea dataOnly="0" labelOnly="1" fieldPosition="0">
        <references count="1">
          <reference field="13"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1154ED-8E31-4C47-A919-FD7E1C35FBE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8:U13" firstHeaderRow="1" firstDataRow="1" firstDataCol="1"/>
  <pivotFields count="17">
    <pivotField showAll="0"/>
    <pivotField axis="axisRow" showAll="0" sortType="descending">
      <items count="6">
        <item x="3"/>
        <item x="2"/>
        <item x="0"/>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Sum of Total_Engagement" fld="16" baseField="0" baseItem="0"/>
  </dataFields>
  <formats count="8">
    <format dxfId="169">
      <pivotArea type="all" dataOnly="0" outline="0" fieldPosition="0"/>
    </format>
    <format dxfId="168">
      <pivotArea outline="0" collapsedLevelsAreSubtotals="1" fieldPosition="0"/>
    </format>
    <format dxfId="167">
      <pivotArea field="1" type="button" dataOnly="0" labelOnly="1" outline="0" axis="axisRow" fieldPosition="0"/>
    </format>
    <format dxfId="166">
      <pivotArea dataOnly="0" labelOnly="1" fieldPosition="0">
        <references count="1">
          <reference field="1" count="0"/>
        </references>
      </pivotArea>
    </format>
    <format dxfId="165">
      <pivotArea dataOnly="0" labelOnly="1" grandRow="1" outline="0" fieldPosition="0"/>
    </format>
    <format dxfId="164">
      <pivotArea dataOnly="0" labelOnly="1" outline="0" axis="axisValues" fieldPosition="0"/>
    </format>
    <format dxfId="163">
      <pivotArea collapsedLevelsAreSubtotals="1" fieldPosition="0">
        <references count="1">
          <reference field="1" count="1">
            <x v="0"/>
          </reference>
        </references>
      </pivotArea>
    </format>
    <format dxfId="162">
      <pivotArea dataOnly="0" labelOnly="1" fieldPosition="0">
        <references count="1">
          <reference field="1"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7EA184-E352-482E-90B5-E4EA6A52C245}"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C12:D16" firstHeaderRow="1" firstDataRow="1" firstDataCol="1"/>
  <pivotFields count="9">
    <pivotField showAll="0"/>
    <pivotField axis="axisRow" showAll="0" sortType="descending">
      <items count="6">
        <item x="1"/>
        <item x="0"/>
        <item x="2"/>
        <item x="3"/>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1"/>
  </rowFields>
  <rowItems count="4">
    <i>
      <x v="2"/>
    </i>
    <i>
      <x v="3"/>
    </i>
    <i>
      <x v="1"/>
    </i>
    <i>
      <x/>
    </i>
  </rowItems>
  <colItems count="1">
    <i/>
  </colItems>
  <dataFields count="1">
    <dataField name="Average percentage of Growth rate" fld="8" subtotal="average" baseField="1" baseItem="2"/>
  </dataFields>
  <formats count="9">
    <format dxfId="140">
      <pivotArea type="all" dataOnly="0" outline="0" fieldPosition="0"/>
    </format>
    <format dxfId="139">
      <pivotArea outline="0" collapsedLevelsAreSubtotals="1" fieldPosition="0"/>
    </format>
    <format dxfId="138">
      <pivotArea field="1" type="button" dataOnly="0" labelOnly="1" outline="0" axis="axisRow" fieldPosition="0"/>
    </format>
    <format dxfId="137">
      <pivotArea dataOnly="0" labelOnly="1" fieldPosition="0">
        <references count="1">
          <reference field="1" count="0"/>
        </references>
      </pivotArea>
    </format>
    <format dxfId="136">
      <pivotArea dataOnly="0" labelOnly="1" grandRow="1" outline="0" fieldPosition="0"/>
    </format>
    <format dxfId="135">
      <pivotArea dataOnly="0" labelOnly="1" outline="0" axis="axisValues" fieldPosition="0"/>
    </format>
    <format dxfId="134">
      <pivotArea collapsedLevelsAreSubtotals="1" fieldPosition="0">
        <references count="1">
          <reference field="1" count="0"/>
        </references>
      </pivotArea>
    </format>
    <format dxfId="133">
      <pivotArea collapsedLevelsAreSubtotals="1" fieldPosition="0">
        <references count="1">
          <reference field="1" count="1">
            <x v="2"/>
          </reference>
        </references>
      </pivotArea>
    </format>
    <format dxfId="132">
      <pivotArea dataOnly="0" labelOnly="1" fieldPosition="0">
        <references count="1">
          <reference field="1" count="1">
            <x v="2"/>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D600C9-81C1-45AD-97FF-B321E8D8CBB5}"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C11:E15" firstHeaderRow="0" firstDataRow="1" firstDataCol="1"/>
  <pivotFields count="9">
    <pivotField showAll="0"/>
    <pivotField axis="axisRow" showAll="0">
      <items count="6">
        <item x="1"/>
        <item x="0"/>
        <item x="2"/>
        <item x="3"/>
        <item h="1" x="4"/>
        <item t="default"/>
      </items>
    </pivotField>
    <pivotField showAll="0"/>
    <pivotField showAll="0"/>
    <pivotField showAll="0"/>
    <pivotField dataField="1" showAll="0"/>
    <pivotField dataField="1" showAll="0"/>
    <pivotField showAll="0"/>
    <pivotField showAll="0"/>
  </pivotFields>
  <rowFields count="1">
    <field x="1"/>
  </rowFields>
  <rowItems count="4">
    <i>
      <x/>
    </i>
    <i>
      <x v="1"/>
    </i>
    <i>
      <x v="2"/>
    </i>
    <i>
      <x v="3"/>
    </i>
  </rowItems>
  <colFields count="1">
    <field x="-2"/>
  </colFields>
  <colItems count="2">
    <i>
      <x/>
    </i>
    <i i="1">
      <x v="1"/>
    </i>
  </colItems>
  <dataFields count="2">
    <dataField name="Sum of Ad_Spend" fld="6" baseField="0" baseItem="0"/>
    <dataField name="Average of Engagement_Rate" fld="5" subtotal="average" baseField="1" baseItem="0"/>
  </dataFields>
  <formats count="6">
    <format dxfId="131">
      <pivotArea type="all" dataOnly="0" outline="0" fieldPosition="0"/>
    </format>
    <format dxfId="130">
      <pivotArea outline="0" collapsedLevelsAreSubtotals="1" fieldPosition="0"/>
    </format>
    <format dxfId="129">
      <pivotArea field="1" type="button" dataOnly="0" labelOnly="1" outline="0" axis="axisRow" fieldPosition="0"/>
    </format>
    <format dxfId="128">
      <pivotArea dataOnly="0" labelOnly="1" fieldPosition="0">
        <references count="1">
          <reference field="1" count="0"/>
        </references>
      </pivotArea>
    </format>
    <format dxfId="127">
      <pivotArea dataOnly="0" labelOnly="1" grandRow="1" outline="0" fieldPosition="0"/>
    </format>
    <format dxfId="126">
      <pivotArea dataOnly="0" labelOnly="1" outline="0" fieldPosition="0">
        <references count="1">
          <reference field="4294967294" count="2">
            <x v="0"/>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F8F669-BF43-4C0E-94F2-DE1DAAA3C5A2}"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C13:D17" firstHeaderRow="1" firstDataRow="1" firstDataCol="1"/>
  <pivotFields count="16">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0"/>
        <item x="2"/>
        <item x="1"/>
        <item x="3"/>
        <item h="1" x="4"/>
        <item t="default"/>
      </items>
      <autoSortScope>
        <pivotArea dataOnly="0" outline="0" fieldPosition="0">
          <references count="1">
            <reference field="4294967294" count="1" selected="0">
              <x v="0"/>
            </reference>
          </references>
        </pivotArea>
      </autoSortScope>
    </pivotField>
    <pivotField dataField="1" numFmtId="165" showAll="0"/>
  </pivotFields>
  <rowFields count="1">
    <field x="14"/>
  </rowFields>
  <rowItems count="4">
    <i>
      <x v="3"/>
    </i>
    <i>
      <x v="1"/>
    </i>
    <i>
      <x v="2"/>
    </i>
    <i>
      <x/>
    </i>
  </rowItems>
  <colItems count="1">
    <i/>
  </colItems>
  <dataFields count="1">
    <dataField name="Average of Engagement rate" fld="15" subtotal="average" baseField="14" baseItem="0" numFmtId="165"/>
  </dataFields>
  <formats count="6">
    <format dxfId="125">
      <pivotArea type="all" dataOnly="0" outline="0" fieldPosition="0"/>
    </format>
    <format dxfId="124">
      <pivotArea outline="0" collapsedLevelsAreSubtotals="1" fieldPosition="0"/>
    </format>
    <format dxfId="123">
      <pivotArea field="14" type="button" dataOnly="0" labelOnly="1" outline="0" axis="axisRow" fieldPosition="0"/>
    </format>
    <format dxfId="122">
      <pivotArea dataOnly="0" labelOnly="1" fieldPosition="0">
        <references count="1">
          <reference field="14" count="0"/>
        </references>
      </pivotArea>
    </format>
    <format dxfId="121">
      <pivotArea dataOnly="0" labelOnly="1" outline="0" axis="axisValues" fieldPosition="0"/>
    </format>
    <format dxfId="120">
      <pivotArea dataOnly="0" fieldPosition="0">
        <references count="1">
          <reference field="14" count="1">
            <x v="3"/>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1D8B3A-DDC0-4492-8A55-B3AF23118893}"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9:C14" firstHeaderRow="1" firstDataRow="1" firstDataCol="1"/>
  <pivotFields count="15">
    <pivotField showAll="0"/>
    <pivotField showAll="0"/>
    <pivotField showAll="0"/>
    <pivotField showAll="0">
      <items count="8">
        <item x="3"/>
        <item x="4"/>
        <item h="1" x="0"/>
        <item h="1" x="2"/>
        <item x="1"/>
        <item x="5"/>
        <item x="6"/>
        <item t="default"/>
      </items>
    </pivotField>
    <pivotField showAll="0"/>
    <pivotField showAll="0"/>
    <pivotField showAll="0"/>
    <pivotField showAll="0"/>
    <pivotField showAll="0"/>
    <pivotField showAll="0"/>
    <pivotField showAll="0"/>
    <pivotField showAll="0">
      <items count="7">
        <item x="0"/>
        <item x="2"/>
        <item x="1"/>
        <item x="3"/>
        <item x="4"/>
        <item x="5"/>
        <item t="default"/>
      </items>
    </pivotField>
    <pivotField dataField="1" showAll="0"/>
    <pivotField showAll="0"/>
    <pivotField axis="axisRow" showAll="0" sortType="descending">
      <items count="9">
        <item x="1"/>
        <item x="4"/>
        <item h="1" x="5"/>
        <item x="0"/>
        <item x="6"/>
        <item x="3"/>
        <item h="1" x="2"/>
        <item h="1" x="7"/>
        <item t="default"/>
      </items>
      <autoSortScope>
        <pivotArea dataOnly="0" outline="0" fieldPosition="0">
          <references count="1">
            <reference field="4294967294" count="1" selected="0">
              <x v="0"/>
            </reference>
          </references>
        </pivotArea>
      </autoSortScope>
    </pivotField>
  </pivotFields>
  <rowFields count="1">
    <field x="14"/>
  </rowFields>
  <rowItems count="5">
    <i>
      <x v="5"/>
    </i>
    <i>
      <x v="3"/>
    </i>
    <i>
      <x v="1"/>
    </i>
    <i>
      <x v="4"/>
    </i>
    <i>
      <x/>
    </i>
  </rowItems>
  <colItems count="1">
    <i/>
  </colItems>
  <dataFields count="1">
    <dataField name="Average of Engagement rate" fld="12" subtotal="average" baseField="11" baseItem="0" numFmtId="168"/>
  </dataFields>
  <formats count="8">
    <format dxfId="111">
      <pivotArea type="all" dataOnly="0" outline="0" fieldPosition="0"/>
    </format>
    <format dxfId="110">
      <pivotArea outline="0" collapsedLevelsAreSubtotals="1" fieldPosition="0"/>
    </format>
    <format dxfId="109">
      <pivotArea field="14" type="button" dataOnly="0" labelOnly="1" outline="0" axis="axisRow" fieldPosition="0"/>
    </format>
    <format dxfId="108">
      <pivotArea dataOnly="0" labelOnly="1" fieldPosition="0">
        <references count="1">
          <reference field="14" count="0"/>
        </references>
      </pivotArea>
    </format>
    <format dxfId="107">
      <pivotArea dataOnly="0" labelOnly="1" grandRow="1" outline="0" fieldPosition="0"/>
    </format>
    <format dxfId="106">
      <pivotArea dataOnly="0" labelOnly="1" outline="0" axis="axisValues" fieldPosition="0"/>
    </format>
    <format dxfId="105">
      <pivotArea outline="0" collapsedLevelsAreSubtotals="1" fieldPosition="0"/>
    </format>
    <format dxfId="104">
      <pivotArea dataOnly="0" fieldPosition="0">
        <references count="1">
          <reference field="14" count="1">
            <x v="2"/>
          </reference>
        </references>
      </pivotArea>
    </format>
  </format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2"/>
          </reference>
        </references>
      </pivotArea>
    </chartFormat>
    <chartFormat chart="1" format="2">
      <pivotArea type="data" outline="0" fieldPosition="0">
        <references count="2">
          <reference field="4294967294" count="1" selected="0">
            <x v="0"/>
          </reference>
          <reference field="14" count="1" selected="0">
            <x v="5"/>
          </reference>
        </references>
      </pivotArea>
    </chartFormat>
    <chartFormat chart="1" format="3">
      <pivotArea type="data" outline="0" fieldPosition="0">
        <references count="2">
          <reference field="4294967294" count="1" selected="0">
            <x v="0"/>
          </reference>
          <reference field="14" count="1" selected="0">
            <x v="3"/>
          </reference>
        </references>
      </pivotArea>
    </chartFormat>
    <chartFormat chart="1" format="4">
      <pivotArea type="data" outline="0" fieldPosition="0">
        <references count="2">
          <reference field="4294967294" count="1" selected="0">
            <x v="0"/>
          </reference>
          <reference field="14" count="1" selected="0">
            <x v="1"/>
          </reference>
        </references>
      </pivotArea>
    </chartFormat>
    <chartFormat chart="1" format="5">
      <pivotArea type="data" outline="0" fieldPosition="0">
        <references count="2">
          <reference field="4294967294" count="1" selected="0">
            <x v="0"/>
          </reference>
          <reference field="14" count="1" selected="0">
            <x v="0"/>
          </reference>
        </references>
      </pivotArea>
    </chartFormat>
    <chartFormat chart="1" format="6">
      <pivotArea type="data" outline="0" fieldPosition="0">
        <references count="2">
          <reference field="4294967294" count="1" selected="0">
            <x v="0"/>
          </reference>
          <reference field="14" count="1" selected="0">
            <x v="4"/>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14" count="1" selected="0">
            <x v="2"/>
          </reference>
        </references>
      </pivotArea>
    </chartFormat>
    <chartFormat chart="6" format="23">
      <pivotArea type="data" outline="0" fieldPosition="0">
        <references count="2">
          <reference field="4294967294" count="1" selected="0">
            <x v="0"/>
          </reference>
          <reference field="14" count="1" selected="0">
            <x v="5"/>
          </reference>
        </references>
      </pivotArea>
    </chartFormat>
    <chartFormat chart="6" format="24">
      <pivotArea type="data" outline="0" fieldPosition="0">
        <references count="2">
          <reference field="4294967294" count="1" selected="0">
            <x v="0"/>
          </reference>
          <reference field="14" count="1" selected="0">
            <x v="3"/>
          </reference>
        </references>
      </pivotArea>
    </chartFormat>
    <chartFormat chart="6" format="25">
      <pivotArea type="data" outline="0" fieldPosition="0">
        <references count="2">
          <reference field="4294967294" count="1" selected="0">
            <x v="0"/>
          </reference>
          <reference field="14" count="1" selected="0">
            <x v="1"/>
          </reference>
        </references>
      </pivotArea>
    </chartFormat>
    <chartFormat chart="6" format="26">
      <pivotArea type="data" outline="0" fieldPosition="0">
        <references count="2">
          <reference field="4294967294" count="1" selected="0">
            <x v="0"/>
          </reference>
          <reference field="14" count="1" selected="0">
            <x v="0"/>
          </reference>
        </references>
      </pivotArea>
    </chartFormat>
    <chartFormat chart="6" format="2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80A6FC-208F-409C-958C-F8CF666BB692}"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C12:D16" firstHeaderRow="1" firstDataRow="1" firstDataCol="1"/>
  <pivotFields count="15">
    <pivotField showAll="0"/>
    <pivotField showAll="0"/>
    <pivotField showAll="0"/>
    <pivotField axis="axisRow" showAll="0" sortType="descending">
      <items count="8">
        <item x="3"/>
        <item x="4"/>
        <item h="1" x="0"/>
        <item h="1" x="2"/>
        <item x="1"/>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items count="9">
        <item x="1"/>
        <item x="4"/>
        <item h="1" x="5"/>
        <item x="0"/>
        <item x="6"/>
        <item x="3"/>
        <item h="1" x="2"/>
        <item h="1" x="7"/>
        <item t="default"/>
      </items>
    </pivotField>
  </pivotFields>
  <rowFields count="1">
    <field x="3"/>
  </rowFields>
  <rowItems count="4">
    <i>
      <x/>
    </i>
    <i>
      <x v="5"/>
    </i>
    <i>
      <x v="1"/>
    </i>
    <i>
      <x v="4"/>
    </i>
  </rowItems>
  <colItems count="1">
    <i/>
  </colItems>
  <dataFields count="1">
    <dataField name="Average of Engagement rate" fld="12" subtotal="average" baseField="3" baseItem="0" numFmtId="168"/>
  </dataFields>
  <formats count="14">
    <format dxfId="103">
      <pivotArea type="all" dataOnly="0" outline="0" fieldPosition="0"/>
    </format>
    <format dxfId="102">
      <pivotArea outline="0" collapsedLevelsAreSubtotals="1" fieldPosition="0"/>
    </format>
    <format dxfId="101">
      <pivotArea field="3" type="button" dataOnly="0" labelOnly="1" outline="0" axis="axisRow" fieldPosition="0"/>
    </format>
    <format dxfId="100">
      <pivotArea dataOnly="0" labelOnly="1" fieldPosition="0">
        <references count="1">
          <reference field="3" count="0"/>
        </references>
      </pivotArea>
    </format>
    <format dxfId="99">
      <pivotArea dataOnly="0" labelOnly="1" outline="0" axis="axisValues" fieldPosition="0"/>
    </format>
    <format dxfId="98">
      <pivotArea outline="0" collapsedLevelsAreSubtotals="1" fieldPosition="0"/>
    </format>
    <format dxfId="97">
      <pivotArea dataOnly="0" fieldPosition="0">
        <references count="1">
          <reference field="3" count="2">
            <x v="0"/>
            <x v="5"/>
          </reference>
        </references>
      </pivotArea>
    </format>
    <format dxfId="96">
      <pivotArea dataOnly="0" labelOnly="1" fieldPosition="0">
        <references count="1">
          <reference field="3" count="2">
            <x v="0"/>
            <x v="5"/>
          </reference>
        </references>
      </pivotArea>
    </format>
    <format dxfId="95">
      <pivotArea collapsedLevelsAreSubtotals="1" fieldPosition="0">
        <references count="1">
          <reference field="3" count="2">
            <x v="0"/>
            <x v="5"/>
          </reference>
        </references>
      </pivotArea>
    </format>
    <format dxfId="94">
      <pivotArea type="all" dataOnly="0" outline="0" fieldPosition="0"/>
    </format>
    <format dxfId="93">
      <pivotArea outline="0" collapsedLevelsAreSubtotals="1" fieldPosition="0"/>
    </format>
    <format dxfId="92">
      <pivotArea field="3" type="button" dataOnly="0" labelOnly="1" outline="0" axis="axisRow" fieldPosition="0"/>
    </format>
    <format dxfId="91">
      <pivotArea dataOnly="0" labelOnly="1" fieldPosition="0">
        <references count="1">
          <reference field="3" count="0"/>
        </references>
      </pivotArea>
    </format>
    <format dxfId="90">
      <pivotArea dataOnly="0" labelOnly="1" outline="0" axis="axisValues"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5"/>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5"/>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4"/>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61C1F1-80D6-48A9-81BF-4E8DB7B629B4}"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E15" firstHeaderRow="1" firstDataRow="2" firstDataCol="1"/>
  <pivotFields count="15">
    <pivotField showAll="0"/>
    <pivotField axis="axisRow" showAll="0">
      <items count="6">
        <item x="3"/>
        <item x="2"/>
        <item x="0"/>
        <item x="1"/>
        <item h="1" x="4"/>
        <item t="default"/>
      </items>
    </pivotField>
    <pivotField showAll="0"/>
    <pivotField axis="axisCol" showAll="0">
      <items count="8">
        <item x="3"/>
        <item x="4"/>
        <item h="1" x="0"/>
        <item h="1" x="2"/>
        <item x="1"/>
        <item x="5"/>
        <item x="6"/>
        <item t="default"/>
      </items>
    </pivotField>
    <pivotField showAll="0"/>
    <pivotField showAll="0"/>
    <pivotField showAll="0"/>
    <pivotField showAll="0"/>
    <pivotField showAll="0"/>
    <pivotField showAll="0"/>
    <pivotField showAll="0"/>
    <pivotField showAll="0"/>
    <pivotField dataField="1" showAll="0"/>
    <pivotField showAll="0"/>
    <pivotField showAll="0">
      <items count="9">
        <item x="1"/>
        <item x="4"/>
        <item h="1" x="5"/>
        <item x="0"/>
        <item x="6"/>
        <item x="3"/>
        <item h="1" x="2"/>
        <item h="1" x="7"/>
        <item t="default"/>
      </items>
    </pivotField>
  </pivotFields>
  <rowFields count="1">
    <field x="1"/>
  </rowFields>
  <rowItems count="4">
    <i>
      <x/>
    </i>
    <i>
      <x v="1"/>
    </i>
    <i>
      <x v="2"/>
    </i>
    <i>
      <x v="3"/>
    </i>
  </rowItems>
  <colFields count="1">
    <field x="3"/>
  </colFields>
  <colItems count="4">
    <i>
      <x/>
    </i>
    <i>
      <x v="1"/>
    </i>
    <i>
      <x v="4"/>
    </i>
    <i>
      <x v="5"/>
    </i>
  </colItems>
  <dataFields count="1">
    <dataField name="Average of Engagement rate" fld="12" subtotal="average" baseField="1" baseItem="0" numFmtId="168"/>
  </dataFields>
  <formats count="13">
    <format dxfId="89">
      <pivotArea outline="0" collapsedLevelsAreSubtotals="1" fieldPosition="0"/>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3" type="button" dataOnly="0" labelOnly="1" outline="0" axis="axisCol" fieldPosition="0"/>
    </format>
    <format dxfId="84">
      <pivotArea type="topRight" dataOnly="0" labelOnly="1" outline="0" fieldPosition="0"/>
    </format>
    <format dxfId="83">
      <pivotArea field="1" type="button" dataOnly="0" labelOnly="1" outline="0" axis="axisRow" fieldPosition="0"/>
    </format>
    <format dxfId="82">
      <pivotArea dataOnly="0" labelOnly="1" fieldPosition="0">
        <references count="1">
          <reference field="1" count="0"/>
        </references>
      </pivotArea>
    </format>
    <format dxfId="81">
      <pivotArea dataOnly="0" labelOnly="1" fieldPosition="0">
        <references count="1">
          <reference field="3" count="0"/>
        </references>
      </pivotArea>
    </format>
    <format dxfId="80">
      <pivotArea collapsedLevelsAreSubtotals="1" fieldPosition="0">
        <references count="2">
          <reference field="1" count="1">
            <x v="0"/>
          </reference>
          <reference field="3" count="1" selected="0">
            <x v="3"/>
          </reference>
        </references>
      </pivotArea>
    </format>
    <format dxfId="79">
      <pivotArea collapsedLevelsAreSubtotals="1" fieldPosition="0">
        <references count="2">
          <reference field="1" count="1">
            <x v="1"/>
          </reference>
          <reference field="3" count="1" selected="0">
            <x v="2"/>
          </reference>
        </references>
      </pivotArea>
    </format>
    <format dxfId="78">
      <pivotArea collapsedLevelsAreSubtotals="1" fieldPosition="0">
        <references count="2">
          <reference field="1" count="1">
            <x v="2"/>
          </reference>
          <reference field="3" count="1" selected="0">
            <x v="3"/>
          </reference>
        </references>
      </pivotArea>
    </format>
    <format dxfId="77">
      <pivotArea collapsedLevelsAreSubtotals="1" fieldPosition="0">
        <references count="2">
          <reference field="1" count="1">
            <x v="3"/>
          </reference>
          <reference field="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F8AAF7-EBBB-42C0-879E-C5AD0016C77F}" name="PivotTable9"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8:G12" firstHeaderRow="0" firstDataRow="1" firstDataCol="1"/>
  <pivotFields count="17">
    <pivotField showAll="0"/>
    <pivotField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pivotField axis="axisRow" showAll="0">
      <items count="7">
        <item x="0"/>
        <item x="2"/>
        <item x="1"/>
        <item x="3"/>
        <item h="1" x="4"/>
        <item h="1" x="5"/>
        <item t="default"/>
      </items>
    </pivotField>
    <pivotField showAll="0"/>
    <pivotField showAll="0"/>
  </pivotFields>
  <rowFields count="1">
    <field x="14"/>
  </rowFields>
  <rowItems count="4">
    <i>
      <x/>
    </i>
    <i>
      <x v="1"/>
    </i>
    <i>
      <x v="2"/>
    </i>
    <i>
      <x v="3"/>
    </i>
  </rowItems>
  <colFields count="1">
    <field x="-2"/>
  </colFields>
  <colItems count="6">
    <i>
      <x/>
    </i>
    <i i="1">
      <x v="1"/>
    </i>
    <i i="2">
      <x v="2"/>
    </i>
    <i i="3">
      <x v="3"/>
    </i>
    <i i="4">
      <x v="4"/>
    </i>
    <i i="5">
      <x v="5"/>
    </i>
  </colItems>
  <dataFields count="6">
    <dataField name="Sum of Impressions" fld="8" baseField="0" baseItem="0"/>
    <dataField name="Average of Impressions" fld="8" subtotal="average" baseField="14" baseItem="0" numFmtId="166"/>
    <dataField name="Sum of Likes" fld="5" baseField="0" baseItem="0"/>
    <dataField name="Average of Likes" fld="5" subtotal="average" baseField="14" baseItem="0" numFmtId="2"/>
    <dataField name="Sum of Clicks" fld="10" baseField="0" baseItem="0"/>
    <dataField name="Average of Clicks2" fld="10" subtotal="average" baseField="14" baseItem="0" numFmtId="2"/>
  </dataFields>
  <formats count="8">
    <format dxfId="55">
      <pivotArea type="all" dataOnly="0" outline="0" fieldPosition="0"/>
    </format>
    <format dxfId="54">
      <pivotArea outline="0" collapsedLevelsAreSubtotals="1" fieldPosition="0"/>
    </format>
    <format dxfId="53">
      <pivotArea field="14" type="button" dataOnly="0" labelOnly="1" outline="0" axis="axisRow" fieldPosition="0"/>
    </format>
    <format dxfId="52">
      <pivotArea dataOnly="0" labelOnly="1" fieldPosition="0">
        <references count="1">
          <reference field="14" count="0"/>
        </references>
      </pivotArea>
    </format>
    <format dxfId="51">
      <pivotArea dataOnly="0" labelOnly="1" outline="0" fieldPosition="0">
        <references count="1">
          <reference field="4294967294" count="6">
            <x v="0"/>
            <x v="1"/>
            <x v="2"/>
            <x v="3"/>
            <x v="4"/>
            <x v="5"/>
          </reference>
        </references>
      </pivotArea>
    </format>
    <format dxfId="50">
      <pivotArea outline="0" collapsedLevelsAreSubtotals="1" fieldPosition="0">
        <references count="1">
          <reference field="4294967294" count="1" selected="0">
            <x v="1"/>
          </reference>
        </references>
      </pivotArea>
    </format>
    <format dxfId="49">
      <pivotArea outline="0" collapsedLevelsAreSubtotals="1" fieldPosition="0">
        <references count="1">
          <reference field="4294967294" count="1" selected="0">
            <x v="3"/>
          </reference>
        </references>
      </pivotArea>
    </format>
    <format dxfId="48">
      <pivotArea outline="0" collapsedLevelsAreSubtotals="1" fieldPosition="0">
        <references count="1">
          <reference field="4294967294" count="1" selected="0">
            <x v="5"/>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8B1021-47A8-40B6-B59F-AA449AE70AF6}" name="PivotTable10"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C14:E19"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2"/>
        <item x="1"/>
        <item x="3"/>
        <item h="1" x="4"/>
        <item h="1" x="5"/>
        <item t="default"/>
      </items>
    </pivotField>
    <pivotField dataField="1" showAll="0"/>
    <pivotField axis="axisCol" showAll="0">
      <items count="6">
        <item h="1" x="0"/>
        <item x="2"/>
        <item x="1"/>
        <item h="1" x="3"/>
        <item h="1" x="4"/>
        <item t="default"/>
      </items>
    </pivotField>
  </pivotFields>
  <rowFields count="1">
    <field x="14"/>
  </rowFields>
  <rowItems count="4">
    <i>
      <x/>
    </i>
    <i>
      <x v="1"/>
    </i>
    <i>
      <x v="2"/>
    </i>
    <i>
      <x v="3"/>
    </i>
  </rowItems>
  <colFields count="1">
    <field x="16"/>
  </colFields>
  <colItems count="2">
    <i>
      <x v="1"/>
    </i>
    <i>
      <x v="2"/>
    </i>
  </colItems>
  <dataFields count="1">
    <dataField name="Average of Engagement rate" fld="15" subtotal="average" baseField="14" baseItem="0"/>
  </dataFields>
  <formats count="10">
    <format dxfId="47">
      <pivotArea type="all" dataOnly="0" outline="0" fieldPosition="0"/>
    </format>
    <format dxfId="46">
      <pivotArea outline="0" collapsedLevelsAreSubtotals="1" fieldPosition="0"/>
    </format>
    <format dxfId="45">
      <pivotArea type="origin" dataOnly="0" labelOnly="1" outline="0" fieldPosition="0"/>
    </format>
    <format dxfId="44">
      <pivotArea field="16" type="button" dataOnly="0" labelOnly="1" outline="0" axis="axisCol" fieldPosition="0"/>
    </format>
    <format dxfId="43">
      <pivotArea type="topRight" dataOnly="0" labelOnly="1" outline="0" fieldPosition="0"/>
    </format>
    <format dxfId="42">
      <pivotArea field="14" type="button" dataOnly="0" labelOnly="1" outline="0" axis="axisRow" fieldPosition="0"/>
    </format>
    <format dxfId="41">
      <pivotArea dataOnly="0" labelOnly="1" fieldPosition="0">
        <references count="1">
          <reference field="14" count="0"/>
        </references>
      </pivotArea>
    </format>
    <format dxfId="40">
      <pivotArea dataOnly="0" labelOnly="1" fieldPosition="0">
        <references count="1">
          <reference field="16" count="0"/>
        </references>
      </pivotArea>
    </format>
    <format dxfId="39">
      <pivotArea outline="0" collapsedLevelsAreSubtotals="1" fieldPosition="0">
        <references count="1">
          <reference field="16" count="1" selected="0">
            <x v="1"/>
          </reference>
        </references>
      </pivotArea>
    </format>
    <format dxfId="38">
      <pivotArea outline="0" collapsedLevelsAreSubtotals="1" fieldPosition="0">
        <references count="1">
          <reference field="16" count="1" selected="0">
            <x v="2"/>
          </reference>
        </references>
      </pivotArea>
    </format>
  </formats>
  <chartFormats count="2">
    <chartFormat chart="9" format="0" series="1">
      <pivotArea type="data" outline="0" fieldPosition="0">
        <references count="2">
          <reference field="4294967294" count="1" selected="0">
            <x v="0"/>
          </reference>
          <reference field="16" count="1" selected="0">
            <x v="1"/>
          </reference>
        </references>
      </pivotArea>
    </chartFormat>
    <chartFormat chart="9" format="1"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7739A3-3039-4EA9-A6B8-B90D24828923}" name="PivotTable1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B13:E18" firstHeaderRow="0" firstDataRow="1" firstDataCol="1"/>
  <pivotFields count="11">
    <pivotField showAll="0"/>
    <pivotField showAll="0"/>
    <pivotField showAll="0"/>
    <pivotField showAll="0"/>
    <pivotField showAll="0"/>
    <pivotField dataField="1" showAll="0"/>
    <pivotField dataField="1" showAll="0"/>
    <pivotField showAll="0"/>
    <pivotField showAll="0"/>
    <pivotField axis="axisRow" showAll="0" sortType="descending">
      <items count="7">
        <item x="4"/>
        <item x="1"/>
        <item h="1" x="3"/>
        <item x="0"/>
        <item x="2"/>
        <item x="5"/>
        <item t="default"/>
      </items>
      <autoSortScope>
        <pivotArea dataOnly="0" outline="0" fieldPosition="0">
          <references count="1">
            <reference field="4294967294" count="1" selected="0">
              <x v="2"/>
            </reference>
          </references>
        </pivotArea>
      </autoSortScope>
    </pivotField>
    <pivotField dataField="1" dragToRow="0" dragToCol="0" dragToPage="0" showAll="0" defaultSubtotal="0"/>
  </pivotFields>
  <rowFields count="1">
    <field x="9"/>
  </rowFields>
  <rowItems count="5">
    <i>
      <x v="3"/>
    </i>
    <i>
      <x v="1"/>
    </i>
    <i>
      <x/>
    </i>
    <i>
      <x v="4"/>
    </i>
    <i>
      <x v="5"/>
    </i>
  </rowItems>
  <colFields count="1">
    <field x="-2"/>
  </colFields>
  <colItems count="3">
    <i>
      <x/>
    </i>
    <i i="1">
      <x v="1"/>
    </i>
    <i i="2">
      <x v="2"/>
    </i>
  </colItems>
  <dataFields count="3">
    <dataField name="Average of Ad_Spend" fld="6" subtotal="average" baseField="9" baseItem="0" numFmtId="2"/>
    <dataField name="Average of Engagement_Rate" fld="5" subtotal="average" baseField="9" baseItem="0" numFmtId="167"/>
    <dataField name="Percentage of ROI" fld="10" baseField="9" baseItem="0" numFmtId="169"/>
  </dataFields>
  <formats count="11">
    <format dxfId="37">
      <pivotArea type="all" dataOnly="0" outline="0" fieldPosition="0"/>
    </format>
    <format dxfId="36">
      <pivotArea outline="0" collapsedLevelsAreSubtotals="1" fieldPosition="0"/>
    </format>
    <format dxfId="35">
      <pivotArea field="9" type="button" dataOnly="0" labelOnly="1" outline="0" axis="axisRow" fieldPosition="0"/>
    </format>
    <format dxfId="34">
      <pivotArea dataOnly="0" labelOnly="1" fieldPosition="0">
        <references count="1">
          <reference field="9" count="0"/>
        </references>
      </pivotArea>
    </format>
    <format dxfId="33">
      <pivotArea dataOnly="0" labelOnly="1" outline="0" fieldPosition="0">
        <references count="1">
          <reference field="4294967294" count="2">
            <x v="0"/>
            <x v="1"/>
          </reference>
        </references>
      </pivotArea>
    </format>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1"/>
          </reference>
        </references>
      </pivotArea>
    </format>
    <format dxfId="30">
      <pivotArea outline="0" collapsedLevelsAreSubtotals="1" fieldPosition="0">
        <references count="1">
          <reference field="4294967294" count="1" selected="0">
            <x v="2"/>
          </reference>
        </references>
      </pivotArea>
    </format>
    <format dxfId="29">
      <pivotArea dataOnly="0" fieldPosition="0">
        <references count="1">
          <reference field="9" count="1">
            <x v="3"/>
          </reference>
        </references>
      </pivotArea>
    </format>
    <format dxfId="28">
      <pivotArea dataOnly="0" fieldPosition="0">
        <references count="1">
          <reference field="9" count="1">
            <x v="2"/>
          </reference>
        </references>
      </pivotArea>
    </format>
    <format dxfId="27">
      <pivotArea dataOnly="0" fieldPosition="0">
        <references count="1">
          <reference field="9" count="1">
            <x v="3"/>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25EF9F1-AC82-4A17-9A7F-C85DB752D155}"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2:E18" firstHeaderRow="0" firstDataRow="1" firstDataCol="1"/>
  <pivotFields count="11">
    <pivotField showAll="0"/>
    <pivotField showAll="0"/>
    <pivotField dataField="1" showAll="0"/>
    <pivotField showAll="0"/>
    <pivotField showAll="0"/>
    <pivotField showAll="0"/>
    <pivotField showAll="0"/>
    <pivotField showAll="0"/>
    <pivotField showAll="0"/>
    <pivotField axis="axisRow" showAll="0" sortType="descending">
      <items count="7">
        <item x="4"/>
        <item x="1"/>
        <item h="1" x="3"/>
        <item x="0"/>
        <item x="2"/>
        <item x="5"/>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9"/>
  </rowFields>
  <rowItems count="6">
    <i>
      <x v="3"/>
    </i>
    <i>
      <x v="4"/>
    </i>
    <i>
      <x v="1"/>
    </i>
    <i>
      <x/>
    </i>
    <i>
      <x v="5"/>
    </i>
    <i t="grand">
      <x/>
    </i>
  </rowItems>
  <colFields count="1">
    <field x="-2"/>
  </colFields>
  <colItems count="2">
    <i>
      <x/>
    </i>
    <i i="1">
      <x v="1"/>
    </i>
  </colItems>
  <dataFields count="2">
    <dataField name="Total_Follower_Gain" fld="2" baseField="9" baseItem="0"/>
    <dataField name="Average_Follower_Gain" fld="2" subtotal="average" baseField="9" baseItem="0"/>
  </dataFields>
  <formats count="7">
    <format dxfId="26">
      <pivotArea dataOnly="0" fieldPosition="0">
        <references count="1">
          <reference field="9" count="1">
            <x v="3"/>
          </reference>
        </references>
      </pivotArea>
    </format>
    <format dxfId="25">
      <pivotArea type="all" dataOnly="0" outline="0" fieldPosition="0"/>
    </format>
    <format dxfId="24">
      <pivotArea outline="0" collapsedLevelsAreSubtotals="1" fieldPosition="0"/>
    </format>
    <format dxfId="23">
      <pivotArea field="9" type="button" dataOnly="0" labelOnly="1" outline="0" axis="axisRow" fieldPosition="0"/>
    </format>
    <format dxfId="22">
      <pivotArea dataOnly="0" labelOnly="1" fieldPosition="0">
        <references count="1">
          <reference field="9"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33FA200-D2BB-48A3-9F33-2A71204971A8}" name="PivotTable13"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7:D58" firstHeaderRow="1" firstDataRow="2" firstDataCol="1"/>
  <pivotFields count="11">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h="1" x="50"/>
        <item t="default"/>
      </items>
    </pivotField>
    <pivotField axis="axisCol" showAll="0">
      <items count="6">
        <item x="1"/>
        <item x="0"/>
        <item x="2"/>
        <item h="1" x="3"/>
        <item x="4"/>
        <item t="default"/>
      </items>
    </pivotField>
    <pivotField dataField="1" showAll="0"/>
    <pivotField showAll="0"/>
    <pivotField showAll="0"/>
    <pivotField showAll="0"/>
    <pivotField showAll="0"/>
    <pivotField showAll="0"/>
    <pivotField showAll="0"/>
    <pivotField showAll="0">
      <items count="7">
        <item x="4"/>
        <item x="1"/>
        <item h="1" x="3"/>
        <item x="0"/>
        <item x="2"/>
        <item x="5"/>
        <item t="default"/>
      </items>
    </pivotField>
    <pivotField dragToRow="0" dragToCol="0" dragToPage="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1"/>
  </colFields>
  <colItems count="3">
    <i>
      <x/>
    </i>
    <i>
      <x v="1"/>
    </i>
    <i>
      <x v="2"/>
    </i>
  </colItems>
  <dataFields count="1">
    <dataField name="Sum of New_Followers" fld="2" baseField="0" baseItem="0"/>
  </dataFields>
  <formats count="2">
    <format dxfId="19">
      <pivotArea dataOnly="0" labelOnly="1" fieldPosition="0">
        <references count="1">
          <reference field="0" count="0"/>
        </references>
      </pivotArea>
    </format>
    <format dxfId="18">
      <pivotArea type="all" dataOnly="0" outline="0" fieldPosition="0"/>
    </format>
  </formats>
  <chartFormats count="5">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D34F24-0DC2-47C8-B9D7-18C94C4A253B}" name="PivotTable1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8:C58" firstHeaderRow="1" firstDataRow="1" firstDataCol="1"/>
  <pivotFields count="11">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h="1" x="50"/>
        <item t="default"/>
      </items>
    </pivotField>
    <pivotField showAll="0"/>
    <pivotField dataField="1" showAll="0"/>
    <pivotField showAll="0"/>
    <pivotField showAll="0"/>
    <pivotField showAll="0"/>
    <pivotField showAll="0"/>
    <pivotField showAll="0"/>
    <pivotField showAll="0"/>
    <pivotField showAll="0">
      <items count="7">
        <item x="4"/>
        <item x="1"/>
        <item h="1" x="3"/>
        <item x="0"/>
        <item x="2"/>
        <item x="5"/>
        <item t="default"/>
      </items>
    </pivotField>
    <pivotField dragToRow="0" dragToCol="0" dragToPage="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New_Followers" fld="2" baseField="0" baseItem="0"/>
  </dataFields>
  <formats count="5">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B1E01AB-C44E-41E3-B72C-6584F03D1A18}" name="PivotTable1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8:B46" firstHeaderRow="1" firstDataRow="2" firstDataCol="1"/>
  <pivotFields count="11">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h="1" x="50"/>
        <item t="default"/>
      </items>
    </pivotField>
    <pivotField axis="axisCol" showAll="0">
      <items count="6">
        <item x="1"/>
        <item h="1" x="0"/>
        <item h="1" x="2"/>
        <item h="1" x="3"/>
        <item h="1" x="4"/>
        <item t="default"/>
      </items>
    </pivotField>
    <pivotField dataField="1" showAll="0"/>
    <pivotField showAll="0"/>
    <pivotField showAll="0"/>
    <pivotField showAll="0"/>
    <pivotField showAll="0"/>
    <pivotField showAll="0"/>
    <pivotField showAll="0"/>
    <pivotField showAll="0">
      <items count="7">
        <item x="4"/>
        <item x="1"/>
        <item h="1" x="3"/>
        <item x="0"/>
        <item x="2"/>
        <item x="5"/>
        <item t="default"/>
      </items>
    </pivotField>
    <pivotField dragToRow="0" dragToCol="0" dragToPage="0" showAll="0" defaultSubtotal="0"/>
  </pivotFields>
  <rowFields count="1">
    <field x="0"/>
  </rowFields>
  <rowItems count="37">
    <i>
      <x/>
    </i>
    <i>
      <x v="3"/>
    </i>
    <i>
      <x v="4"/>
    </i>
    <i>
      <x v="5"/>
    </i>
    <i>
      <x v="6"/>
    </i>
    <i>
      <x v="7"/>
    </i>
    <i>
      <x v="8"/>
    </i>
    <i>
      <x v="9"/>
    </i>
    <i>
      <x v="10"/>
    </i>
    <i>
      <x v="11"/>
    </i>
    <i>
      <x v="14"/>
    </i>
    <i>
      <x v="15"/>
    </i>
    <i>
      <x v="16"/>
    </i>
    <i>
      <x v="17"/>
    </i>
    <i>
      <x v="18"/>
    </i>
    <i>
      <x v="19"/>
    </i>
    <i>
      <x v="20"/>
    </i>
    <i>
      <x v="24"/>
    </i>
    <i>
      <x v="25"/>
    </i>
    <i>
      <x v="26"/>
    </i>
    <i>
      <x v="27"/>
    </i>
    <i>
      <x v="28"/>
    </i>
    <i>
      <x v="29"/>
    </i>
    <i>
      <x v="33"/>
    </i>
    <i>
      <x v="34"/>
    </i>
    <i>
      <x v="35"/>
    </i>
    <i>
      <x v="36"/>
    </i>
    <i>
      <x v="37"/>
    </i>
    <i>
      <x v="38"/>
    </i>
    <i>
      <x v="39"/>
    </i>
    <i>
      <x v="42"/>
    </i>
    <i>
      <x v="43"/>
    </i>
    <i>
      <x v="44"/>
    </i>
    <i>
      <x v="46"/>
    </i>
    <i>
      <x v="47"/>
    </i>
    <i>
      <x v="48"/>
    </i>
    <i>
      <x v="49"/>
    </i>
  </rowItems>
  <colFields count="1">
    <field x="1"/>
  </colFields>
  <colItems count="1">
    <i>
      <x/>
    </i>
  </colItems>
  <dataFields count="1">
    <dataField name="Sum of New_Followers" fld="2" baseField="0" baseItem="0"/>
  </dataFields>
  <formats count="1">
    <format dxfId="12">
      <pivotArea type="all" dataOnly="0" outline="0" fieldPosition="0"/>
    </format>
  </formats>
  <chartFormats count="5">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5FB868-8D13-4478-984B-1DDDAC231F35}" autoFormatId="16" applyNumberFormats="0" applyBorderFormats="0" applyFontFormats="0" applyPatternFormats="0" applyAlignmentFormats="0" applyWidthHeightFormats="0">
  <queryTableRefresh nextId="16">
    <queryTableFields count="15">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Hashtags-1" tableColumnId="13"/>
      <queryTableField id="14" name="Hashtags_2" tableColumnId="14"/>
      <queryTableField id="15" name="Campaign_Name"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6ACAC9E-BD0E-410F-B56A-151F93885636}" autoFormatId="16" applyNumberFormats="0" applyBorderFormats="0" applyFontFormats="0" applyPatternFormats="0" applyAlignmentFormats="0" applyWidthHeightFormats="0">
  <queryTableRefresh nextId="17" unboundColumnsRight="1">
    <queryTableFields count="16">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Hashtags-1" tableColumnId="13"/>
      <queryTableField id="14" name="Hashtags_2" tableColumnId="14"/>
      <queryTableField id="15" name="Campaign_Name" tableColumnId="15"/>
      <queryTableField id="16" dataBound="0"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19BE33D3-6162-414F-B076-87A49F625EE5}" autoFormatId="16" applyNumberFormats="0" applyBorderFormats="0" applyFontFormats="0" applyPatternFormats="0" applyAlignmentFormats="0" applyWidthHeightFormats="0">
  <queryTableRefresh nextId="17" unboundColumnsRight="1">
    <queryTableFields count="16">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Hashtags-1" tableColumnId="13"/>
      <queryTableField id="14" name="Hashtags_2" tableColumnId="14"/>
      <queryTableField id="15" name="Campaign_Name" tableColumnId="15"/>
      <queryTableField id="16" dataBound="0"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6" xr16:uid="{7FE05AB2-8396-4C58-9997-1FC12CABCFC3}" autoFormatId="16" applyNumberFormats="0" applyBorderFormats="0" applyFontFormats="0" applyPatternFormats="0" applyAlignmentFormats="0" applyWidthHeightFormats="0">
  <queryTableRefresh nextId="15">
    <queryTableFields count="14">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Campaign_Name" tableColumnId="12"/>
      <queryTableField id="13" name="Attribute" tableColumnId="13"/>
      <queryTableField id="14" name="Hashtags"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01E32D63-5544-4A03-A230-930A720DF741}" autoFormatId="16" applyNumberFormats="0" applyBorderFormats="0" applyFontFormats="0" applyPatternFormats="0" applyAlignmentFormats="0" applyWidthHeightFormats="0">
  <queryTableRefresh nextId="18" unboundColumnsRight="2">
    <queryTableFields count="17">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Hashtags-1" tableColumnId="13"/>
      <queryTableField id="14" name="Hashtags_2" tableColumnId="14"/>
      <queryTableField id="15" name="Campaign_Name" tableColumnId="15"/>
      <queryTableField id="16" dataBound="0" tableColumnId="16"/>
      <queryTableField id="17" dataBound="0" tableColumnId="1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7" xr16:uid="{2CF109D6-4454-4657-A972-7365BCC8C92A}" autoFormatId="16" applyNumberFormats="0" applyBorderFormats="0" applyFontFormats="0" applyPatternFormats="0" applyAlignmentFormats="0" applyWidthHeightFormats="0">
  <queryTableRefresh nextId="16">
    <queryTableFields count="15">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Campaign_Name" tableColumnId="12"/>
      <queryTableField id="13" name="Engagement rate" tableColumnId="13"/>
      <queryTableField id="14" name="Attribute" tableColumnId="14"/>
      <queryTableField id="15" name="Hashtags" tableColumnId="1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5" xr16:uid="{14F475C0-BBEB-4250-A75E-E6967D79E840}" autoFormatId="16" applyNumberFormats="0" applyBorderFormats="0" applyFontFormats="0" applyPatternFormats="0" applyAlignmentFormats="0" applyWidthHeightFormats="0">
  <queryTableRefresh nextId="18" unboundColumnsRight="2">
    <queryTableFields count="17">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Hashtags-1" tableColumnId="13"/>
      <queryTableField id="14" name="Hashtags_2" tableColumnId="14"/>
      <queryTableField id="15" name="Campaign_Name"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16A4D70-31A8-4FB6-AC50-BB6BB167D8FA}" sourceName="Platform">
  <pivotTables>
    <pivotTable tabId="33" name="PivotTable13"/>
  </pivotTables>
  <data>
    <tabular pivotCacheId="1951160798">
      <items count="5">
        <i x="1" s="1"/>
        <i x="0" s="1"/>
        <i x="2" s="1"/>
        <i x="3"/>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7BE508D9-288F-4FB7-9BD6-B0DE84FE6AE7}" sourceName="Platform">
  <pivotTables>
    <pivotTable tabId="35" name="PivotTable15"/>
  </pivotTables>
  <data>
    <tabular pivotCacheId="1951160798">
      <items count="5">
        <i x="1" s="1"/>
        <i x="0"/>
        <i x="2"/>
        <i x="3"/>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A36BFD46-AB3E-4A8A-801B-197A3DF2CD1C}" sourceName="Campaign_Name">
  <pivotTables>
    <pivotTable tabId="31" name="PivotTable11"/>
    <pivotTable tabId="32" name="PivotTable12"/>
    <pivotTable tabId="33" name="PivotTable13"/>
    <pivotTable tabId="34" name="PivotTable14"/>
    <pivotTable tabId="35" name="PivotTable15"/>
  </pivotTables>
  <data>
    <tabular pivotCacheId="1951160798">
      <items count="6">
        <i x="4" s="1"/>
        <i x="1" s="1"/>
        <i x="3"/>
        <i x="0"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 xr10:uid="{FEBC3D2C-1BB1-420E-A6AA-B672C0739CB5}" sourceName="Platform">
  <pivotTables>
    <pivotTable tabId="3" name="PivotTable1"/>
    <pivotTable tabId="6" name="PivotTable2"/>
  </pivotTables>
  <data>
    <tabular pivotCacheId="1266177799">
      <items count="5">
        <i x="3" s="1"/>
        <i x="2" s="1"/>
        <i x="0" s="1"/>
        <i x="1" s="1"/>
        <i x="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1" xr10:uid="{77C9F964-DF4D-4B18-94F9-EAE7A6C2E782}" sourceName="Content Type">
  <pivotTables>
    <pivotTable tabId="25" name="PivotTable6"/>
    <pivotTable tabId="23" name="PivotTable5"/>
    <pivotTable tabId="26" name="PivotTable7"/>
  </pivotTables>
  <data>
    <tabular pivotCacheId="714219842">
      <items count="7">
        <i x="3" s="1"/>
        <i x="4" s="1"/>
        <i x="0"/>
        <i x="2"/>
        <i x="1" s="1"/>
        <i x="5"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htags1" xr10:uid="{8BF4E160-CD1A-4304-BBE3-AD3A91166A73}" sourceName="Hashtags">
  <pivotTables>
    <pivotTable tabId="23" name="PivotTable5"/>
    <pivotTable tabId="25" name="PivotTable6"/>
    <pivotTable tabId="26" name="PivotTable7"/>
  </pivotTables>
  <data>
    <tabular pivotCacheId="714219842">
      <items count="8">
        <i x="1" s="1"/>
        <i x="4" s="1"/>
        <i x="5"/>
        <i x="0" s="1"/>
        <i x="6" s="1"/>
        <i x="3" s="1"/>
        <i x="2"/>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1A61EFCB-5C6D-4B5A-BB20-49BFC88F6FC2}" cache="Slicer_Platform" caption="Platform" columnCount="2"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C9BD3E51-F41C-4A2B-BA7A-BE69DA780426}" cache="Slicer_Platform1" caption="Platform" columnCount="2" rowHeight="46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xr10:uid="{0D0D52C5-A989-494B-B9B1-254819CAC062}" cache="Slicer_Campaign_Name" caption="Campaign_Name" rowHeight="612000"/>
  <slicer name="Platform 2" xr10:uid="{096E2F0C-319C-46E5-ADEE-0C4E66B367E7}" cache="Slicer_Platform2" caption="Platform" rowHeight="612000"/>
  <slicer name="Content Type 1" xr10:uid="{DD538C30-EB06-4236-BDCB-7623DE1E1C94}" cache="Slicer_Content_Type1" caption="Content Type" rowHeight="396000"/>
  <slicer name="Hashtags 1" xr10:uid="{6A257025-A8C0-43AD-A2D7-AA8694B763FC}" cache="Slicer_Hashtags1" caption="Hashtags"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16C37C-307D-4AFA-8420-2E0255075E34}" name="Table1_1" displayName="Table1_1" ref="A1:O301" tableType="queryTable" totalsRowShown="0" headerRowDxfId="274" headerRowBorderDxfId="273" tableBorderDxfId="272" totalsRowBorderDxfId="271">
  <autoFilter ref="A1:O301" xr:uid="{B316C37C-307D-4AFA-8420-2E0255075E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84FDE04-4BD3-4A53-940F-B2513628E512}" uniqueName="1" name="Post ID" queryTableFieldId="1" dataDxfId="270"/>
    <tableColumn id="2" xr3:uid="{5AD3C092-B141-4D64-BB38-6FBF15773F68}" uniqueName="2" name="Platform" queryTableFieldId="2" dataDxfId="269"/>
    <tableColumn id="3" xr3:uid="{D6D90419-0F21-456F-9863-173D7C4251B3}" uniqueName="3" name="Date" queryTableFieldId="3" dataDxfId="268"/>
    <tableColumn id="4" xr3:uid="{794DC514-3B83-4814-B01E-3254A61013C9}" uniqueName="4" name="Content Type" queryTableFieldId="4" dataDxfId="267"/>
    <tableColumn id="5" xr3:uid="{080EBC13-39CB-4237-988A-0DCE871676D4}" uniqueName="5" name="Post Text" queryTableFieldId="5" dataDxfId="266"/>
    <tableColumn id="6" xr3:uid="{B6245A9F-E644-46A7-952B-403C8EB112FD}" uniqueName="6" name="Likes" queryTableFieldId="6" dataDxfId="265"/>
    <tableColumn id="7" xr3:uid="{A179E393-1E68-4E24-8F3B-8A65678A8D78}" uniqueName="7" name="Shares" queryTableFieldId="7" dataDxfId="264"/>
    <tableColumn id="8" xr3:uid="{06958E9E-D151-41B7-9136-A034322B6528}" uniqueName="8" name="Comments" queryTableFieldId="8" dataDxfId="263"/>
    <tableColumn id="9" xr3:uid="{543E3C04-1752-4194-887E-0BEF14F3CF04}" uniqueName="9" name="Impressions" queryTableFieldId="9" dataDxfId="262"/>
    <tableColumn id="10" xr3:uid="{52E96C30-BE50-4E36-9B5B-983669525DDA}" uniqueName="10" name="Reach" queryTableFieldId="10" dataDxfId="261"/>
    <tableColumn id="11" xr3:uid="{6CE948DA-0B42-4F39-9941-977371B887FC}" uniqueName="11" name="Clicks" queryTableFieldId="11" dataDxfId="260"/>
    <tableColumn id="12" xr3:uid="{C9E80FB9-032E-466A-ABA1-346741C360CE}" uniqueName="12" name="Hashtags Used" queryTableFieldId="12" dataDxfId="259"/>
    <tableColumn id="13" xr3:uid="{F5711B2F-171E-49C7-87D7-7360EFD48D1C}" uniqueName="13" name="Hashtags-1" queryTableFieldId="13" dataDxfId="258"/>
    <tableColumn id="14" xr3:uid="{80A36912-8358-4D4C-8546-E138FCD3D090}" uniqueName="14" name="Hashtags_2" queryTableFieldId="14" dataDxfId="257"/>
    <tableColumn id="15" xr3:uid="{2A0B9C7E-CAD5-474E-B945-83EAD39D2EEE}" uniqueName="15" name="Campaign_Name" queryTableFieldId="15" dataDxfId="25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AE53CE-7AE0-45E6-80D8-89C7F7BA5D2B}" name="Table1_14" displayName="Table1_14" ref="A1:P301" tableType="queryTable" totalsRowShown="0" headerRowDxfId="246" headerRowBorderDxfId="245" tableBorderDxfId="244" totalsRowBorderDxfId="243">
  <tableColumns count="16">
    <tableColumn id="1" xr3:uid="{71C0C06B-8857-4819-BB34-070AF08C2E3B}" uniqueName="1" name="Post ID" queryTableFieldId="1" dataDxfId="242"/>
    <tableColumn id="2" xr3:uid="{6C0D55BF-5FF2-4B39-915D-30FC8271237A}" uniqueName="2" name="Platform" queryTableFieldId="2" dataDxfId="241"/>
    <tableColumn id="3" xr3:uid="{5B58944D-4EA6-461D-8BAB-D670C214BC03}" uniqueName="3" name="Date" queryTableFieldId="3" dataDxfId="240"/>
    <tableColumn id="4" xr3:uid="{B3FBB1FB-DA76-4E40-966C-37BF9364C7B6}" uniqueName="4" name="Content Type" queryTableFieldId="4" dataDxfId="239"/>
    <tableColumn id="5" xr3:uid="{9CFEF6E3-65FD-4396-B93C-91CE4885B1CC}" uniqueName="5" name="Post Text" queryTableFieldId="5" dataDxfId="238"/>
    <tableColumn id="6" xr3:uid="{076E6D84-31A3-4335-B489-23719C9B84B2}" uniqueName="6" name="Likes" queryTableFieldId="6" dataDxfId="237"/>
    <tableColumn id="7" xr3:uid="{B9FDBB3E-2364-4418-8EED-CB5A5328894A}" uniqueName="7" name="Shares" queryTableFieldId="7" dataDxfId="236"/>
    <tableColumn id="8" xr3:uid="{9A1A1257-2E20-4BFC-BC7D-4FE59194BB4D}" uniqueName="8" name="Comments" queryTableFieldId="8" dataDxfId="235"/>
    <tableColumn id="9" xr3:uid="{69CB3DD2-B8E2-49D3-804F-22CA6C08883D}" uniqueName="9" name="Impressions" queryTableFieldId="9" dataDxfId="234"/>
    <tableColumn id="10" xr3:uid="{6AFEEA6B-2321-41A5-986A-EDED81FFCD9E}" uniqueName="10" name="Reach" queryTableFieldId="10" dataDxfId="233"/>
    <tableColumn id="11" xr3:uid="{7F0AF237-436D-4B8C-8B83-163C05079D38}" uniqueName="11" name="Clicks" queryTableFieldId="11" dataDxfId="232"/>
    <tableColumn id="12" xr3:uid="{55A6BC4A-BDB2-4F92-9894-6B53C32C121B}" uniqueName="12" name="Hashtags Used" queryTableFieldId="12" dataDxfId="231"/>
    <tableColumn id="13" xr3:uid="{99A6363B-8E6E-4315-9E67-93F708CC4394}" uniqueName="13" name="Hashtags-1" queryTableFieldId="13" dataDxfId="230"/>
    <tableColumn id="14" xr3:uid="{F11747E6-414C-4917-BD89-1747A5B6A202}" uniqueName="14" name="Hashtags_2" queryTableFieldId="14" dataDxfId="229"/>
    <tableColumn id="15" xr3:uid="{9AF5251D-407A-49FB-BE77-80E8C9CF397B}" uniqueName="15" name="Campaign_Name" queryTableFieldId="15" dataDxfId="228"/>
    <tableColumn id="16" xr3:uid="{BB1BA34D-FFD9-4D70-A8BC-F509933788FD}" uniqueName="16" name="Engagement rate" queryTableFieldId="16" dataDxfId="227">
      <calculatedColumnFormula>(Table1_14[[#This Row],[Likes]]+Table1_14[[#This Row],[Shares]]+Table1_14[[#This Row],[Comments]])/Table1_14[[#This Row],[Impressions]]</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E71DC4-2F30-45BC-A266-B7EAB8380A93}" name="Table1_145" displayName="Table1_145" ref="A2:P302" tableType="queryTable" totalsRowShown="0" headerRowDxfId="226" headerRowBorderDxfId="225" tableBorderDxfId="224" totalsRowBorderDxfId="223">
  <tableColumns count="16">
    <tableColumn id="1" xr3:uid="{523FAB20-A8D6-4AEA-A8DB-43CED85540D4}" uniqueName="1" name="Post ID" queryTableFieldId="1" dataDxfId="222"/>
    <tableColumn id="2" xr3:uid="{BFAA76A5-72E0-48D1-ADD6-1268F11CB99F}" uniqueName="2" name="Platform" queryTableFieldId="2" dataDxfId="221"/>
    <tableColumn id="3" xr3:uid="{3A27F347-2B6B-4124-84A8-CED91B4CFD8F}" uniqueName="3" name="Date" queryTableFieldId="3" dataDxfId="220"/>
    <tableColumn id="4" xr3:uid="{F6A5A7E9-99F2-4ED7-98CE-9D3AA4058F92}" uniqueName="4" name="Content Type" queryTableFieldId="4" dataDxfId="219"/>
    <tableColumn id="5" xr3:uid="{D4E0E9E1-358E-40AA-B4E3-1DA7BCA4E3F2}" uniqueName="5" name="Post Text" queryTableFieldId="5" dataDxfId="218"/>
    <tableColumn id="6" xr3:uid="{65B2027D-3E2E-4551-ADBF-B32F2C017116}" uniqueName="6" name="Likes" queryTableFieldId="6" dataDxfId="217"/>
    <tableColumn id="7" xr3:uid="{D5601EC6-0F9D-4A2C-89B2-5C378A84461C}" uniqueName="7" name="Shares" queryTableFieldId="7" dataDxfId="216"/>
    <tableColumn id="8" xr3:uid="{4225118B-221E-49C8-9B9B-DA5887246698}" uniqueName="8" name="Comments" queryTableFieldId="8" dataDxfId="215"/>
    <tableColumn id="9" xr3:uid="{230D844B-C988-4AAC-897F-26DBD92557B2}" uniqueName="9" name="Impressions" queryTableFieldId="9" dataDxfId="214"/>
    <tableColumn id="10" xr3:uid="{790D3730-998A-44C5-B5A0-E83C25215551}" uniqueName="10" name="Reach" queryTableFieldId="10" dataDxfId="213"/>
    <tableColumn id="11" xr3:uid="{7D4FC30D-1082-4E3F-90C1-D1D9330F0DD7}" uniqueName="11" name="Clicks" queryTableFieldId="11" dataDxfId="212"/>
    <tableColumn id="12" xr3:uid="{70224D30-BEDB-4393-AA32-0E22D9300484}" uniqueName="12" name="Hashtags Used" queryTableFieldId="12" dataDxfId="211"/>
    <tableColumn id="13" xr3:uid="{B9DB1023-4B39-4E66-8563-F566EE800F5E}" uniqueName="13" name="Hashtags-1" queryTableFieldId="13" dataDxfId="210"/>
    <tableColumn id="14" xr3:uid="{DA948BF5-8757-4859-89BD-CC567C955BDB}" uniqueName="14" name="Hashtags_2" queryTableFieldId="14" dataDxfId="209"/>
    <tableColumn id="15" xr3:uid="{87F08A17-BEF3-4267-B790-9EC7846FE060}" uniqueName="15" name="Campaign_Name" queryTableFieldId="15" dataDxfId="208"/>
    <tableColumn id="16" xr3:uid="{9478BDE2-6897-4EBF-8C19-B36F1C9F9864}" uniqueName="16" name="Engagement rate" queryTableFieldId="16" dataDxfId="207">
      <calculatedColumnFormula>(Table1_145[[#This Row],[Likes]]+Table1_145[[#This Row],[Shares]]+Table1_145[[#This Row],[Comments]])/Table1_145[[#This Row],[Impressions]]</calculatedColumnFormula>
    </tableColumn>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68C82F-47E7-4FAE-B6A8-BD8CF7B60F3B}" name="Table1_2" displayName="Table1_2" ref="A1:N901" tableType="queryTable" totalsRowShown="0" headerRowDxfId="196" headerRowBorderDxfId="195" tableBorderDxfId="194" totalsRowBorderDxfId="193">
  <autoFilter ref="A1:N901" xr:uid="{8C68C82F-47E7-4FAE-B6A8-BD8CF7B60F3B}"/>
  <tableColumns count="14">
    <tableColumn id="1" xr3:uid="{05000B52-993E-4A71-A4D1-87106B04C04E}" uniqueName="1" name="Post ID" queryTableFieldId="1" dataDxfId="192"/>
    <tableColumn id="2" xr3:uid="{662FFC2A-91EB-49CB-9512-AC32EAD60427}" uniqueName="2" name="Platform" queryTableFieldId="2" dataDxfId="191"/>
    <tableColumn id="3" xr3:uid="{E4190360-3C09-4A6E-A47D-6FAD37827B0C}" uniqueName="3" name="Date" queryTableFieldId="3" dataDxfId="190"/>
    <tableColumn id="4" xr3:uid="{39E60715-E960-4D6E-8E67-3435A3E7705C}" uniqueName="4" name="Content Type" queryTableFieldId="4" dataDxfId="189"/>
    <tableColumn id="5" xr3:uid="{59E6703D-8D0B-49BC-92EE-855A7D8138F5}" uniqueName="5" name="Post Text" queryTableFieldId="5" dataDxfId="188"/>
    <tableColumn id="6" xr3:uid="{5340FBD2-F17E-4312-B7B8-295545C69DEC}" uniqueName="6" name="Likes" queryTableFieldId="6" dataDxfId="187"/>
    <tableColumn id="7" xr3:uid="{A2F81BDB-E6DA-4215-A61F-D4DDFF417BA2}" uniqueName="7" name="Shares" queryTableFieldId="7" dataDxfId="186"/>
    <tableColumn id="8" xr3:uid="{588B2159-BF1C-489A-B0E3-A49A633EC71D}" uniqueName="8" name="Comments" queryTableFieldId="8" dataDxfId="185"/>
    <tableColumn id="9" xr3:uid="{98818BDF-ABC8-4376-8637-7444B437783C}" uniqueName="9" name="Impressions" queryTableFieldId="9" dataDxfId="184"/>
    <tableColumn id="10" xr3:uid="{611610DB-9928-4FBC-9884-8972EB74104B}" uniqueName="10" name="Reach" queryTableFieldId="10" dataDxfId="183"/>
    <tableColumn id="11" xr3:uid="{450A59AE-37DB-4DEB-8509-43F05A9FDB5E}" uniqueName="11" name="Clicks" queryTableFieldId="11" dataDxfId="182"/>
    <tableColumn id="12" xr3:uid="{453108C5-E1C9-4E4D-8575-781310B0B56D}" uniqueName="12" name="Campaign_Name" queryTableFieldId="12" dataDxfId="181"/>
    <tableColumn id="13" xr3:uid="{2F1D7FDD-7C44-44CE-8084-BAE0B4887757}" uniqueName="13" name="Attribute" queryTableFieldId="13" dataDxfId="180"/>
    <tableColumn id="14" xr3:uid="{F07BC4C7-C67C-4214-8F18-29FF26E51CB0}" uniqueName="14" name="Hashtags" queryTableFieldId="14" dataDxfId="17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C9F311-B5D0-488E-903C-1754B03B4C81}" name="Table1_147" displayName="Table1_147" ref="A1:Q301" tableType="queryTable" totalsRowShown="0" headerRowDxfId="161" headerRowBorderDxfId="160" tableBorderDxfId="159" totalsRowBorderDxfId="158">
  <tableColumns count="17">
    <tableColumn id="1" xr3:uid="{7863DEB0-5C76-4CB1-BDEE-85FFD31B869F}" uniqueName="1" name="Post ID" queryTableFieldId="1" dataDxfId="157"/>
    <tableColumn id="2" xr3:uid="{10507FFF-DE2D-416D-AC3A-5353354F6BE4}" uniqueName="2" name="Platform" queryTableFieldId="2" dataDxfId="156"/>
    <tableColumn id="3" xr3:uid="{38E06B1E-63F5-44F3-881F-5C70AFEE0CB5}" uniqueName="3" name="Date" queryTableFieldId="3" dataDxfId="155"/>
    <tableColumn id="4" xr3:uid="{47A49767-0B76-4683-A091-BFCBDD4C9038}" uniqueName="4" name="Content Type" queryTableFieldId="4" dataDxfId="154"/>
    <tableColumn id="5" xr3:uid="{C5D99008-4E70-41D8-9C79-0F707B39F579}" uniqueName="5" name="Post Text" queryTableFieldId="5" dataDxfId="153"/>
    <tableColumn id="6" xr3:uid="{73C5A313-F0CB-4AD4-A117-5991A588DB1D}" uniqueName="6" name="Likes" queryTableFieldId="6" dataDxfId="152"/>
    <tableColumn id="7" xr3:uid="{DF3F0B4E-C0F5-42DA-8BF5-742D210C97DD}" uniqueName="7" name="Shares" queryTableFieldId="7" dataDxfId="151"/>
    <tableColumn id="8" xr3:uid="{26517FB4-E048-4FD8-AC87-94101D79DB3A}" uniqueName="8" name="Comments" queryTableFieldId="8" dataDxfId="150"/>
    <tableColumn id="9" xr3:uid="{70A8A3CE-2669-46B1-9266-D34EE3FA414A}" uniqueName="9" name="Impressions" queryTableFieldId="9" dataDxfId="149"/>
    <tableColumn id="10" xr3:uid="{112C862A-4F97-4FA5-B380-E90954B5D530}" uniqueName="10" name="Reach" queryTableFieldId="10" dataDxfId="148"/>
    <tableColumn id="11" xr3:uid="{1E530596-6259-4AD4-8253-8EA1B1AC600E}" uniqueName="11" name="Clicks" queryTableFieldId="11" dataDxfId="147"/>
    <tableColumn id="12" xr3:uid="{1BCF273A-02C4-47C8-9904-B4F9E9F0473B}" uniqueName="12" name="Hashtags Used" queryTableFieldId="12" dataDxfId="146"/>
    <tableColumn id="13" xr3:uid="{9DC7A047-A8A0-4BAC-9EB9-411FEDB2A131}" uniqueName="13" name="Hashtags-1" queryTableFieldId="13" dataDxfId="145"/>
    <tableColumn id="14" xr3:uid="{38DFB345-B69B-4DC5-A4BA-A46CAE7BC1B9}" uniqueName="14" name="Hashtags_2" queryTableFieldId="14" dataDxfId="144"/>
    <tableColumn id="15" xr3:uid="{702C7624-4798-43FE-9431-61AC08293F6C}" uniqueName="15" name="Campaign_Name" queryTableFieldId="15" dataDxfId="143"/>
    <tableColumn id="16" xr3:uid="{0A4D38C7-6369-46E8-AFC1-AB6121489ED5}" uniqueName="16" name="Engagement rate" queryTableFieldId="16" dataDxfId="142">
      <calculatedColumnFormula>(Table1_147[[#This Row],[Likes]]+Table1_147[[#This Row],[Shares]]+Table1_147[[#This Row],[Comments]])/Table1_147[[#This Row],[Impressions]]</calculatedColumnFormula>
    </tableColumn>
    <tableColumn id="17" xr3:uid="{B4AE0D8B-FA7D-47AB-B848-CA10DF49215E}" uniqueName="17" name="Total_Engagement" queryTableFieldId="17" dataDxfId="141">
      <calculatedColumnFormula>(Table1_147[[#This Row],[Likes]]+Table1_147[[#This Row],[Shares]]+Table1_147[[#This Row],[Comments]])</calculatedColumnFormula>
    </tableColumn>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5F96AA-40B7-43B2-86CB-01F48A77D379}" name="Table1_146" displayName="Table1_146" ref="A1:O901" tableType="queryTable" totalsRowShown="0">
  <autoFilter ref="A1:O901" xr:uid="{085F96AA-40B7-43B2-86CB-01F48A77D379}"/>
  <tableColumns count="15">
    <tableColumn id="1" xr3:uid="{58466A57-E363-4EDC-9BA4-F98DB4E89996}" uniqueName="1" name="Post ID" queryTableFieldId="1" dataDxfId="119"/>
    <tableColumn id="2" xr3:uid="{5754B06A-8EB2-4DC2-80B2-9649FA22CB14}" uniqueName="2" name="Platform" queryTableFieldId="2" dataDxfId="118"/>
    <tableColumn id="3" xr3:uid="{3AFB6055-6208-45AF-8102-CD592F961DA7}" uniqueName="3" name="Date" queryTableFieldId="3" dataDxfId="117"/>
    <tableColumn id="4" xr3:uid="{21268076-BB5D-463C-883D-D7D879A2AFE5}" uniqueName="4" name="Content Type" queryTableFieldId="4" dataDxfId="116"/>
    <tableColumn id="5" xr3:uid="{2A9B989C-7AD6-476A-AACF-8CA65A968D4F}" uniqueName="5" name="Post Text" queryTableFieldId="5" dataDxfId="115"/>
    <tableColumn id="6" xr3:uid="{1CC0330F-5739-4A10-AFE4-3571D77E6A74}" uniqueName="6" name="Likes" queryTableFieldId="6"/>
    <tableColumn id="7" xr3:uid="{8891B6F2-C712-4972-A8FC-F74994B1FF71}" uniqueName="7" name="Shares" queryTableFieldId="7"/>
    <tableColumn id="8" xr3:uid="{95EB75E1-27B4-4311-9EEE-46D9A41699B1}" uniqueName="8" name="Comments" queryTableFieldId="8"/>
    <tableColumn id="9" xr3:uid="{74F60345-824C-4FA8-BA16-9429DCC352E1}" uniqueName="9" name="Impressions" queryTableFieldId="9"/>
    <tableColumn id="10" xr3:uid="{17ED6480-8E80-4FE7-A113-9487199AC665}" uniqueName="10" name="Reach" queryTableFieldId="10"/>
    <tableColumn id="11" xr3:uid="{8AA6E015-E744-40DD-B35D-8525272FA09B}" uniqueName="11" name="Clicks" queryTableFieldId="11"/>
    <tableColumn id="12" xr3:uid="{5B982471-3F31-4A1D-BDC8-16823B8C4D3C}" uniqueName="12" name="Campaign_Name" queryTableFieldId="12" dataDxfId="114"/>
    <tableColumn id="13" xr3:uid="{4A4F58D0-72E5-4511-94DE-3753955B929B}" uniqueName="13" name="Engagement rate" queryTableFieldId="13"/>
    <tableColumn id="14" xr3:uid="{D020BF0D-AAE0-4F07-9340-130F7201C689}" uniqueName="14" name="Attribute" queryTableFieldId="14" dataDxfId="113"/>
    <tableColumn id="15" xr3:uid="{7CE5215A-5549-4C65-91A8-CC8E180D32A5}" uniqueName="15" name="Hashtags" queryTableFieldId="15" dataDxfId="1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F929193-40A0-421B-9310-D1512EF558FD}" name="Table1_149" displayName="Table1_149" ref="A1:Q301" tableType="queryTable" totalsRowShown="0" headerRowDxfId="76" headerRowBorderDxfId="75" tableBorderDxfId="74" totalsRowBorderDxfId="73">
  <tableColumns count="17">
    <tableColumn id="1" xr3:uid="{18B7F7CF-9247-4A18-B651-B2B19E5B07E9}" uniqueName="1" name="Post ID" queryTableFieldId="1" dataDxfId="72"/>
    <tableColumn id="2" xr3:uid="{EA1882EB-8769-47A8-B601-DC1F0FB83249}" uniqueName="2" name="Platform" queryTableFieldId="2" dataDxfId="71"/>
    <tableColumn id="3" xr3:uid="{B0B46347-63B0-4D8B-A685-E1E5480B5755}" uniqueName="3" name="Date" queryTableFieldId="3" dataDxfId="70"/>
    <tableColumn id="4" xr3:uid="{493DD0CF-643E-4903-9DA1-FA4BFC7E3E6D}" uniqueName="4" name="Content Type" queryTableFieldId="4" dataDxfId="69"/>
    <tableColumn id="5" xr3:uid="{16DFA882-A3E2-4700-BA66-26B72848AF55}" uniqueName="5" name="Post Text" queryTableFieldId="5" dataDxfId="68"/>
    <tableColumn id="6" xr3:uid="{34F28CC1-CC31-406B-9863-98DA862E0061}" uniqueName="6" name="Likes" queryTableFieldId="6" dataDxfId="67"/>
    <tableColumn id="7" xr3:uid="{502FB0D7-2E36-482E-9BC3-50FE7BA5A47D}" uniqueName="7" name="Shares" queryTableFieldId="7" dataDxfId="66"/>
    <tableColumn id="8" xr3:uid="{79638802-9084-4963-A648-2FC4F1B19D8A}" uniqueName="8" name="Comments" queryTableFieldId="8" dataDxfId="65"/>
    <tableColumn id="9" xr3:uid="{1E70D4A6-2383-4709-A25A-DFFDEAFD6E3C}" uniqueName="9" name="Impressions" queryTableFieldId="9" dataDxfId="64"/>
    <tableColumn id="10" xr3:uid="{A18B1157-B861-4360-AE7D-EE8F51BF07E0}" uniqueName="10" name="Reach" queryTableFieldId="10" dataDxfId="63"/>
    <tableColumn id="11" xr3:uid="{1EF55124-24DE-46F5-9646-6D50E98A8868}" uniqueName="11" name="Clicks" queryTableFieldId="11" dataDxfId="62"/>
    <tableColumn id="12" xr3:uid="{E3CFF345-548F-4F1A-B91C-C6B4C3C97C52}" uniqueName="12" name="Hashtags Used" queryTableFieldId="12" dataDxfId="61"/>
    <tableColumn id="13" xr3:uid="{94FBB4D1-CA89-43AC-82BD-6763773E795B}" uniqueName="13" name="Hashtags-1" queryTableFieldId="13" dataDxfId="60"/>
    <tableColumn id="14" xr3:uid="{731F24C7-C314-4F64-97E1-70171635DAD1}" uniqueName="14" name="Hashtags_2" queryTableFieldId="14" dataDxfId="59"/>
    <tableColumn id="15" xr3:uid="{0881B9A0-472E-4100-948E-6A79C62FAD43}" uniqueName="15" name="Campaign_Name" queryTableFieldId="15" dataDxfId="58"/>
    <tableColumn id="16" xr3:uid="{7B7EF104-BA39-437B-A796-DE3D0F853EFF}" uniqueName="16" name="Engagement rate" queryTableFieldId="16" dataDxfId="57">
      <calculatedColumnFormula>(Table1_149[[#This Row],[Likes]]+Table1_149[[#This Row],[Shares]]+Table1_149[[#This Row],[Comments]])/Table1_149[[#This Row],[Impressions]]</calculatedColumnFormula>
    </tableColumn>
    <tableColumn id="17" xr3:uid="{85A1FC3A-2E17-441D-8FDA-EECCFAAD05ED}" uniqueName="17" name="Period" queryTableFieldId="17" dataDxfId="56">
      <calculatedColumnFormula>IF(O:O="CybertruckLaunch",
     IF(AND(C:C&gt;=DATE(2024,10,15),C:C&lt;=DATE(2024,11,10)),"During",
        IF(C:C&lt;DATE(2024,10,15),"Before","After")),
 IF(O:O="ModelYCampaign",
     IF(AND(C:C&gt;=DATE(2025,3,1),C:C&lt;=DATE(2025,3,20)),"During",
        IF(C:C&lt;DATE(2025,3,1),"Before","After")),
 IF(O:O="SustainabilityDrive",
     IF(AND(C:C&gt;=DATE(2024,6,10),C:C&lt;=DATE(2024,6,25)),"During",
        IF(C:C&lt;DATE(2024,6,10),"Before","After")),
 IF(O:O="FSDUpdate",
     IF(AND(C:C&gt;=DATE(2025,5,1),C:C&lt;=DATE(2025,5,15)),"During",
        IF(C:C&lt;DATE(2025,5,1),"Before","After"))))))</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2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6.xml"/><Relationship Id="rId1" Type="http://schemas.openxmlformats.org/officeDocument/2006/relationships/pivotTable" Target="../pivotTables/pivotTable16.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7.xml"/></Relationships>
</file>

<file path=xl/worksheets/_rels/sheet2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8.xml"/><Relationship Id="rId1" Type="http://schemas.openxmlformats.org/officeDocument/2006/relationships/pivotTable" Target="../pivotTables/pivotTable1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BE8A-8F04-4A78-82FD-C5645A839A27}">
  <sheetPr codeName="Sheet1"/>
  <dimension ref="A1:O301"/>
  <sheetViews>
    <sheetView workbookViewId="0">
      <selection activeCell="E12" sqref="E12"/>
    </sheetView>
  </sheetViews>
  <sheetFormatPr defaultRowHeight="14.4" x14ac:dyDescent="0.3"/>
  <cols>
    <col min="1" max="1" width="9.109375" bestFit="1" customWidth="1"/>
    <col min="2" max="2" width="10.5546875" bestFit="1" customWidth="1"/>
    <col min="3" max="3" width="10.33203125" bestFit="1" customWidth="1"/>
    <col min="4" max="4" width="14.5546875" bestFit="1" customWidth="1"/>
    <col min="5" max="5" width="37" bestFit="1" customWidth="1"/>
    <col min="6" max="6" width="7.33203125" bestFit="1" customWidth="1"/>
    <col min="7" max="7" width="8.77734375" bestFit="1" customWidth="1"/>
    <col min="8" max="8" width="12.33203125" bestFit="1" customWidth="1"/>
    <col min="9" max="9" width="13.21875" bestFit="1" customWidth="1"/>
    <col min="10" max="10" width="8.33203125" bestFit="1" customWidth="1"/>
    <col min="11" max="11" width="7.88671875" bestFit="1" customWidth="1"/>
    <col min="12" max="12" width="17.44140625" bestFit="1" customWidth="1"/>
    <col min="13" max="13" width="20.21875" bestFit="1" customWidth="1"/>
    <col min="14" max="14" width="18.44140625" bestFit="1" customWidth="1"/>
    <col min="15" max="15" width="17.77734375" bestFit="1" customWidth="1"/>
  </cols>
  <sheetData>
    <row r="1" spans="1:15" x14ac:dyDescent="0.3">
      <c r="A1" s="3" t="s">
        <v>0</v>
      </c>
      <c r="B1" s="4" t="s">
        <v>1</v>
      </c>
      <c r="C1" s="4" t="s">
        <v>2</v>
      </c>
      <c r="D1" s="4" t="s">
        <v>3</v>
      </c>
      <c r="E1" s="4" t="s">
        <v>4</v>
      </c>
      <c r="F1" s="4" t="s">
        <v>5</v>
      </c>
      <c r="G1" s="4" t="s">
        <v>6</v>
      </c>
      <c r="H1" s="4" t="s">
        <v>7</v>
      </c>
      <c r="I1" s="4" t="s">
        <v>8</v>
      </c>
      <c r="J1" s="4" t="s">
        <v>9</v>
      </c>
      <c r="K1" s="4" t="s">
        <v>10</v>
      </c>
      <c r="L1" s="4" t="s">
        <v>11</v>
      </c>
      <c r="M1" s="4" t="s">
        <v>357</v>
      </c>
      <c r="N1" s="4" t="s">
        <v>358</v>
      </c>
      <c r="O1" s="5" t="s">
        <v>12</v>
      </c>
    </row>
    <row r="2" spans="1:15" x14ac:dyDescent="0.3">
      <c r="A2" s="6" t="s">
        <v>13</v>
      </c>
      <c r="B2" s="1" t="s">
        <v>14</v>
      </c>
      <c r="C2" s="7">
        <v>45649</v>
      </c>
      <c r="D2" s="1" t="s">
        <v>15</v>
      </c>
      <c r="E2" s="1" t="s">
        <v>16</v>
      </c>
      <c r="F2" s="1">
        <v>1461</v>
      </c>
      <c r="G2" s="1">
        <v>184</v>
      </c>
      <c r="H2" s="1">
        <v>344</v>
      </c>
      <c r="I2" s="1">
        <v>21915</v>
      </c>
      <c r="J2" s="1">
        <v>21675</v>
      </c>
      <c r="K2" s="1">
        <v>15</v>
      </c>
      <c r="L2" s="1" t="s">
        <v>48</v>
      </c>
      <c r="M2" s="1" t="s">
        <v>354</v>
      </c>
      <c r="N2" s="1" t="s">
        <v>359</v>
      </c>
      <c r="O2" s="8" t="s">
        <v>17</v>
      </c>
    </row>
    <row r="3" spans="1:15" x14ac:dyDescent="0.3">
      <c r="A3" s="6" t="s">
        <v>18</v>
      </c>
      <c r="B3" s="1" t="s">
        <v>14</v>
      </c>
      <c r="C3" s="7">
        <v>45750</v>
      </c>
      <c r="D3" s="1" t="s">
        <v>19</v>
      </c>
      <c r="E3" s="1" t="s">
        <v>20</v>
      </c>
      <c r="F3" s="1">
        <v>4054</v>
      </c>
      <c r="G3" s="1">
        <v>389</v>
      </c>
      <c r="H3" s="1">
        <v>493</v>
      </c>
      <c r="I3" s="1">
        <v>64864</v>
      </c>
      <c r="J3" s="1">
        <v>64383</v>
      </c>
      <c r="K3" s="1">
        <v>117</v>
      </c>
      <c r="L3" s="1" t="s">
        <v>25</v>
      </c>
      <c r="M3" s="1" t="s">
        <v>355</v>
      </c>
      <c r="N3" s="1" t="s">
        <v>359</v>
      </c>
      <c r="O3" s="8" t="s">
        <v>21</v>
      </c>
    </row>
    <row r="4" spans="1:15" x14ac:dyDescent="0.3">
      <c r="A4" s="6" t="s">
        <v>22</v>
      </c>
      <c r="B4" s="1" t="s">
        <v>23</v>
      </c>
      <c r="C4" s="7">
        <v>45789</v>
      </c>
      <c r="D4" s="1" t="s">
        <v>15</v>
      </c>
      <c r="E4" s="1" t="s">
        <v>24</v>
      </c>
      <c r="F4" s="1">
        <v>2795</v>
      </c>
      <c r="G4" s="1">
        <v>105</v>
      </c>
      <c r="H4" s="1">
        <v>49</v>
      </c>
      <c r="I4" s="1">
        <v>53105</v>
      </c>
      <c r="J4" s="1">
        <v>52307</v>
      </c>
      <c r="K4" s="1">
        <v>204</v>
      </c>
      <c r="L4" s="1" t="s">
        <v>25</v>
      </c>
      <c r="M4" s="1" t="s">
        <v>359</v>
      </c>
      <c r="N4" s="1" t="s">
        <v>359</v>
      </c>
      <c r="O4" s="8" t="s">
        <v>26</v>
      </c>
    </row>
    <row r="5" spans="1:15" x14ac:dyDescent="0.3">
      <c r="A5" s="6" t="s">
        <v>27</v>
      </c>
      <c r="B5" s="1" t="s">
        <v>28</v>
      </c>
      <c r="C5" s="7">
        <v>45516</v>
      </c>
      <c r="D5" s="1" t="s">
        <v>29</v>
      </c>
      <c r="E5" s="1" t="s">
        <v>30</v>
      </c>
      <c r="F5" s="1">
        <v>2404</v>
      </c>
      <c r="G5" s="1">
        <v>363</v>
      </c>
      <c r="H5" s="1">
        <v>138</v>
      </c>
      <c r="I5" s="1">
        <v>19232</v>
      </c>
      <c r="J5" s="1">
        <v>18636</v>
      </c>
      <c r="K5" s="1">
        <v>128</v>
      </c>
      <c r="L5" s="1" t="s">
        <v>31</v>
      </c>
      <c r="M5" s="1" t="s">
        <v>359</v>
      </c>
      <c r="N5" s="1" t="s">
        <v>359</v>
      </c>
      <c r="O5" s="8" t="s">
        <v>32</v>
      </c>
    </row>
    <row r="6" spans="1:15" x14ac:dyDescent="0.3">
      <c r="A6" s="6" t="s">
        <v>33</v>
      </c>
      <c r="B6" s="1" t="s">
        <v>23</v>
      </c>
      <c r="C6" s="7">
        <v>45469</v>
      </c>
      <c r="D6" s="1" t="s">
        <v>15</v>
      </c>
      <c r="E6" s="1" t="s">
        <v>24</v>
      </c>
      <c r="F6" s="1">
        <v>3557</v>
      </c>
      <c r="G6" s="1">
        <v>687</v>
      </c>
      <c r="H6" s="1">
        <v>424</v>
      </c>
      <c r="I6" s="1">
        <v>71140</v>
      </c>
      <c r="J6" s="1">
        <v>70701</v>
      </c>
      <c r="K6" s="1">
        <v>224</v>
      </c>
      <c r="L6" s="1" t="s">
        <v>31</v>
      </c>
      <c r="M6" s="1" t="s">
        <v>25</v>
      </c>
      <c r="N6" s="1" t="s">
        <v>359</v>
      </c>
      <c r="O6" s="8" t="s">
        <v>17</v>
      </c>
    </row>
    <row r="7" spans="1:15" x14ac:dyDescent="0.3">
      <c r="A7" s="6" t="s">
        <v>34</v>
      </c>
      <c r="B7" s="1" t="s">
        <v>35</v>
      </c>
      <c r="C7" s="7">
        <v>45596</v>
      </c>
      <c r="D7" s="1" t="s">
        <v>36</v>
      </c>
      <c r="E7" s="1" t="s">
        <v>37</v>
      </c>
      <c r="F7" s="1">
        <v>2945</v>
      </c>
      <c r="G7" s="1">
        <v>930</v>
      </c>
      <c r="H7" s="1">
        <v>355</v>
      </c>
      <c r="I7" s="1">
        <v>23560</v>
      </c>
      <c r="J7" s="1">
        <v>23275</v>
      </c>
      <c r="K7" s="1">
        <v>256</v>
      </c>
      <c r="L7" s="1" t="s">
        <v>25</v>
      </c>
      <c r="M7" s="1" t="s">
        <v>359</v>
      </c>
      <c r="N7" s="1" t="s">
        <v>359</v>
      </c>
      <c r="O7" s="8" t="s">
        <v>21</v>
      </c>
    </row>
    <row r="8" spans="1:15" x14ac:dyDescent="0.3">
      <c r="A8" s="6" t="s">
        <v>38</v>
      </c>
      <c r="B8" s="1" t="s">
        <v>14</v>
      </c>
      <c r="C8" s="7">
        <v>45467</v>
      </c>
      <c r="D8" s="1" t="s">
        <v>36</v>
      </c>
      <c r="E8" s="1" t="s">
        <v>39</v>
      </c>
      <c r="F8" s="1">
        <v>3860</v>
      </c>
      <c r="G8" s="1">
        <v>201</v>
      </c>
      <c r="H8" s="1">
        <v>279</v>
      </c>
      <c r="I8" s="1">
        <v>61760</v>
      </c>
      <c r="J8" s="1">
        <v>61660</v>
      </c>
      <c r="K8" s="1">
        <v>235</v>
      </c>
      <c r="L8" s="1" t="s">
        <v>25</v>
      </c>
      <c r="M8" s="1" t="s">
        <v>359</v>
      </c>
      <c r="N8" s="1" t="s">
        <v>359</v>
      </c>
      <c r="O8" s="8" t="s">
        <v>21</v>
      </c>
    </row>
    <row r="9" spans="1:15" x14ac:dyDescent="0.3">
      <c r="A9" s="6" t="s">
        <v>40</v>
      </c>
      <c r="B9" s="1" t="s">
        <v>23</v>
      </c>
      <c r="C9" s="7">
        <v>45486</v>
      </c>
      <c r="D9" s="1" t="s">
        <v>41</v>
      </c>
      <c r="E9" s="1" t="s">
        <v>42</v>
      </c>
      <c r="F9" s="1">
        <v>3929</v>
      </c>
      <c r="G9" s="1">
        <v>262</v>
      </c>
      <c r="H9" s="1">
        <v>278</v>
      </c>
      <c r="I9" s="1">
        <v>43219</v>
      </c>
      <c r="J9" s="1">
        <v>42841</v>
      </c>
      <c r="K9" s="1">
        <v>39</v>
      </c>
      <c r="L9" s="1" t="s">
        <v>31</v>
      </c>
      <c r="M9" s="1" t="s">
        <v>359</v>
      </c>
      <c r="N9" s="1" t="s">
        <v>359</v>
      </c>
      <c r="O9" s="8" t="s">
        <v>32</v>
      </c>
    </row>
    <row r="10" spans="1:15" x14ac:dyDescent="0.3">
      <c r="A10" s="6" t="s">
        <v>43</v>
      </c>
      <c r="B10" s="1" t="s">
        <v>35</v>
      </c>
      <c r="C10" s="7">
        <v>45534</v>
      </c>
      <c r="D10" s="1" t="s">
        <v>19</v>
      </c>
      <c r="E10" s="1" t="s">
        <v>44</v>
      </c>
      <c r="F10" s="1">
        <v>3784</v>
      </c>
      <c r="G10" s="1">
        <v>808</v>
      </c>
      <c r="H10" s="1">
        <v>404</v>
      </c>
      <c r="I10" s="1">
        <v>56760</v>
      </c>
      <c r="J10" s="1">
        <v>56343</v>
      </c>
      <c r="K10" s="1">
        <v>131</v>
      </c>
      <c r="L10" s="1" t="s">
        <v>25</v>
      </c>
      <c r="M10" s="1" t="s">
        <v>359</v>
      </c>
      <c r="N10" s="1" t="s">
        <v>359</v>
      </c>
      <c r="O10" s="8" t="s">
        <v>21</v>
      </c>
    </row>
    <row r="11" spans="1:15" x14ac:dyDescent="0.3">
      <c r="A11" s="6" t="s">
        <v>45</v>
      </c>
      <c r="B11" s="1" t="s">
        <v>35</v>
      </c>
      <c r="C11" s="7">
        <v>45727</v>
      </c>
      <c r="D11" s="1" t="s">
        <v>41</v>
      </c>
      <c r="E11" s="1" t="s">
        <v>46</v>
      </c>
      <c r="F11" s="1">
        <v>4241</v>
      </c>
      <c r="G11" s="1">
        <v>902</v>
      </c>
      <c r="H11" s="1">
        <v>47</v>
      </c>
      <c r="I11" s="1">
        <v>72097</v>
      </c>
      <c r="J11" s="1">
        <v>71598</v>
      </c>
      <c r="K11" s="1">
        <v>167</v>
      </c>
      <c r="L11" s="1" t="s">
        <v>25</v>
      </c>
      <c r="M11" s="1" t="s">
        <v>359</v>
      </c>
      <c r="N11" s="1" t="s">
        <v>359</v>
      </c>
      <c r="O11" s="8" t="s">
        <v>21</v>
      </c>
    </row>
    <row r="12" spans="1:15" x14ac:dyDescent="0.3">
      <c r="A12" s="6" t="s">
        <v>47</v>
      </c>
      <c r="B12" s="1" t="s">
        <v>28</v>
      </c>
      <c r="C12" s="7">
        <v>45690</v>
      </c>
      <c r="D12" s="1" t="s">
        <v>29</v>
      </c>
      <c r="E12" s="1" t="s">
        <v>30</v>
      </c>
      <c r="F12" s="1">
        <v>1792</v>
      </c>
      <c r="G12" s="1">
        <v>614</v>
      </c>
      <c r="H12" s="1">
        <v>497</v>
      </c>
      <c r="I12" s="1">
        <v>25088</v>
      </c>
      <c r="J12" s="1">
        <v>24675</v>
      </c>
      <c r="K12" s="1">
        <v>65</v>
      </c>
      <c r="L12" s="1" t="s">
        <v>48</v>
      </c>
      <c r="M12" s="1" t="s">
        <v>359</v>
      </c>
      <c r="N12" s="1" t="s">
        <v>359</v>
      </c>
      <c r="O12" s="8" t="s">
        <v>32</v>
      </c>
    </row>
    <row r="13" spans="1:15" x14ac:dyDescent="0.3">
      <c r="A13" s="6" t="s">
        <v>49</v>
      </c>
      <c r="B13" s="1" t="s">
        <v>35</v>
      </c>
      <c r="C13" s="7">
        <v>45494</v>
      </c>
      <c r="D13" s="1" t="s">
        <v>15</v>
      </c>
      <c r="E13" s="1" t="s">
        <v>50</v>
      </c>
      <c r="F13" s="1">
        <v>1946</v>
      </c>
      <c r="G13" s="1">
        <v>686</v>
      </c>
      <c r="H13" s="1">
        <v>377</v>
      </c>
      <c r="I13" s="1">
        <v>23352</v>
      </c>
      <c r="J13" s="1">
        <v>22982</v>
      </c>
      <c r="K13" s="1">
        <v>213</v>
      </c>
      <c r="L13" s="1" t="s">
        <v>48</v>
      </c>
      <c r="M13" s="1" t="s">
        <v>359</v>
      </c>
      <c r="N13" s="1" t="s">
        <v>359</v>
      </c>
      <c r="O13" s="8" t="s">
        <v>26</v>
      </c>
    </row>
    <row r="14" spans="1:15" x14ac:dyDescent="0.3">
      <c r="A14" s="6" t="s">
        <v>51</v>
      </c>
      <c r="B14" s="1" t="s">
        <v>23</v>
      </c>
      <c r="C14" s="7">
        <v>45614</v>
      </c>
      <c r="D14" s="1" t="s">
        <v>36</v>
      </c>
      <c r="E14" s="1" t="s">
        <v>52</v>
      </c>
      <c r="F14" s="1">
        <v>1171</v>
      </c>
      <c r="G14" s="1">
        <v>286</v>
      </c>
      <c r="H14" s="1">
        <v>231</v>
      </c>
      <c r="I14" s="1">
        <v>22249</v>
      </c>
      <c r="J14" s="1">
        <v>21282</v>
      </c>
      <c r="K14" s="1">
        <v>114</v>
      </c>
      <c r="L14" s="1" t="s">
        <v>31</v>
      </c>
      <c r="M14" s="1" t="s">
        <v>359</v>
      </c>
      <c r="N14" s="1" t="s">
        <v>359</v>
      </c>
      <c r="O14" s="8" t="s">
        <v>17</v>
      </c>
    </row>
    <row r="15" spans="1:15" x14ac:dyDescent="0.3">
      <c r="A15" s="6" t="s">
        <v>53</v>
      </c>
      <c r="B15" s="1" t="s">
        <v>35</v>
      </c>
      <c r="C15" s="7">
        <v>45704</v>
      </c>
      <c r="D15" s="1" t="s">
        <v>29</v>
      </c>
      <c r="E15" s="1" t="s">
        <v>54</v>
      </c>
      <c r="F15" s="1">
        <v>4242</v>
      </c>
      <c r="G15" s="1">
        <v>555</v>
      </c>
      <c r="H15" s="1">
        <v>131</v>
      </c>
      <c r="I15" s="1">
        <v>33936</v>
      </c>
      <c r="J15" s="1">
        <v>33802</v>
      </c>
      <c r="K15" s="1">
        <v>265</v>
      </c>
      <c r="L15" s="1" t="s">
        <v>48</v>
      </c>
      <c r="M15" s="1" t="s">
        <v>359</v>
      </c>
      <c r="N15" s="1" t="s">
        <v>359</v>
      </c>
      <c r="O15" s="8" t="s">
        <v>360</v>
      </c>
    </row>
    <row r="16" spans="1:15" x14ac:dyDescent="0.3">
      <c r="A16" s="6" t="s">
        <v>55</v>
      </c>
      <c r="B16" s="1" t="s">
        <v>35</v>
      </c>
      <c r="C16" s="7">
        <v>45589</v>
      </c>
      <c r="D16" s="1" t="s">
        <v>56</v>
      </c>
      <c r="E16" s="1" t="s">
        <v>57</v>
      </c>
      <c r="F16" s="1">
        <v>3888</v>
      </c>
      <c r="G16" s="1">
        <v>604</v>
      </c>
      <c r="H16" s="1">
        <v>128</v>
      </c>
      <c r="I16" s="1">
        <v>77760</v>
      </c>
      <c r="J16" s="1">
        <v>77167</v>
      </c>
      <c r="K16" s="1">
        <v>20</v>
      </c>
      <c r="L16" s="1" t="s">
        <v>48</v>
      </c>
      <c r="M16" s="1" t="s">
        <v>359</v>
      </c>
      <c r="N16" s="1" t="s">
        <v>359</v>
      </c>
      <c r="O16" s="8" t="s">
        <v>17</v>
      </c>
    </row>
    <row r="17" spans="1:15" x14ac:dyDescent="0.3">
      <c r="A17" s="6" t="s">
        <v>58</v>
      </c>
      <c r="B17" s="1" t="s">
        <v>35</v>
      </c>
      <c r="C17" s="7">
        <v>45530</v>
      </c>
      <c r="D17" s="1" t="s">
        <v>19</v>
      </c>
      <c r="E17" s="1" t="s">
        <v>44</v>
      </c>
      <c r="F17" s="1">
        <v>3452</v>
      </c>
      <c r="G17" s="1">
        <v>377</v>
      </c>
      <c r="H17" s="1">
        <v>360</v>
      </c>
      <c r="I17" s="1">
        <v>55232</v>
      </c>
      <c r="J17" s="1">
        <v>55075</v>
      </c>
      <c r="K17" s="1">
        <v>87</v>
      </c>
      <c r="L17" s="1" t="s">
        <v>48</v>
      </c>
      <c r="M17" s="1" t="s">
        <v>359</v>
      </c>
      <c r="N17" s="1" t="s">
        <v>359</v>
      </c>
      <c r="O17" s="8" t="s">
        <v>26</v>
      </c>
    </row>
    <row r="18" spans="1:15" x14ac:dyDescent="0.3">
      <c r="A18" s="6" t="s">
        <v>59</v>
      </c>
      <c r="B18" s="1" t="s">
        <v>35</v>
      </c>
      <c r="C18" s="7">
        <v>45782</v>
      </c>
      <c r="D18" s="1" t="s">
        <v>19</v>
      </c>
      <c r="E18" s="1" t="s">
        <v>44</v>
      </c>
      <c r="F18" s="1">
        <v>4441</v>
      </c>
      <c r="G18" s="1">
        <v>511</v>
      </c>
      <c r="H18" s="1">
        <v>70</v>
      </c>
      <c r="I18" s="1">
        <v>53292</v>
      </c>
      <c r="J18" s="1">
        <v>53082</v>
      </c>
      <c r="K18" s="1">
        <v>159</v>
      </c>
      <c r="L18" s="1" t="s">
        <v>31</v>
      </c>
      <c r="M18" s="1" t="s">
        <v>359</v>
      </c>
      <c r="N18" s="1" t="s">
        <v>359</v>
      </c>
      <c r="O18" s="8" t="s">
        <v>32</v>
      </c>
    </row>
    <row r="19" spans="1:15" x14ac:dyDescent="0.3">
      <c r="A19" s="6" t="s">
        <v>60</v>
      </c>
      <c r="B19" s="1" t="s">
        <v>28</v>
      </c>
      <c r="C19" s="7">
        <v>45523</v>
      </c>
      <c r="D19" s="1" t="s">
        <v>15</v>
      </c>
      <c r="E19" s="1" t="s">
        <v>61</v>
      </c>
      <c r="F19" s="1">
        <v>3000</v>
      </c>
      <c r="G19" s="1">
        <v>382</v>
      </c>
      <c r="H19" s="1">
        <v>325</v>
      </c>
      <c r="I19" s="1">
        <v>36000</v>
      </c>
      <c r="J19" s="1">
        <v>35819</v>
      </c>
      <c r="K19" s="1">
        <v>19</v>
      </c>
      <c r="L19" s="1" t="s">
        <v>48</v>
      </c>
      <c r="M19" s="1" t="s">
        <v>359</v>
      </c>
      <c r="N19" s="1" t="s">
        <v>359</v>
      </c>
      <c r="O19" s="8" t="s">
        <v>17</v>
      </c>
    </row>
    <row r="20" spans="1:15" x14ac:dyDescent="0.3">
      <c r="A20" s="6" t="s">
        <v>62</v>
      </c>
      <c r="B20" s="1" t="s">
        <v>28</v>
      </c>
      <c r="C20" s="7">
        <v>45466</v>
      </c>
      <c r="D20" s="1" t="s">
        <v>56</v>
      </c>
      <c r="E20" s="1" t="s">
        <v>63</v>
      </c>
      <c r="F20" s="1">
        <v>1071</v>
      </c>
      <c r="G20" s="1">
        <v>519</v>
      </c>
      <c r="H20" s="1">
        <v>22</v>
      </c>
      <c r="I20" s="1">
        <v>16065</v>
      </c>
      <c r="J20" s="1">
        <v>15865</v>
      </c>
      <c r="K20" s="1">
        <v>103</v>
      </c>
      <c r="L20" s="1" t="s">
        <v>25</v>
      </c>
      <c r="M20" s="1" t="s">
        <v>359</v>
      </c>
      <c r="N20" s="1" t="s">
        <v>359</v>
      </c>
      <c r="O20" s="8" t="s">
        <v>32</v>
      </c>
    </row>
    <row r="21" spans="1:15" x14ac:dyDescent="0.3">
      <c r="A21" s="6" t="s">
        <v>64</v>
      </c>
      <c r="B21" s="1" t="s">
        <v>28</v>
      </c>
      <c r="C21" s="7">
        <v>45544</v>
      </c>
      <c r="D21" s="1" t="s">
        <v>36</v>
      </c>
      <c r="E21" s="1" t="s">
        <v>65</v>
      </c>
      <c r="F21" s="1">
        <v>4054</v>
      </c>
      <c r="G21" s="1">
        <v>488</v>
      </c>
      <c r="H21" s="1">
        <v>373</v>
      </c>
      <c r="I21" s="1">
        <v>77026</v>
      </c>
      <c r="J21" s="1">
        <v>76881</v>
      </c>
      <c r="K21" s="1">
        <v>25</v>
      </c>
      <c r="L21" s="1" t="s">
        <v>25</v>
      </c>
      <c r="M21" s="1" t="s">
        <v>359</v>
      </c>
      <c r="N21" s="1" t="s">
        <v>359</v>
      </c>
      <c r="O21" s="8" t="s">
        <v>17</v>
      </c>
    </row>
    <row r="22" spans="1:15" x14ac:dyDescent="0.3">
      <c r="A22" s="6" t="s">
        <v>66</v>
      </c>
      <c r="B22" s="1" t="s">
        <v>28</v>
      </c>
      <c r="C22" s="7">
        <v>45661</v>
      </c>
      <c r="D22" s="1" t="s">
        <v>15</v>
      </c>
      <c r="E22" s="1" t="s">
        <v>61</v>
      </c>
      <c r="F22" s="1">
        <v>4838</v>
      </c>
      <c r="G22" s="1">
        <v>640</v>
      </c>
      <c r="H22" s="1">
        <v>128</v>
      </c>
      <c r="I22" s="1">
        <v>72570</v>
      </c>
      <c r="J22" s="1">
        <v>72396</v>
      </c>
      <c r="K22" s="1">
        <v>83</v>
      </c>
      <c r="L22" s="1" t="s">
        <v>48</v>
      </c>
      <c r="M22" s="1" t="s">
        <v>359</v>
      </c>
      <c r="N22" s="1" t="s">
        <v>359</v>
      </c>
      <c r="O22" s="8" t="s">
        <v>32</v>
      </c>
    </row>
    <row r="23" spans="1:15" x14ac:dyDescent="0.3">
      <c r="A23" s="6" t="s">
        <v>67</v>
      </c>
      <c r="B23" s="1" t="s">
        <v>35</v>
      </c>
      <c r="C23" s="7">
        <v>45715</v>
      </c>
      <c r="D23" s="1" t="s">
        <v>19</v>
      </c>
      <c r="E23" s="1" t="s">
        <v>44</v>
      </c>
      <c r="F23" s="1">
        <v>1570</v>
      </c>
      <c r="G23" s="1">
        <v>187</v>
      </c>
      <c r="H23" s="1">
        <v>260</v>
      </c>
      <c r="I23" s="1">
        <v>25120</v>
      </c>
      <c r="J23" s="1">
        <v>24613</v>
      </c>
      <c r="K23" s="1">
        <v>133</v>
      </c>
      <c r="L23" s="1" t="s">
        <v>25</v>
      </c>
      <c r="M23" s="1" t="s">
        <v>359</v>
      </c>
      <c r="N23" s="1" t="s">
        <v>359</v>
      </c>
      <c r="O23" s="8" t="s">
        <v>32</v>
      </c>
    </row>
    <row r="24" spans="1:15" x14ac:dyDescent="0.3">
      <c r="A24" s="6" t="s">
        <v>68</v>
      </c>
      <c r="B24" s="1" t="s">
        <v>35</v>
      </c>
      <c r="C24" s="7">
        <v>45602</v>
      </c>
      <c r="D24" s="1" t="s">
        <v>56</v>
      </c>
      <c r="E24" s="1" t="s">
        <v>57</v>
      </c>
      <c r="F24" s="1">
        <v>1606</v>
      </c>
      <c r="G24" s="1">
        <v>547</v>
      </c>
      <c r="H24" s="1">
        <v>316</v>
      </c>
      <c r="I24" s="1">
        <v>32120</v>
      </c>
      <c r="J24" s="1">
        <v>31736</v>
      </c>
      <c r="K24" s="1">
        <v>225</v>
      </c>
      <c r="L24" s="1" t="s">
        <v>25</v>
      </c>
      <c r="M24" s="1" t="s">
        <v>354</v>
      </c>
      <c r="N24" s="1" t="s">
        <v>359</v>
      </c>
      <c r="O24" s="8" t="s">
        <v>21</v>
      </c>
    </row>
    <row r="25" spans="1:15" x14ac:dyDescent="0.3">
      <c r="A25" s="6" t="s">
        <v>69</v>
      </c>
      <c r="B25" s="1" t="s">
        <v>35</v>
      </c>
      <c r="C25" s="7">
        <v>45680</v>
      </c>
      <c r="D25" s="1" t="s">
        <v>56</v>
      </c>
      <c r="E25" s="1" t="s">
        <v>57</v>
      </c>
      <c r="F25" s="1">
        <v>3961</v>
      </c>
      <c r="G25" s="1">
        <v>761</v>
      </c>
      <c r="H25" s="1">
        <v>131</v>
      </c>
      <c r="I25" s="1">
        <v>67337</v>
      </c>
      <c r="J25" s="1">
        <v>66615</v>
      </c>
      <c r="K25" s="1">
        <v>161</v>
      </c>
      <c r="L25" s="1" t="s">
        <v>48</v>
      </c>
      <c r="M25" s="1" t="s">
        <v>359</v>
      </c>
      <c r="N25" s="1" t="s">
        <v>359</v>
      </c>
      <c r="O25" s="8" t="s">
        <v>26</v>
      </c>
    </row>
    <row r="26" spans="1:15" x14ac:dyDescent="0.3">
      <c r="A26" s="6" t="s">
        <v>70</v>
      </c>
      <c r="B26" s="1" t="s">
        <v>14</v>
      </c>
      <c r="C26" s="7">
        <v>45757</v>
      </c>
      <c r="D26" s="1" t="s">
        <v>36</v>
      </c>
      <c r="E26" s="1" t="s">
        <v>39</v>
      </c>
      <c r="F26" s="1">
        <v>3128</v>
      </c>
      <c r="G26" s="1">
        <v>211</v>
      </c>
      <c r="H26" s="1">
        <v>197</v>
      </c>
      <c r="I26" s="1">
        <v>59432</v>
      </c>
      <c r="J26" s="1">
        <v>59182</v>
      </c>
      <c r="K26" s="1">
        <v>238</v>
      </c>
      <c r="L26" s="1" t="s">
        <v>31</v>
      </c>
      <c r="M26" s="1" t="s">
        <v>359</v>
      </c>
      <c r="N26" s="1" t="s">
        <v>359</v>
      </c>
      <c r="O26" s="8" t="s">
        <v>360</v>
      </c>
    </row>
    <row r="27" spans="1:15" x14ac:dyDescent="0.3">
      <c r="A27" s="6" t="s">
        <v>71</v>
      </c>
      <c r="B27" s="1" t="s">
        <v>23</v>
      </c>
      <c r="C27" s="7">
        <v>45752</v>
      </c>
      <c r="D27" s="1" t="s">
        <v>15</v>
      </c>
      <c r="E27" s="1" t="s">
        <v>24</v>
      </c>
      <c r="F27" s="1">
        <v>3009</v>
      </c>
      <c r="G27" s="1">
        <v>413</v>
      </c>
      <c r="H27" s="1">
        <v>358</v>
      </c>
      <c r="I27" s="1">
        <v>42126</v>
      </c>
      <c r="J27" s="1">
        <v>41309</v>
      </c>
      <c r="K27" s="1">
        <v>211</v>
      </c>
      <c r="L27" s="1" t="s">
        <v>48</v>
      </c>
      <c r="M27" s="1" t="s">
        <v>359</v>
      </c>
      <c r="N27" s="1" t="s">
        <v>359</v>
      </c>
      <c r="O27" s="8" t="s">
        <v>21</v>
      </c>
    </row>
    <row r="28" spans="1:15" x14ac:dyDescent="0.3">
      <c r="A28" s="6" t="s">
        <v>72</v>
      </c>
      <c r="B28" s="1" t="s">
        <v>23</v>
      </c>
      <c r="C28" s="7">
        <v>45552</v>
      </c>
      <c r="D28" s="1" t="s">
        <v>19</v>
      </c>
      <c r="E28" s="1" t="s">
        <v>73</v>
      </c>
      <c r="F28" s="1">
        <v>2076</v>
      </c>
      <c r="G28" s="1">
        <v>195</v>
      </c>
      <c r="H28" s="1">
        <v>104</v>
      </c>
      <c r="I28" s="1">
        <v>33216</v>
      </c>
      <c r="J28" s="1">
        <v>32244</v>
      </c>
      <c r="K28" s="1">
        <v>51</v>
      </c>
      <c r="L28" s="1" t="s">
        <v>48</v>
      </c>
      <c r="M28" s="1" t="s">
        <v>359</v>
      </c>
      <c r="N28" s="1" t="s">
        <v>359</v>
      </c>
      <c r="O28" s="8" t="s">
        <v>32</v>
      </c>
    </row>
    <row r="29" spans="1:15" x14ac:dyDescent="0.3">
      <c r="A29" s="6" t="s">
        <v>74</v>
      </c>
      <c r="B29" s="1" t="s">
        <v>28</v>
      </c>
      <c r="C29" s="7">
        <v>45720</v>
      </c>
      <c r="D29" s="1" t="s">
        <v>56</v>
      </c>
      <c r="E29" s="1" t="s">
        <v>63</v>
      </c>
      <c r="F29" s="1">
        <v>432</v>
      </c>
      <c r="G29" s="1">
        <v>624</v>
      </c>
      <c r="H29" s="1">
        <v>123</v>
      </c>
      <c r="I29" s="1">
        <v>6912</v>
      </c>
      <c r="J29" s="1">
        <v>6259</v>
      </c>
      <c r="K29" s="1">
        <v>79</v>
      </c>
      <c r="L29" s="1" t="s">
        <v>48</v>
      </c>
      <c r="M29" s="1" t="s">
        <v>359</v>
      </c>
      <c r="N29" s="1" t="s">
        <v>359</v>
      </c>
      <c r="O29" s="8" t="s">
        <v>32</v>
      </c>
    </row>
    <row r="30" spans="1:15" x14ac:dyDescent="0.3">
      <c r="A30" s="6" t="s">
        <v>75</v>
      </c>
      <c r="B30" s="1" t="s">
        <v>28</v>
      </c>
      <c r="C30" s="7">
        <v>45688</v>
      </c>
      <c r="D30" s="1" t="s">
        <v>36</v>
      </c>
      <c r="E30" s="1" t="s">
        <v>65</v>
      </c>
      <c r="F30" s="1">
        <v>2566</v>
      </c>
      <c r="G30" s="1">
        <v>118</v>
      </c>
      <c r="H30" s="1">
        <v>37</v>
      </c>
      <c r="I30" s="1">
        <v>12830</v>
      </c>
      <c r="J30" s="1">
        <v>12264</v>
      </c>
      <c r="K30" s="1">
        <v>221</v>
      </c>
      <c r="L30" s="1" t="s">
        <v>48</v>
      </c>
      <c r="M30" s="1" t="s">
        <v>359</v>
      </c>
      <c r="N30" s="1" t="s">
        <v>359</v>
      </c>
      <c r="O30" s="8" t="s">
        <v>26</v>
      </c>
    </row>
    <row r="31" spans="1:15" x14ac:dyDescent="0.3">
      <c r="A31" s="6" t="s">
        <v>76</v>
      </c>
      <c r="B31" s="1" t="s">
        <v>28</v>
      </c>
      <c r="C31" s="7">
        <v>45713</v>
      </c>
      <c r="D31" s="1" t="s">
        <v>56</v>
      </c>
      <c r="E31" s="1" t="s">
        <v>63</v>
      </c>
      <c r="F31" s="1">
        <v>3095</v>
      </c>
      <c r="G31" s="1">
        <v>39</v>
      </c>
      <c r="H31" s="1">
        <v>78</v>
      </c>
      <c r="I31" s="1">
        <v>55710</v>
      </c>
      <c r="J31" s="1">
        <v>54808</v>
      </c>
      <c r="K31" s="1">
        <v>93</v>
      </c>
      <c r="L31" s="1" t="s">
        <v>31</v>
      </c>
      <c r="M31" s="1" t="s">
        <v>359</v>
      </c>
      <c r="N31" s="1" t="s">
        <v>359</v>
      </c>
      <c r="O31" s="8" t="s">
        <v>360</v>
      </c>
    </row>
    <row r="32" spans="1:15" x14ac:dyDescent="0.3">
      <c r="A32" s="6" t="s">
        <v>77</v>
      </c>
      <c r="B32" s="1" t="s">
        <v>28</v>
      </c>
      <c r="C32" s="7">
        <v>45642</v>
      </c>
      <c r="D32" s="1" t="s">
        <v>19</v>
      </c>
      <c r="E32" s="1" t="s">
        <v>78</v>
      </c>
      <c r="F32" s="1">
        <v>438</v>
      </c>
      <c r="G32" s="1">
        <v>153</v>
      </c>
      <c r="H32" s="1">
        <v>275</v>
      </c>
      <c r="I32" s="1">
        <v>3066</v>
      </c>
      <c r="J32" s="1">
        <v>2701</v>
      </c>
      <c r="K32" s="1">
        <v>282</v>
      </c>
      <c r="L32" s="1" t="s">
        <v>25</v>
      </c>
      <c r="M32" s="1" t="s">
        <v>359</v>
      </c>
      <c r="N32" s="1" t="s">
        <v>359</v>
      </c>
      <c r="O32" s="8" t="s">
        <v>21</v>
      </c>
    </row>
    <row r="33" spans="1:15" x14ac:dyDescent="0.3">
      <c r="A33" s="6" t="s">
        <v>79</v>
      </c>
      <c r="B33" s="1" t="s">
        <v>14</v>
      </c>
      <c r="C33" s="7">
        <v>45504</v>
      </c>
      <c r="D33" s="1" t="s">
        <v>36</v>
      </c>
      <c r="E33" s="1" t="s">
        <v>39</v>
      </c>
      <c r="F33" s="1">
        <v>2278</v>
      </c>
      <c r="G33" s="1">
        <v>10</v>
      </c>
      <c r="H33" s="1">
        <v>321</v>
      </c>
      <c r="I33" s="1">
        <v>13668</v>
      </c>
      <c r="J33" s="1">
        <v>12676</v>
      </c>
      <c r="K33" s="1">
        <v>275</v>
      </c>
      <c r="L33" s="1" t="s">
        <v>31</v>
      </c>
      <c r="M33" s="1" t="s">
        <v>359</v>
      </c>
      <c r="N33" s="1" t="s">
        <v>359</v>
      </c>
      <c r="O33" s="8" t="s">
        <v>17</v>
      </c>
    </row>
    <row r="34" spans="1:15" x14ac:dyDescent="0.3">
      <c r="A34" s="6" t="s">
        <v>80</v>
      </c>
      <c r="B34" s="1" t="s">
        <v>35</v>
      </c>
      <c r="C34" s="7">
        <v>45525</v>
      </c>
      <c r="D34" s="1" t="s">
        <v>41</v>
      </c>
      <c r="E34" s="1" t="s">
        <v>46</v>
      </c>
      <c r="F34" s="1">
        <v>1407</v>
      </c>
      <c r="G34" s="1">
        <v>400</v>
      </c>
      <c r="H34" s="1">
        <v>351</v>
      </c>
      <c r="I34" s="1">
        <v>16884</v>
      </c>
      <c r="J34" s="1">
        <v>15954</v>
      </c>
      <c r="K34" s="1">
        <v>113</v>
      </c>
      <c r="L34" s="1" t="s">
        <v>25</v>
      </c>
      <c r="M34" s="1" t="s">
        <v>359</v>
      </c>
      <c r="N34" s="1" t="s">
        <v>359</v>
      </c>
      <c r="O34" s="8" t="s">
        <v>17</v>
      </c>
    </row>
    <row r="35" spans="1:15" x14ac:dyDescent="0.3">
      <c r="A35" s="6" t="s">
        <v>81</v>
      </c>
      <c r="B35" s="1" t="s">
        <v>35</v>
      </c>
      <c r="C35" s="7">
        <v>45742</v>
      </c>
      <c r="D35" s="1" t="s">
        <v>19</v>
      </c>
      <c r="E35" s="1" t="s">
        <v>44</v>
      </c>
      <c r="F35" s="1">
        <v>1652</v>
      </c>
      <c r="G35" s="1">
        <v>89</v>
      </c>
      <c r="H35" s="1">
        <v>357</v>
      </c>
      <c r="I35" s="1">
        <v>29736</v>
      </c>
      <c r="J35" s="1">
        <v>28771</v>
      </c>
      <c r="K35" s="1">
        <v>215</v>
      </c>
      <c r="L35" s="1" t="s">
        <v>25</v>
      </c>
      <c r="M35" s="1" t="s">
        <v>359</v>
      </c>
      <c r="N35" s="1" t="s">
        <v>359</v>
      </c>
      <c r="O35" s="8" t="s">
        <v>26</v>
      </c>
    </row>
    <row r="36" spans="1:15" x14ac:dyDescent="0.3">
      <c r="A36" s="6" t="s">
        <v>82</v>
      </c>
      <c r="B36" s="1" t="s">
        <v>28</v>
      </c>
      <c r="C36" s="7">
        <v>45626</v>
      </c>
      <c r="D36" s="1" t="s">
        <v>56</v>
      </c>
      <c r="E36" s="1" t="s">
        <v>63</v>
      </c>
      <c r="F36" s="1">
        <v>3775</v>
      </c>
      <c r="G36" s="1">
        <v>16</v>
      </c>
      <c r="H36" s="1">
        <v>239</v>
      </c>
      <c r="I36" s="1">
        <v>33975</v>
      </c>
      <c r="J36" s="1">
        <v>33310</v>
      </c>
      <c r="K36" s="1">
        <v>271</v>
      </c>
      <c r="L36" s="1" t="s">
        <v>48</v>
      </c>
      <c r="M36" s="1" t="s">
        <v>359</v>
      </c>
      <c r="N36" s="1" t="s">
        <v>359</v>
      </c>
      <c r="O36" s="8" t="s">
        <v>21</v>
      </c>
    </row>
    <row r="37" spans="1:15" x14ac:dyDescent="0.3">
      <c r="A37" s="6" t="s">
        <v>83</v>
      </c>
      <c r="B37" s="1" t="s">
        <v>28</v>
      </c>
      <c r="C37" s="7">
        <v>45766</v>
      </c>
      <c r="D37" s="1" t="s">
        <v>29</v>
      </c>
      <c r="E37" s="1" t="s">
        <v>30</v>
      </c>
      <c r="F37" s="1">
        <v>4518</v>
      </c>
      <c r="G37" s="1">
        <v>285</v>
      </c>
      <c r="H37" s="1">
        <v>383</v>
      </c>
      <c r="I37" s="1">
        <v>67770</v>
      </c>
      <c r="J37" s="1">
        <v>67621</v>
      </c>
      <c r="K37" s="1">
        <v>31</v>
      </c>
      <c r="L37" s="1" t="s">
        <v>31</v>
      </c>
      <c r="M37" s="1" t="s">
        <v>359</v>
      </c>
      <c r="N37" s="1" t="s">
        <v>359</v>
      </c>
      <c r="O37" s="8" t="s">
        <v>21</v>
      </c>
    </row>
    <row r="38" spans="1:15" x14ac:dyDescent="0.3">
      <c r="A38" s="6" t="s">
        <v>84</v>
      </c>
      <c r="B38" s="1" t="s">
        <v>35</v>
      </c>
      <c r="C38" s="7">
        <v>45663</v>
      </c>
      <c r="D38" s="1" t="s">
        <v>36</v>
      </c>
      <c r="E38" s="1" t="s">
        <v>37</v>
      </c>
      <c r="F38" s="1">
        <v>3024</v>
      </c>
      <c r="G38" s="1">
        <v>925</v>
      </c>
      <c r="H38" s="1">
        <v>350</v>
      </c>
      <c r="I38" s="1">
        <v>24192</v>
      </c>
      <c r="J38" s="1">
        <v>23518</v>
      </c>
      <c r="K38" s="1">
        <v>36</v>
      </c>
      <c r="L38" s="1" t="s">
        <v>31</v>
      </c>
      <c r="M38" s="1" t="s">
        <v>359</v>
      </c>
      <c r="N38" s="1" t="s">
        <v>359</v>
      </c>
      <c r="O38" s="8" t="s">
        <v>21</v>
      </c>
    </row>
    <row r="39" spans="1:15" x14ac:dyDescent="0.3">
      <c r="A39" s="6" t="s">
        <v>85</v>
      </c>
      <c r="B39" s="1" t="s">
        <v>23</v>
      </c>
      <c r="C39" s="7">
        <v>45705</v>
      </c>
      <c r="D39" s="1" t="s">
        <v>15</v>
      </c>
      <c r="E39" s="1" t="s">
        <v>24</v>
      </c>
      <c r="F39" s="1">
        <v>3138</v>
      </c>
      <c r="G39" s="1">
        <v>123</v>
      </c>
      <c r="H39" s="1">
        <v>291</v>
      </c>
      <c r="I39" s="1">
        <v>28242</v>
      </c>
      <c r="J39" s="1">
        <v>27550</v>
      </c>
      <c r="K39" s="1">
        <v>87</v>
      </c>
      <c r="L39" s="1" t="s">
        <v>25</v>
      </c>
      <c r="M39" s="1" t="s">
        <v>359</v>
      </c>
      <c r="N39" s="1" t="s">
        <v>359</v>
      </c>
      <c r="O39" s="8" t="s">
        <v>32</v>
      </c>
    </row>
    <row r="40" spans="1:15" x14ac:dyDescent="0.3">
      <c r="A40" s="6" t="s">
        <v>86</v>
      </c>
      <c r="B40" s="1" t="s">
        <v>35</v>
      </c>
      <c r="C40" s="7">
        <v>45621</v>
      </c>
      <c r="D40" s="1" t="s">
        <v>41</v>
      </c>
      <c r="E40" s="1" t="s">
        <v>46</v>
      </c>
      <c r="F40" s="1">
        <v>3564</v>
      </c>
      <c r="G40" s="1">
        <v>629</v>
      </c>
      <c r="H40" s="1">
        <v>177</v>
      </c>
      <c r="I40" s="1">
        <v>60588</v>
      </c>
      <c r="J40" s="1">
        <v>59627</v>
      </c>
      <c r="K40" s="1">
        <v>92</v>
      </c>
      <c r="L40" s="1" t="s">
        <v>25</v>
      </c>
      <c r="M40" s="1" t="s">
        <v>359</v>
      </c>
      <c r="N40" s="1" t="s">
        <v>359</v>
      </c>
      <c r="O40" s="8" t="s">
        <v>360</v>
      </c>
    </row>
    <row r="41" spans="1:15" x14ac:dyDescent="0.3">
      <c r="A41" s="6" t="s">
        <v>87</v>
      </c>
      <c r="B41" s="1" t="s">
        <v>14</v>
      </c>
      <c r="C41" s="7">
        <v>45723</v>
      </c>
      <c r="D41" s="1" t="s">
        <v>41</v>
      </c>
      <c r="E41" s="1" t="s">
        <v>88</v>
      </c>
      <c r="F41" s="1">
        <v>4750</v>
      </c>
      <c r="G41" s="1">
        <v>151</v>
      </c>
      <c r="H41" s="1">
        <v>415</v>
      </c>
      <c r="I41" s="1">
        <v>38000</v>
      </c>
      <c r="J41" s="1">
        <v>37792</v>
      </c>
      <c r="K41" s="1">
        <v>299</v>
      </c>
      <c r="L41" s="1" t="s">
        <v>31</v>
      </c>
      <c r="M41" s="1" t="s">
        <v>359</v>
      </c>
      <c r="N41" s="1" t="s">
        <v>359</v>
      </c>
      <c r="O41" s="8" t="s">
        <v>32</v>
      </c>
    </row>
    <row r="42" spans="1:15" x14ac:dyDescent="0.3">
      <c r="A42" s="6" t="s">
        <v>89</v>
      </c>
      <c r="B42" s="1" t="s">
        <v>28</v>
      </c>
      <c r="C42" s="7">
        <v>45724</v>
      </c>
      <c r="D42" s="1" t="s">
        <v>15</v>
      </c>
      <c r="E42" s="1" t="s">
        <v>61</v>
      </c>
      <c r="F42" s="1">
        <v>456</v>
      </c>
      <c r="G42" s="1">
        <v>629</v>
      </c>
      <c r="H42" s="1">
        <v>428</v>
      </c>
      <c r="I42" s="1">
        <v>8208</v>
      </c>
      <c r="J42" s="1">
        <v>7377</v>
      </c>
      <c r="K42" s="1">
        <v>205</v>
      </c>
      <c r="L42" s="1" t="s">
        <v>48</v>
      </c>
      <c r="M42" s="1" t="s">
        <v>359</v>
      </c>
      <c r="N42" s="1" t="s">
        <v>359</v>
      </c>
      <c r="O42" s="8" t="s">
        <v>32</v>
      </c>
    </row>
    <row r="43" spans="1:15" x14ac:dyDescent="0.3">
      <c r="A43" s="6" t="s">
        <v>90</v>
      </c>
      <c r="B43" s="1" t="s">
        <v>23</v>
      </c>
      <c r="C43" s="7">
        <v>45721</v>
      </c>
      <c r="D43" s="1" t="s">
        <v>15</v>
      </c>
      <c r="E43" s="1" t="s">
        <v>24</v>
      </c>
      <c r="F43" s="1">
        <v>1543</v>
      </c>
      <c r="G43" s="1">
        <v>820</v>
      </c>
      <c r="H43" s="1">
        <v>333</v>
      </c>
      <c r="I43" s="1">
        <v>12344</v>
      </c>
      <c r="J43" s="1">
        <v>11496</v>
      </c>
      <c r="K43" s="1">
        <v>241</v>
      </c>
      <c r="L43" s="1" t="s">
        <v>31</v>
      </c>
      <c r="M43" s="1" t="s">
        <v>359</v>
      </c>
      <c r="N43" s="1" t="s">
        <v>359</v>
      </c>
      <c r="O43" s="8" t="s">
        <v>360</v>
      </c>
    </row>
    <row r="44" spans="1:15" x14ac:dyDescent="0.3">
      <c r="A44" s="6" t="s">
        <v>91</v>
      </c>
      <c r="B44" s="1" t="s">
        <v>28</v>
      </c>
      <c r="C44" s="7">
        <v>45640</v>
      </c>
      <c r="D44" s="1" t="s">
        <v>36</v>
      </c>
      <c r="E44" s="1" t="s">
        <v>65</v>
      </c>
      <c r="F44" s="1">
        <v>2174</v>
      </c>
      <c r="G44" s="1">
        <v>658</v>
      </c>
      <c r="H44" s="1">
        <v>15</v>
      </c>
      <c r="I44" s="1">
        <v>13044</v>
      </c>
      <c r="J44" s="1">
        <v>12206</v>
      </c>
      <c r="K44" s="1">
        <v>137</v>
      </c>
      <c r="L44" s="1" t="s">
        <v>25</v>
      </c>
      <c r="M44" s="1" t="s">
        <v>359</v>
      </c>
      <c r="N44" s="1" t="s">
        <v>359</v>
      </c>
      <c r="O44" s="8" t="s">
        <v>26</v>
      </c>
    </row>
    <row r="45" spans="1:15" x14ac:dyDescent="0.3">
      <c r="A45" s="6" t="s">
        <v>92</v>
      </c>
      <c r="B45" s="1" t="s">
        <v>14</v>
      </c>
      <c r="C45" s="7">
        <v>45718</v>
      </c>
      <c r="D45" s="1" t="s">
        <v>41</v>
      </c>
      <c r="E45" s="1" t="s">
        <v>88</v>
      </c>
      <c r="F45" s="1">
        <v>2358</v>
      </c>
      <c r="G45" s="1">
        <v>784</v>
      </c>
      <c r="H45" s="1">
        <v>344</v>
      </c>
      <c r="I45" s="1">
        <v>35370</v>
      </c>
      <c r="J45" s="1">
        <v>34475</v>
      </c>
      <c r="K45" s="1">
        <v>216</v>
      </c>
      <c r="L45" s="1" t="s">
        <v>25</v>
      </c>
      <c r="M45" s="1" t="s">
        <v>359</v>
      </c>
      <c r="N45" s="1" t="s">
        <v>359</v>
      </c>
      <c r="O45" s="8" t="s">
        <v>360</v>
      </c>
    </row>
    <row r="46" spans="1:15" x14ac:dyDescent="0.3">
      <c r="A46" s="6" t="s">
        <v>93</v>
      </c>
      <c r="B46" s="1" t="s">
        <v>35</v>
      </c>
      <c r="C46" s="7">
        <v>45597</v>
      </c>
      <c r="D46" s="1" t="s">
        <v>56</v>
      </c>
      <c r="E46" s="1" t="s">
        <v>57</v>
      </c>
      <c r="F46" s="1">
        <v>3371</v>
      </c>
      <c r="G46" s="1">
        <v>106</v>
      </c>
      <c r="H46" s="1">
        <v>327</v>
      </c>
      <c r="I46" s="1">
        <v>50565</v>
      </c>
      <c r="J46" s="1">
        <v>49816</v>
      </c>
      <c r="K46" s="1">
        <v>176</v>
      </c>
      <c r="L46" s="1" t="s">
        <v>48</v>
      </c>
      <c r="M46" s="1" t="s">
        <v>359</v>
      </c>
      <c r="N46" s="1" t="s">
        <v>359</v>
      </c>
      <c r="O46" s="8" t="s">
        <v>17</v>
      </c>
    </row>
    <row r="47" spans="1:15" x14ac:dyDescent="0.3">
      <c r="A47" s="6" t="s">
        <v>94</v>
      </c>
      <c r="B47" s="1" t="s">
        <v>14</v>
      </c>
      <c r="C47" s="7">
        <v>45779</v>
      </c>
      <c r="D47" s="1" t="s">
        <v>56</v>
      </c>
      <c r="E47" s="1" t="s">
        <v>95</v>
      </c>
      <c r="F47" s="1">
        <v>1108</v>
      </c>
      <c r="G47" s="1">
        <v>177</v>
      </c>
      <c r="H47" s="1">
        <v>212</v>
      </c>
      <c r="I47" s="1">
        <v>8864</v>
      </c>
      <c r="J47" s="1">
        <v>8710</v>
      </c>
      <c r="K47" s="1">
        <v>97</v>
      </c>
      <c r="L47" s="1" t="s">
        <v>25</v>
      </c>
      <c r="M47" s="1" t="s">
        <v>359</v>
      </c>
      <c r="N47" s="1" t="s">
        <v>359</v>
      </c>
      <c r="O47" s="8" t="s">
        <v>32</v>
      </c>
    </row>
    <row r="48" spans="1:15" x14ac:dyDescent="0.3">
      <c r="A48" s="6" t="s">
        <v>96</v>
      </c>
      <c r="B48" s="1" t="s">
        <v>14</v>
      </c>
      <c r="C48" s="7">
        <v>45712</v>
      </c>
      <c r="D48" s="1" t="s">
        <v>36</v>
      </c>
      <c r="E48" s="1" t="s">
        <v>39</v>
      </c>
      <c r="F48" s="1">
        <v>2704</v>
      </c>
      <c r="G48" s="1">
        <v>752</v>
      </c>
      <c r="H48" s="1">
        <v>153</v>
      </c>
      <c r="I48" s="1">
        <v>21632</v>
      </c>
      <c r="J48" s="1">
        <v>20792</v>
      </c>
      <c r="K48" s="1">
        <v>127</v>
      </c>
      <c r="L48" s="1" t="s">
        <v>48</v>
      </c>
      <c r="M48" s="1" t="s">
        <v>359</v>
      </c>
      <c r="N48" s="1" t="s">
        <v>359</v>
      </c>
      <c r="O48" s="8" t="s">
        <v>360</v>
      </c>
    </row>
    <row r="49" spans="1:15" x14ac:dyDescent="0.3">
      <c r="A49" s="6" t="s">
        <v>97</v>
      </c>
      <c r="B49" s="1" t="s">
        <v>14</v>
      </c>
      <c r="C49" s="7">
        <v>45727</v>
      </c>
      <c r="D49" s="1" t="s">
        <v>29</v>
      </c>
      <c r="E49" s="1" t="s">
        <v>98</v>
      </c>
      <c r="F49" s="1">
        <v>1950</v>
      </c>
      <c r="G49" s="1">
        <v>295</v>
      </c>
      <c r="H49" s="1">
        <v>478</v>
      </c>
      <c r="I49" s="1">
        <v>37050</v>
      </c>
      <c r="J49" s="1">
        <v>36272</v>
      </c>
      <c r="K49" s="1">
        <v>119</v>
      </c>
      <c r="L49" s="1" t="s">
        <v>25</v>
      </c>
      <c r="M49" s="1" t="s">
        <v>359</v>
      </c>
      <c r="N49" s="1" t="s">
        <v>359</v>
      </c>
      <c r="O49" s="8" t="s">
        <v>360</v>
      </c>
    </row>
    <row r="50" spans="1:15" x14ac:dyDescent="0.3">
      <c r="A50" s="6" t="s">
        <v>99</v>
      </c>
      <c r="B50" s="1" t="s">
        <v>14</v>
      </c>
      <c r="C50" s="7">
        <v>45453</v>
      </c>
      <c r="D50" s="1" t="s">
        <v>29</v>
      </c>
      <c r="E50" s="1" t="s">
        <v>98</v>
      </c>
      <c r="F50" s="1">
        <v>2164</v>
      </c>
      <c r="G50" s="1">
        <v>549</v>
      </c>
      <c r="H50" s="1">
        <v>274</v>
      </c>
      <c r="I50" s="1">
        <v>28132</v>
      </c>
      <c r="J50" s="1">
        <v>27361</v>
      </c>
      <c r="K50" s="1">
        <v>177</v>
      </c>
      <c r="L50" s="1" t="s">
        <v>25</v>
      </c>
      <c r="M50" s="1" t="s">
        <v>359</v>
      </c>
      <c r="N50" s="1" t="s">
        <v>359</v>
      </c>
      <c r="O50" s="8" t="s">
        <v>32</v>
      </c>
    </row>
    <row r="51" spans="1:15" x14ac:dyDescent="0.3">
      <c r="A51" s="6" t="s">
        <v>100</v>
      </c>
      <c r="B51" s="1" t="s">
        <v>23</v>
      </c>
      <c r="C51" s="7">
        <v>45476</v>
      </c>
      <c r="D51" s="1" t="s">
        <v>29</v>
      </c>
      <c r="E51" s="1" t="s">
        <v>101</v>
      </c>
      <c r="F51" s="1">
        <v>2754</v>
      </c>
      <c r="G51" s="1">
        <v>130</v>
      </c>
      <c r="H51" s="1">
        <v>90</v>
      </c>
      <c r="I51" s="1">
        <v>22032</v>
      </c>
      <c r="J51" s="1">
        <v>21288</v>
      </c>
      <c r="K51" s="1">
        <v>112</v>
      </c>
      <c r="L51" s="1" t="s">
        <v>25</v>
      </c>
      <c r="M51" s="1" t="s">
        <v>359</v>
      </c>
      <c r="N51" s="1" t="s">
        <v>359</v>
      </c>
      <c r="O51" s="8" t="s">
        <v>26</v>
      </c>
    </row>
    <row r="52" spans="1:15" x14ac:dyDescent="0.3">
      <c r="A52" s="6" t="s">
        <v>102</v>
      </c>
      <c r="B52" s="1" t="s">
        <v>35</v>
      </c>
      <c r="C52" s="7">
        <v>45456</v>
      </c>
      <c r="D52" s="1" t="s">
        <v>36</v>
      </c>
      <c r="E52" s="1" t="s">
        <v>37</v>
      </c>
      <c r="F52" s="1">
        <v>2200</v>
      </c>
      <c r="G52" s="1">
        <v>504</v>
      </c>
      <c r="H52" s="1">
        <v>239</v>
      </c>
      <c r="I52" s="1">
        <v>37400</v>
      </c>
      <c r="J52" s="1">
        <v>36938</v>
      </c>
      <c r="K52" s="1">
        <v>225</v>
      </c>
      <c r="L52" s="1" t="s">
        <v>48</v>
      </c>
      <c r="M52" s="1" t="s">
        <v>359</v>
      </c>
      <c r="N52" s="1" t="s">
        <v>359</v>
      </c>
      <c r="O52" s="8" t="s">
        <v>21</v>
      </c>
    </row>
    <row r="53" spans="1:15" x14ac:dyDescent="0.3">
      <c r="A53" s="6" t="s">
        <v>103</v>
      </c>
      <c r="B53" s="1" t="s">
        <v>35</v>
      </c>
      <c r="C53" s="7">
        <v>45660</v>
      </c>
      <c r="D53" s="1" t="s">
        <v>41</v>
      </c>
      <c r="E53" s="1" t="s">
        <v>46</v>
      </c>
      <c r="F53" s="1">
        <v>947</v>
      </c>
      <c r="G53" s="1">
        <v>338</v>
      </c>
      <c r="H53" s="1">
        <v>350</v>
      </c>
      <c r="I53" s="1">
        <v>10417</v>
      </c>
      <c r="J53" s="1">
        <v>9730</v>
      </c>
      <c r="K53" s="1">
        <v>34</v>
      </c>
      <c r="L53" s="1" t="s">
        <v>25</v>
      </c>
      <c r="M53" s="1" t="s">
        <v>359</v>
      </c>
      <c r="N53" s="1" t="s">
        <v>359</v>
      </c>
      <c r="O53" s="8" t="s">
        <v>32</v>
      </c>
    </row>
    <row r="54" spans="1:15" x14ac:dyDescent="0.3">
      <c r="A54" s="6" t="s">
        <v>104</v>
      </c>
      <c r="B54" s="1" t="s">
        <v>23</v>
      </c>
      <c r="C54" s="7">
        <v>45712</v>
      </c>
      <c r="D54" s="1" t="s">
        <v>36</v>
      </c>
      <c r="E54" s="1" t="s">
        <v>52</v>
      </c>
      <c r="F54" s="1">
        <v>804</v>
      </c>
      <c r="G54" s="1">
        <v>639</v>
      </c>
      <c r="H54" s="1">
        <v>43</v>
      </c>
      <c r="I54" s="1">
        <v>4020</v>
      </c>
      <c r="J54" s="1">
        <v>3144</v>
      </c>
      <c r="K54" s="1">
        <v>11</v>
      </c>
      <c r="L54" s="1" t="s">
        <v>31</v>
      </c>
      <c r="M54" s="1" t="s">
        <v>355</v>
      </c>
      <c r="N54" s="1" t="s">
        <v>359</v>
      </c>
      <c r="O54" s="8" t="s">
        <v>360</v>
      </c>
    </row>
    <row r="55" spans="1:15" x14ac:dyDescent="0.3">
      <c r="A55" s="6" t="s">
        <v>105</v>
      </c>
      <c r="B55" s="1" t="s">
        <v>23</v>
      </c>
      <c r="C55" s="7">
        <v>45729</v>
      </c>
      <c r="D55" s="1" t="s">
        <v>36</v>
      </c>
      <c r="E55" s="1" t="s">
        <v>52</v>
      </c>
      <c r="F55" s="1">
        <v>1686</v>
      </c>
      <c r="G55" s="1">
        <v>904</v>
      </c>
      <c r="H55" s="1">
        <v>472</v>
      </c>
      <c r="I55" s="1">
        <v>18546</v>
      </c>
      <c r="J55" s="1">
        <v>18171</v>
      </c>
      <c r="K55" s="1">
        <v>52</v>
      </c>
      <c r="L55" s="1" t="s">
        <v>48</v>
      </c>
      <c r="M55" s="1" t="s">
        <v>359</v>
      </c>
      <c r="N55" s="1" t="s">
        <v>359</v>
      </c>
      <c r="O55" s="8" t="s">
        <v>21</v>
      </c>
    </row>
    <row r="56" spans="1:15" x14ac:dyDescent="0.3">
      <c r="A56" s="6" t="s">
        <v>106</v>
      </c>
      <c r="B56" s="1" t="s">
        <v>35</v>
      </c>
      <c r="C56" s="7">
        <v>45460</v>
      </c>
      <c r="D56" s="1" t="s">
        <v>41</v>
      </c>
      <c r="E56" s="1" t="s">
        <v>46</v>
      </c>
      <c r="F56" s="1">
        <v>1226</v>
      </c>
      <c r="G56" s="1">
        <v>119</v>
      </c>
      <c r="H56" s="1">
        <v>7</v>
      </c>
      <c r="I56" s="1">
        <v>14712</v>
      </c>
      <c r="J56" s="1">
        <v>14049</v>
      </c>
      <c r="K56" s="1">
        <v>123</v>
      </c>
      <c r="L56" s="1" t="s">
        <v>31</v>
      </c>
      <c r="M56" s="1" t="s">
        <v>359</v>
      </c>
      <c r="N56" s="1" t="s">
        <v>359</v>
      </c>
      <c r="O56" s="8" t="s">
        <v>32</v>
      </c>
    </row>
    <row r="57" spans="1:15" x14ac:dyDescent="0.3">
      <c r="A57" s="6" t="s">
        <v>107</v>
      </c>
      <c r="B57" s="1" t="s">
        <v>35</v>
      </c>
      <c r="C57" s="7">
        <v>45644</v>
      </c>
      <c r="D57" s="1" t="s">
        <v>36</v>
      </c>
      <c r="E57" s="1" t="s">
        <v>37</v>
      </c>
      <c r="F57" s="1">
        <v>2946</v>
      </c>
      <c r="G57" s="1">
        <v>498</v>
      </c>
      <c r="H57" s="1">
        <v>367</v>
      </c>
      <c r="I57" s="1">
        <v>29460</v>
      </c>
      <c r="J57" s="1">
        <v>28527</v>
      </c>
      <c r="K57" s="1">
        <v>60</v>
      </c>
      <c r="L57" s="1" t="s">
        <v>48</v>
      </c>
      <c r="M57" s="1" t="s">
        <v>359</v>
      </c>
      <c r="N57" s="1" t="s">
        <v>359</v>
      </c>
      <c r="O57" s="8" t="s">
        <v>26</v>
      </c>
    </row>
    <row r="58" spans="1:15" x14ac:dyDescent="0.3">
      <c r="A58" s="6" t="s">
        <v>108</v>
      </c>
      <c r="B58" s="1" t="s">
        <v>14</v>
      </c>
      <c r="C58" s="7">
        <v>45586</v>
      </c>
      <c r="D58" s="1" t="s">
        <v>56</v>
      </c>
      <c r="E58" s="1" t="s">
        <v>95</v>
      </c>
      <c r="F58" s="1">
        <v>2825</v>
      </c>
      <c r="G58" s="1">
        <v>535</v>
      </c>
      <c r="H58" s="1">
        <v>295</v>
      </c>
      <c r="I58" s="1">
        <v>45200</v>
      </c>
      <c r="J58" s="1">
        <v>44739</v>
      </c>
      <c r="K58" s="1">
        <v>169</v>
      </c>
      <c r="L58" s="1" t="s">
        <v>25</v>
      </c>
      <c r="M58" s="1" t="s">
        <v>359</v>
      </c>
      <c r="N58" s="1" t="s">
        <v>359</v>
      </c>
      <c r="O58" s="8" t="s">
        <v>17</v>
      </c>
    </row>
    <row r="59" spans="1:15" x14ac:dyDescent="0.3">
      <c r="A59" s="6" t="s">
        <v>109</v>
      </c>
      <c r="B59" s="1" t="s">
        <v>28</v>
      </c>
      <c r="C59" s="7">
        <v>45762</v>
      </c>
      <c r="D59" s="1" t="s">
        <v>15</v>
      </c>
      <c r="E59" s="1" t="s">
        <v>61</v>
      </c>
      <c r="F59" s="1">
        <v>103</v>
      </c>
      <c r="G59" s="1">
        <v>770</v>
      </c>
      <c r="H59" s="1">
        <v>19</v>
      </c>
      <c r="I59" s="1">
        <v>1030</v>
      </c>
      <c r="J59" s="1">
        <v>410</v>
      </c>
      <c r="K59" s="1">
        <v>262</v>
      </c>
      <c r="L59" s="1" t="s">
        <v>25</v>
      </c>
      <c r="M59" s="1" t="s">
        <v>359</v>
      </c>
      <c r="N59" s="1" t="s">
        <v>359</v>
      </c>
      <c r="O59" s="8" t="s">
        <v>32</v>
      </c>
    </row>
    <row r="60" spans="1:15" x14ac:dyDescent="0.3">
      <c r="A60" s="6" t="s">
        <v>110</v>
      </c>
      <c r="B60" s="1" t="s">
        <v>28</v>
      </c>
      <c r="C60" s="7">
        <v>45465</v>
      </c>
      <c r="D60" s="1" t="s">
        <v>19</v>
      </c>
      <c r="E60" s="1" t="s">
        <v>78</v>
      </c>
      <c r="F60" s="1">
        <v>2180</v>
      </c>
      <c r="G60" s="1">
        <v>263</v>
      </c>
      <c r="H60" s="1">
        <v>387</v>
      </c>
      <c r="I60" s="1">
        <v>30520</v>
      </c>
      <c r="J60" s="1">
        <v>30059</v>
      </c>
      <c r="K60" s="1">
        <v>174</v>
      </c>
      <c r="L60" s="1" t="s">
        <v>31</v>
      </c>
      <c r="M60" s="1" t="s">
        <v>359</v>
      </c>
      <c r="N60" s="1" t="s">
        <v>359</v>
      </c>
      <c r="O60" s="8" t="s">
        <v>360</v>
      </c>
    </row>
    <row r="61" spans="1:15" x14ac:dyDescent="0.3">
      <c r="A61" s="6" t="s">
        <v>111</v>
      </c>
      <c r="B61" s="1" t="s">
        <v>28</v>
      </c>
      <c r="C61" s="7">
        <v>45685</v>
      </c>
      <c r="D61" s="1" t="s">
        <v>56</v>
      </c>
      <c r="E61" s="1" t="s">
        <v>63</v>
      </c>
      <c r="F61" s="1">
        <v>904</v>
      </c>
      <c r="G61" s="1">
        <v>973</v>
      </c>
      <c r="H61" s="1">
        <v>63</v>
      </c>
      <c r="I61" s="1">
        <v>11752</v>
      </c>
      <c r="J61" s="1">
        <v>11580</v>
      </c>
      <c r="K61" s="1">
        <v>84</v>
      </c>
      <c r="L61" s="1" t="s">
        <v>31</v>
      </c>
      <c r="M61" s="1" t="s">
        <v>25</v>
      </c>
      <c r="N61" s="1" t="s">
        <v>354</v>
      </c>
      <c r="O61" s="8" t="s">
        <v>26</v>
      </c>
    </row>
    <row r="62" spans="1:15" x14ac:dyDescent="0.3">
      <c r="A62" s="6" t="s">
        <v>112</v>
      </c>
      <c r="B62" s="1" t="s">
        <v>14</v>
      </c>
      <c r="C62" s="7">
        <v>45540</v>
      </c>
      <c r="D62" s="1" t="s">
        <v>56</v>
      </c>
      <c r="E62" s="1" t="s">
        <v>95</v>
      </c>
      <c r="F62" s="1">
        <v>4886</v>
      </c>
      <c r="G62" s="1">
        <v>983</v>
      </c>
      <c r="H62" s="1">
        <v>409</v>
      </c>
      <c r="I62" s="1">
        <v>43974</v>
      </c>
      <c r="J62" s="1">
        <v>43239</v>
      </c>
      <c r="K62" s="1">
        <v>65</v>
      </c>
      <c r="L62" s="1" t="s">
        <v>25</v>
      </c>
      <c r="M62" s="1" t="s">
        <v>359</v>
      </c>
      <c r="N62" s="1" t="s">
        <v>359</v>
      </c>
      <c r="O62" s="8" t="s">
        <v>17</v>
      </c>
    </row>
    <row r="63" spans="1:15" x14ac:dyDescent="0.3">
      <c r="A63" s="6" t="s">
        <v>113</v>
      </c>
      <c r="B63" s="1" t="s">
        <v>14</v>
      </c>
      <c r="C63" s="7">
        <v>45618</v>
      </c>
      <c r="D63" s="1" t="s">
        <v>36</v>
      </c>
      <c r="E63" s="1" t="s">
        <v>39</v>
      </c>
      <c r="F63" s="1">
        <v>53</v>
      </c>
      <c r="G63" s="1">
        <v>81</v>
      </c>
      <c r="H63" s="1">
        <v>379</v>
      </c>
      <c r="I63" s="1">
        <v>954</v>
      </c>
      <c r="J63" s="1">
        <v>7</v>
      </c>
      <c r="K63" s="1">
        <v>148</v>
      </c>
      <c r="L63" s="1" t="s">
        <v>25</v>
      </c>
      <c r="M63" s="1" t="s">
        <v>359</v>
      </c>
      <c r="N63" s="1" t="s">
        <v>359</v>
      </c>
      <c r="O63" s="8" t="s">
        <v>26</v>
      </c>
    </row>
    <row r="64" spans="1:15" x14ac:dyDescent="0.3">
      <c r="A64" s="6" t="s">
        <v>114</v>
      </c>
      <c r="B64" s="1" t="s">
        <v>14</v>
      </c>
      <c r="C64" s="7">
        <v>45504</v>
      </c>
      <c r="D64" s="1" t="s">
        <v>36</v>
      </c>
      <c r="E64" s="1" t="s">
        <v>39</v>
      </c>
      <c r="F64" s="1">
        <v>4507</v>
      </c>
      <c r="G64" s="1">
        <v>217</v>
      </c>
      <c r="H64" s="1">
        <v>13</v>
      </c>
      <c r="I64" s="1">
        <v>90140</v>
      </c>
      <c r="J64" s="1">
        <v>89591</v>
      </c>
      <c r="K64" s="1">
        <v>125</v>
      </c>
      <c r="L64" s="1" t="s">
        <v>48</v>
      </c>
      <c r="M64" s="1" t="s">
        <v>359</v>
      </c>
      <c r="N64" s="1" t="s">
        <v>359</v>
      </c>
      <c r="O64" s="8" t="s">
        <v>26</v>
      </c>
    </row>
    <row r="65" spans="1:15" x14ac:dyDescent="0.3">
      <c r="A65" s="6" t="s">
        <v>115</v>
      </c>
      <c r="B65" s="1" t="s">
        <v>35</v>
      </c>
      <c r="C65" s="7">
        <v>45521</v>
      </c>
      <c r="D65" s="1" t="s">
        <v>41</v>
      </c>
      <c r="E65" s="1" t="s">
        <v>46</v>
      </c>
      <c r="F65" s="1">
        <v>2878</v>
      </c>
      <c r="G65" s="1">
        <v>248</v>
      </c>
      <c r="H65" s="1">
        <v>416</v>
      </c>
      <c r="I65" s="1">
        <v>43170</v>
      </c>
      <c r="J65" s="1">
        <v>42667</v>
      </c>
      <c r="K65" s="1">
        <v>75</v>
      </c>
      <c r="L65" s="1" t="s">
        <v>48</v>
      </c>
      <c r="M65" s="1" t="s">
        <v>359</v>
      </c>
      <c r="N65" s="1" t="s">
        <v>359</v>
      </c>
      <c r="O65" s="8" t="s">
        <v>26</v>
      </c>
    </row>
    <row r="66" spans="1:15" x14ac:dyDescent="0.3">
      <c r="A66" s="6" t="s">
        <v>116</v>
      </c>
      <c r="B66" s="1" t="s">
        <v>28</v>
      </c>
      <c r="C66" s="7">
        <v>45744</v>
      </c>
      <c r="D66" s="1" t="s">
        <v>29</v>
      </c>
      <c r="E66" s="1" t="s">
        <v>30</v>
      </c>
      <c r="F66" s="1">
        <v>1881</v>
      </c>
      <c r="G66" s="1">
        <v>501</v>
      </c>
      <c r="H66" s="1">
        <v>99</v>
      </c>
      <c r="I66" s="1">
        <v>20691</v>
      </c>
      <c r="J66" s="1">
        <v>19987</v>
      </c>
      <c r="K66" s="1">
        <v>289</v>
      </c>
      <c r="L66" s="1" t="s">
        <v>31</v>
      </c>
      <c r="M66" s="1" t="s">
        <v>359</v>
      </c>
      <c r="N66" s="1" t="s">
        <v>359</v>
      </c>
      <c r="O66" s="8" t="s">
        <v>360</v>
      </c>
    </row>
    <row r="67" spans="1:15" x14ac:dyDescent="0.3">
      <c r="A67" s="6" t="s">
        <v>117</v>
      </c>
      <c r="B67" s="1" t="s">
        <v>14</v>
      </c>
      <c r="C67" s="7">
        <v>45499</v>
      </c>
      <c r="D67" s="1" t="s">
        <v>36</v>
      </c>
      <c r="E67" s="1" t="s">
        <v>39</v>
      </c>
      <c r="F67" s="1">
        <v>432</v>
      </c>
      <c r="G67" s="1">
        <v>171</v>
      </c>
      <c r="H67" s="1">
        <v>280</v>
      </c>
      <c r="I67" s="1">
        <v>3024</v>
      </c>
      <c r="J67" s="1">
        <v>2285</v>
      </c>
      <c r="K67" s="1">
        <v>184</v>
      </c>
      <c r="L67" s="1" t="s">
        <v>31</v>
      </c>
      <c r="M67" s="1" t="s">
        <v>359</v>
      </c>
      <c r="N67" s="1" t="s">
        <v>359</v>
      </c>
      <c r="O67" s="8" t="s">
        <v>17</v>
      </c>
    </row>
    <row r="68" spans="1:15" x14ac:dyDescent="0.3">
      <c r="A68" s="6" t="s">
        <v>118</v>
      </c>
      <c r="B68" s="1" t="s">
        <v>35</v>
      </c>
      <c r="C68" s="7">
        <v>45745</v>
      </c>
      <c r="D68" s="1" t="s">
        <v>36</v>
      </c>
      <c r="E68" s="1" t="s">
        <v>37</v>
      </c>
      <c r="F68" s="1">
        <v>4712</v>
      </c>
      <c r="G68" s="1">
        <v>568</v>
      </c>
      <c r="H68" s="1">
        <v>127</v>
      </c>
      <c r="I68" s="1">
        <v>84816</v>
      </c>
      <c r="J68" s="1">
        <v>84691</v>
      </c>
      <c r="K68" s="1">
        <v>100</v>
      </c>
      <c r="L68" s="1" t="s">
        <v>31</v>
      </c>
      <c r="M68" s="1" t="s">
        <v>359</v>
      </c>
      <c r="N68" s="1" t="s">
        <v>359</v>
      </c>
      <c r="O68" s="8" t="s">
        <v>26</v>
      </c>
    </row>
    <row r="69" spans="1:15" x14ac:dyDescent="0.3">
      <c r="A69" s="6" t="s">
        <v>119</v>
      </c>
      <c r="B69" s="1" t="s">
        <v>28</v>
      </c>
      <c r="C69" s="7">
        <v>45634</v>
      </c>
      <c r="D69" s="1" t="s">
        <v>29</v>
      </c>
      <c r="E69" s="1" t="s">
        <v>30</v>
      </c>
      <c r="F69" s="1">
        <v>2610</v>
      </c>
      <c r="G69" s="1">
        <v>126</v>
      </c>
      <c r="H69" s="1">
        <v>288</v>
      </c>
      <c r="I69" s="1">
        <v>15660</v>
      </c>
      <c r="J69" s="1">
        <v>15145</v>
      </c>
      <c r="K69" s="1">
        <v>73</v>
      </c>
      <c r="L69" s="1" t="s">
        <v>31</v>
      </c>
      <c r="M69" s="1" t="s">
        <v>359</v>
      </c>
      <c r="N69" s="1" t="s">
        <v>359</v>
      </c>
      <c r="O69" s="8" t="s">
        <v>360</v>
      </c>
    </row>
    <row r="70" spans="1:15" x14ac:dyDescent="0.3">
      <c r="A70" s="6" t="s">
        <v>120</v>
      </c>
      <c r="B70" s="1" t="s">
        <v>14</v>
      </c>
      <c r="C70" s="7">
        <v>45724</v>
      </c>
      <c r="D70" s="1" t="s">
        <v>19</v>
      </c>
      <c r="E70" s="1" t="s">
        <v>20</v>
      </c>
      <c r="F70" s="1">
        <v>1292</v>
      </c>
      <c r="G70" s="1">
        <v>626</v>
      </c>
      <c r="H70" s="1">
        <v>496</v>
      </c>
      <c r="I70" s="1">
        <v>25840</v>
      </c>
      <c r="J70" s="1">
        <v>24916</v>
      </c>
      <c r="K70" s="1">
        <v>149</v>
      </c>
      <c r="L70" s="1" t="s">
        <v>48</v>
      </c>
      <c r="M70" s="1" t="s">
        <v>359</v>
      </c>
      <c r="N70" s="1" t="s">
        <v>359</v>
      </c>
      <c r="O70" s="8" t="s">
        <v>26</v>
      </c>
    </row>
    <row r="71" spans="1:15" x14ac:dyDescent="0.3">
      <c r="A71" s="6" t="s">
        <v>121</v>
      </c>
      <c r="B71" s="1" t="s">
        <v>35</v>
      </c>
      <c r="C71" s="7">
        <v>45749</v>
      </c>
      <c r="D71" s="1" t="s">
        <v>56</v>
      </c>
      <c r="E71" s="1" t="s">
        <v>57</v>
      </c>
      <c r="F71" s="1">
        <v>199</v>
      </c>
      <c r="G71" s="1">
        <v>772</v>
      </c>
      <c r="H71" s="1">
        <v>400</v>
      </c>
      <c r="I71" s="1">
        <v>3582</v>
      </c>
      <c r="J71" s="1">
        <v>2988</v>
      </c>
      <c r="K71" s="1">
        <v>43</v>
      </c>
      <c r="L71" s="1" t="s">
        <v>25</v>
      </c>
      <c r="M71" s="1" t="s">
        <v>359</v>
      </c>
      <c r="N71" s="1" t="s">
        <v>359</v>
      </c>
      <c r="O71" s="8" t="s">
        <v>360</v>
      </c>
    </row>
    <row r="72" spans="1:15" x14ac:dyDescent="0.3">
      <c r="A72" s="6" t="s">
        <v>122</v>
      </c>
      <c r="B72" s="1" t="s">
        <v>23</v>
      </c>
      <c r="C72" s="7">
        <v>45537</v>
      </c>
      <c r="D72" s="1" t="s">
        <v>36</v>
      </c>
      <c r="E72" s="1" t="s">
        <v>52</v>
      </c>
      <c r="F72" s="1">
        <v>2551</v>
      </c>
      <c r="G72" s="1">
        <v>915</v>
      </c>
      <c r="H72" s="1">
        <v>205</v>
      </c>
      <c r="I72" s="1">
        <v>30612</v>
      </c>
      <c r="J72" s="1">
        <v>30360</v>
      </c>
      <c r="K72" s="1">
        <v>227</v>
      </c>
      <c r="L72" s="1" t="s">
        <v>25</v>
      </c>
      <c r="M72" s="1" t="s">
        <v>359</v>
      </c>
      <c r="N72" s="1" t="s">
        <v>359</v>
      </c>
      <c r="O72" s="8" t="s">
        <v>21</v>
      </c>
    </row>
    <row r="73" spans="1:15" x14ac:dyDescent="0.3">
      <c r="A73" s="6" t="s">
        <v>123</v>
      </c>
      <c r="B73" s="1" t="s">
        <v>23</v>
      </c>
      <c r="C73" s="7">
        <v>45719</v>
      </c>
      <c r="D73" s="1" t="s">
        <v>15</v>
      </c>
      <c r="E73" s="1" t="s">
        <v>24</v>
      </c>
      <c r="F73" s="1">
        <v>296</v>
      </c>
      <c r="G73" s="1">
        <v>60</v>
      </c>
      <c r="H73" s="1">
        <v>141</v>
      </c>
      <c r="I73" s="1">
        <v>5624</v>
      </c>
      <c r="J73" s="1">
        <v>5239</v>
      </c>
      <c r="K73" s="1">
        <v>88</v>
      </c>
      <c r="L73" s="1" t="s">
        <v>31</v>
      </c>
      <c r="M73" s="1" t="s">
        <v>359</v>
      </c>
      <c r="N73" s="1" t="s">
        <v>359</v>
      </c>
      <c r="O73" s="8" t="s">
        <v>21</v>
      </c>
    </row>
    <row r="74" spans="1:15" x14ac:dyDescent="0.3">
      <c r="A74" s="6" t="s">
        <v>124</v>
      </c>
      <c r="B74" s="1" t="s">
        <v>35</v>
      </c>
      <c r="C74" s="7">
        <v>45583</v>
      </c>
      <c r="D74" s="1" t="s">
        <v>29</v>
      </c>
      <c r="E74" s="1" t="s">
        <v>54</v>
      </c>
      <c r="F74" s="1">
        <v>4126</v>
      </c>
      <c r="G74" s="1">
        <v>426</v>
      </c>
      <c r="H74" s="1">
        <v>486</v>
      </c>
      <c r="I74" s="1">
        <v>78394</v>
      </c>
      <c r="J74" s="1">
        <v>77798</v>
      </c>
      <c r="K74" s="1">
        <v>88</v>
      </c>
      <c r="L74" s="1" t="s">
        <v>48</v>
      </c>
      <c r="M74" s="1" t="s">
        <v>359</v>
      </c>
      <c r="N74" s="1" t="s">
        <v>359</v>
      </c>
      <c r="O74" s="8" t="s">
        <v>32</v>
      </c>
    </row>
    <row r="75" spans="1:15" x14ac:dyDescent="0.3">
      <c r="A75" s="6" t="s">
        <v>125</v>
      </c>
      <c r="B75" s="1" t="s">
        <v>23</v>
      </c>
      <c r="C75" s="7">
        <v>45593</v>
      </c>
      <c r="D75" s="1" t="s">
        <v>15</v>
      </c>
      <c r="E75" s="1" t="s">
        <v>24</v>
      </c>
      <c r="F75" s="1">
        <v>1855</v>
      </c>
      <c r="G75" s="1">
        <v>200</v>
      </c>
      <c r="H75" s="1">
        <v>174</v>
      </c>
      <c r="I75" s="1">
        <v>16695</v>
      </c>
      <c r="J75" s="1">
        <v>16330</v>
      </c>
      <c r="K75" s="1">
        <v>123</v>
      </c>
      <c r="L75" s="1" t="s">
        <v>25</v>
      </c>
      <c r="M75" s="1" t="s">
        <v>359</v>
      </c>
      <c r="N75" s="1" t="s">
        <v>359</v>
      </c>
      <c r="O75" s="8" t="s">
        <v>26</v>
      </c>
    </row>
    <row r="76" spans="1:15" x14ac:dyDescent="0.3">
      <c r="A76" s="6" t="s">
        <v>126</v>
      </c>
      <c r="B76" s="1" t="s">
        <v>28</v>
      </c>
      <c r="C76" s="7">
        <v>45505</v>
      </c>
      <c r="D76" s="1" t="s">
        <v>15</v>
      </c>
      <c r="E76" s="1" t="s">
        <v>61</v>
      </c>
      <c r="F76" s="1">
        <v>1674</v>
      </c>
      <c r="G76" s="1">
        <v>929</v>
      </c>
      <c r="H76" s="1">
        <v>37</v>
      </c>
      <c r="I76" s="1">
        <v>21762</v>
      </c>
      <c r="J76" s="1">
        <v>20998</v>
      </c>
      <c r="K76" s="1">
        <v>255</v>
      </c>
      <c r="L76" s="1" t="s">
        <v>25</v>
      </c>
      <c r="M76" s="1" t="s">
        <v>359</v>
      </c>
      <c r="N76" s="1" t="s">
        <v>359</v>
      </c>
      <c r="O76" s="8" t="s">
        <v>32</v>
      </c>
    </row>
    <row r="77" spans="1:15" x14ac:dyDescent="0.3">
      <c r="A77" s="6" t="s">
        <v>127</v>
      </c>
      <c r="B77" s="1" t="s">
        <v>14</v>
      </c>
      <c r="C77" s="7">
        <v>45603</v>
      </c>
      <c r="D77" s="1" t="s">
        <v>29</v>
      </c>
      <c r="E77" s="1" t="s">
        <v>98</v>
      </c>
      <c r="F77" s="1">
        <v>1121</v>
      </c>
      <c r="G77" s="1">
        <v>135</v>
      </c>
      <c r="H77" s="1">
        <v>18</v>
      </c>
      <c r="I77" s="1">
        <v>15694</v>
      </c>
      <c r="J77" s="1">
        <v>14957</v>
      </c>
      <c r="K77" s="1">
        <v>99</v>
      </c>
      <c r="L77" s="1" t="s">
        <v>25</v>
      </c>
      <c r="M77" s="1" t="s">
        <v>359</v>
      </c>
      <c r="N77" s="1" t="s">
        <v>359</v>
      </c>
      <c r="O77" s="8" t="s">
        <v>32</v>
      </c>
    </row>
    <row r="78" spans="1:15" x14ac:dyDescent="0.3">
      <c r="A78" s="6" t="s">
        <v>128</v>
      </c>
      <c r="B78" s="1" t="s">
        <v>35</v>
      </c>
      <c r="C78" s="7">
        <v>45720</v>
      </c>
      <c r="D78" s="1" t="s">
        <v>29</v>
      </c>
      <c r="E78" s="1" t="s">
        <v>54</v>
      </c>
      <c r="F78" s="1">
        <v>1249</v>
      </c>
      <c r="G78" s="1">
        <v>116</v>
      </c>
      <c r="H78" s="1">
        <v>420</v>
      </c>
      <c r="I78" s="1">
        <v>8743</v>
      </c>
      <c r="J78" s="1">
        <v>8538</v>
      </c>
      <c r="K78" s="1">
        <v>63</v>
      </c>
      <c r="L78" s="1" t="s">
        <v>25</v>
      </c>
      <c r="M78" s="1" t="s">
        <v>359</v>
      </c>
      <c r="N78" s="1" t="s">
        <v>359</v>
      </c>
      <c r="O78" s="8" t="s">
        <v>360</v>
      </c>
    </row>
    <row r="79" spans="1:15" x14ac:dyDescent="0.3">
      <c r="A79" s="6" t="s">
        <v>129</v>
      </c>
      <c r="B79" s="1" t="s">
        <v>14</v>
      </c>
      <c r="C79" s="7">
        <v>45460</v>
      </c>
      <c r="D79" s="1" t="s">
        <v>41</v>
      </c>
      <c r="E79" s="1" t="s">
        <v>88</v>
      </c>
      <c r="F79" s="1">
        <v>954</v>
      </c>
      <c r="G79" s="1">
        <v>324</v>
      </c>
      <c r="H79" s="1">
        <v>288</v>
      </c>
      <c r="I79" s="1">
        <v>19080</v>
      </c>
      <c r="J79" s="1">
        <v>18859</v>
      </c>
      <c r="K79" s="1">
        <v>21</v>
      </c>
      <c r="L79" s="1" t="s">
        <v>48</v>
      </c>
      <c r="M79" s="1" t="s">
        <v>359</v>
      </c>
      <c r="N79" s="1" t="s">
        <v>359</v>
      </c>
      <c r="O79" s="8" t="s">
        <v>32</v>
      </c>
    </row>
    <row r="80" spans="1:15" x14ac:dyDescent="0.3">
      <c r="A80" s="6" t="s">
        <v>130</v>
      </c>
      <c r="B80" s="1" t="s">
        <v>28</v>
      </c>
      <c r="C80" s="7">
        <v>45574</v>
      </c>
      <c r="D80" s="1" t="s">
        <v>36</v>
      </c>
      <c r="E80" s="1" t="s">
        <v>65</v>
      </c>
      <c r="F80" s="1">
        <v>3068</v>
      </c>
      <c r="G80" s="1">
        <v>137</v>
      </c>
      <c r="H80" s="1">
        <v>329</v>
      </c>
      <c r="I80" s="1">
        <v>39884</v>
      </c>
      <c r="J80" s="1">
        <v>39404</v>
      </c>
      <c r="K80" s="1">
        <v>266</v>
      </c>
      <c r="L80" s="1" t="s">
        <v>31</v>
      </c>
      <c r="M80" s="1" t="s">
        <v>359</v>
      </c>
      <c r="N80" s="1" t="s">
        <v>359</v>
      </c>
      <c r="O80" s="8" t="s">
        <v>21</v>
      </c>
    </row>
    <row r="81" spans="1:15" x14ac:dyDescent="0.3">
      <c r="A81" s="6" t="s">
        <v>131</v>
      </c>
      <c r="B81" s="1" t="s">
        <v>28</v>
      </c>
      <c r="C81" s="7">
        <v>45456</v>
      </c>
      <c r="D81" s="1" t="s">
        <v>29</v>
      </c>
      <c r="E81" s="1" t="s">
        <v>30</v>
      </c>
      <c r="F81" s="1">
        <v>2103</v>
      </c>
      <c r="G81" s="1">
        <v>892</v>
      </c>
      <c r="H81" s="1">
        <v>103</v>
      </c>
      <c r="I81" s="1">
        <v>39957</v>
      </c>
      <c r="J81" s="1">
        <v>39466</v>
      </c>
      <c r="K81" s="1">
        <v>28</v>
      </c>
      <c r="L81" s="1" t="s">
        <v>48</v>
      </c>
      <c r="M81" s="1" t="s">
        <v>359</v>
      </c>
      <c r="N81" s="1" t="s">
        <v>359</v>
      </c>
      <c r="O81" s="8" t="s">
        <v>360</v>
      </c>
    </row>
    <row r="82" spans="1:15" x14ac:dyDescent="0.3">
      <c r="A82" s="6" t="s">
        <v>132</v>
      </c>
      <c r="B82" s="1" t="s">
        <v>28</v>
      </c>
      <c r="C82" s="7">
        <v>45584</v>
      </c>
      <c r="D82" s="1" t="s">
        <v>29</v>
      </c>
      <c r="E82" s="1" t="s">
        <v>30</v>
      </c>
      <c r="F82" s="1">
        <v>1816</v>
      </c>
      <c r="G82" s="1">
        <v>29</v>
      </c>
      <c r="H82" s="1">
        <v>41</v>
      </c>
      <c r="I82" s="1">
        <v>19976</v>
      </c>
      <c r="J82" s="1">
        <v>19262</v>
      </c>
      <c r="K82" s="1">
        <v>283</v>
      </c>
      <c r="L82" s="1" t="s">
        <v>25</v>
      </c>
      <c r="M82" s="1" t="s">
        <v>359</v>
      </c>
      <c r="N82" s="1" t="s">
        <v>359</v>
      </c>
      <c r="O82" s="8" t="s">
        <v>26</v>
      </c>
    </row>
    <row r="83" spans="1:15" x14ac:dyDescent="0.3">
      <c r="A83" s="6" t="s">
        <v>133</v>
      </c>
      <c r="B83" s="1" t="s">
        <v>28</v>
      </c>
      <c r="C83" s="7">
        <v>45497</v>
      </c>
      <c r="D83" s="1" t="s">
        <v>41</v>
      </c>
      <c r="E83" s="1" t="s">
        <v>134</v>
      </c>
      <c r="F83" s="1">
        <v>725</v>
      </c>
      <c r="G83" s="1">
        <v>88</v>
      </c>
      <c r="H83" s="1">
        <v>428</v>
      </c>
      <c r="I83" s="1">
        <v>14500</v>
      </c>
      <c r="J83" s="1">
        <v>13637</v>
      </c>
      <c r="K83" s="1">
        <v>200</v>
      </c>
      <c r="L83" s="1" t="s">
        <v>48</v>
      </c>
      <c r="M83" s="1" t="s">
        <v>25</v>
      </c>
      <c r="N83" s="1" t="s">
        <v>354</v>
      </c>
      <c r="O83" s="8" t="s">
        <v>26</v>
      </c>
    </row>
    <row r="84" spans="1:15" x14ac:dyDescent="0.3">
      <c r="A84" s="6" t="s">
        <v>135</v>
      </c>
      <c r="B84" s="1" t="s">
        <v>23</v>
      </c>
      <c r="C84" s="7">
        <v>45580</v>
      </c>
      <c r="D84" s="1" t="s">
        <v>56</v>
      </c>
      <c r="E84" s="1" t="s">
        <v>136</v>
      </c>
      <c r="F84" s="1">
        <v>1094</v>
      </c>
      <c r="G84" s="1">
        <v>472</v>
      </c>
      <c r="H84" s="1">
        <v>21</v>
      </c>
      <c r="I84" s="1">
        <v>9846</v>
      </c>
      <c r="J84" s="1">
        <v>9609</v>
      </c>
      <c r="K84" s="1">
        <v>112</v>
      </c>
      <c r="L84" s="1" t="s">
        <v>31</v>
      </c>
      <c r="M84" s="1" t="s">
        <v>359</v>
      </c>
      <c r="N84" s="1" t="s">
        <v>359</v>
      </c>
      <c r="O84" s="8" t="s">
        <v>360</v>
      </c>
    </row>
    <row r="85" spans="1:15" x14ac:dyDescent="0.3">
      <c r="A85" s="6" t="s">
        <v>137</v>
      </c>
      <c r="B85" s="1" t="s">
        <v>35</v>
      </c>
      <c r="C85" s="7">
        <v>45635</v>
      </c>
      <c r="D85" s="1" t="s">
        <v>41</v>
      </c>
      <c r="E85" s="1" t="s">
        <v>46</v>
      </c>
      <c r="F85" s="1">
        <v>1841</v>
      </c>
      <c r="G85" s="1">
        <v>851</v>
      </c>
      <c r="H85" s="1">
        <v>342</v>
      </c>
      <c r="I85" s="1">
        <v>34979</v>
      </c>
      <c r="J85" s="1">
        <v>34154</v>
      </c>
      <c r="K85" s="1">
        <v>255</v>
      </c>
      <c r="L85" s="1" t="s">
        <v>48</v>
      </c>
      <c r="M85" s="1" t="s">
        <v>359</v>
      </c>
      <c r="N85" s="1" t="s">
        <v>359</v>
      </c>
      <c r="O85" s="8" t="s">
        <v>32</v>
      </c>
    </row>
    <row r="86" spans="1:15" x14ac:dyDescent="0.3">
      <c r="A86" s="6" t="s">
        <v>138</v>
      </c>
      <c r="B86" s="1" t="s">
        <v>28</v>
      </c>
      <c r="C86" s="7">
        <v>45766</v>
      </c>
      <c r="D86" s="1" t="s">
        <v>41</v>
      </c>
      <c r="E86" s="1" t="s">
        <v>134</v>
      </c>
      <c r="F86" s="1">
        <v>4177</v>
      </c>
      <c r="G86" s="1">
        <v>569</v>
      </c>
      <c r="H86" s="1">
        <v>55</v>
      </c>
      <c r="I86" s="1">
        <v>25062</v>
      </c>
      <c r="J86" s="1">
        <v>24847</v>
      </c>
      <c r="K86" s="1">
        <v>230</v>
      </c>
      <c r="L86" s="1" t="s">
        <v>48</v>
      </c>
      <c r="M86" s="1" t="s">
        <v>359</v>
      </c>
      <c r="N86" s="1" t="s">
        <v>359</v>
      </c>
      <c r="O86" s="8" t="s">
        <v>17</v>
      </c>
    </row>
    <row r="87" spans="1:15" x14ac:dyDescent="0.3">
      <c r="A87" s="6" t="s">
        <v>139</v>
      </c>
      <c r="B87" s="1" t="s">
        <v>23</v>
      </c>
      <c r="C87" s="7">
        <v>45684</v>
      </c>
      <c r="D87" s="1" t="s">
        <v>19</v>
      </c>
      <c r="E87" s="1" t="s">
        <v>73</v>
      </c>
      <c r="F87" s="1">
        <v>3428</v>
      </c>
      <c r="G87" s="1">
        <v>305</v>
      </c>
      <c r="H87" s="1">
        <v>85</v>
      </c>
      <c r="I87" s="1">
        <v>58276</v>
      </c>
      <c r="J87" s="1">
        <v>58052</v>
      </c>
      <c r="K87" s="1">
        <v>242</v>
      </c>
      <c r="L87" s="1" t="s">
        <v>31</v>
      </c>
      <c r="M87" s="1" t="s">
        <v>355</v>
      </c>
      <c r="N87" s="1" t="s">
        <v>359</v>
      </c>
      <c r="O87" s="8" t="s">
        <v>32</v>
      </c>
    </row>
    <row r="88" spans="1:15" x14ac:dyDescent="0.3">
      <c r="A88" s="6" t="s">
        <v>140</v>
      </c>
      <c r="B88" s="1" t="s">
        <v>14</v>
      </c>
      <c r="C88" s="7">
        <v>45449</v>
      </c>
      <c r="D88" s="1" t="s">
        <v>56</v>
      </c>
      <c r="E88" s="1" t="s">
        <v>95</v>
      </c>
      <c r="F88" s="1">
        <v>1436</v>
      </c>
      <c r="G88" s="1">
        <v>765</v>
      </c>
      <c r="H88" s="1">
        <v>496</v>
      </c>
      <c r="I88" s="1">
        <v>12924</v>
      </c>
      <c r="J88" s="1">
        <v>12701</v>
      </c>
      <c r="K88" s="1">
        <v>197</v>
      </c>
      <c r="L88" s="1" t="s">
        <v>48</v>
      </c>
      <c r="M88" s="1" t="s">
        <v>359</v>
      </c>
      <c r="N88" s="1" t="s">
        <v>359</v>
      </c>
      <c r="O88" s="8" t="s">
        <v>26</v>
      </c>
    </row>
    <row r="89" spans="1:15" x14ac:dyDescent="0.3">
      <c r="A89" s="6" t="s">
        <v>141</v>
      </c>
      <c r="B89" s="1" t="s">
        <v>35</v>
      </c>
      <c r="C89" s="7">
        <v>45480</v>
      </c>
      <c r="D89" s="1" t="s">
        <v>29</v>
      </c>
      <c r="E89" s="1" t="s">
        <v>54</v>
      </c>
      <c r="F89" s="1">
        <v>302</v>
      </c>
      <c r="G89" s="1">
        <v>47</v>
      </c>
      <c r="H89" s="1">
        <v>430</v>
      </c>
      <c r="I89" s="1">
        <v>5738</v>
      </c>
      <c r="J89" s="1">
        <v>4890</v>
      </c>
      <c r="K89" s="1">
        <v>25</v>
      </c>
      <c r="L89" s="1" t="s">
        <v>25</v>
      </c>
      <c r="M89" s="1" t="s">
        <v>359</v>
      </c>
      <c r="N89" s="1" t="s">
        <v>359</v>
      </c>
      <c r="O89" s="8" t="s">
        <v>32</v>
      </c>
    </row>
    <row r="90" spans="1:15" x14ac:dyDescent="0.3">
      <c r="A90" s="6" t="s">
        <v>142</v>
      </c>
      <c r="B90" s="1" t="s">
        <v>14</v>
      </c>
      <c r="C90" s="7">
        <v>45667</v>
      </c>
      <c r="D90" s="1" t="s">
        <v>41</v>
      </c>
      <c r="E90" s="1" t="s">
        <v>88</v>
      </c>
      <c r="F90" s="1">
        <v>2214</v>
      </c>
      <c r="G90" s="1">
        <v>249</v>
      </c>
      <c r="H90" s="1">
        <v>152</v>
      </c>
      <c r="I90" s="1">
        <v>15498</v>
      </c>
      <c r="J90" s="1">
        <v>14800</v>
      </c>
      <c r="K90" s="1">
        <v>180</v>
      </c>
      <c r="L90" s="1" t="s">
        <v>31</v>
      </c>
      <c r="M90" s="1" t="s">
        <v>359</v>
      </c>
      <c r="N90" s="1" t="s">
        <v>359</v>
      </c>
      <c r="O90" s="8" t="s">
        <v>360</v>
      </c>
    </row>
    <row r="91" spans="1:15" x14ac:dyDescent="0.3">
      <c r="A91" s="6" t="s">
        <v>143</v>
      </c>
      <c r="B91" s="1" t="s">
        <v>28</v>
      </c>
      <c r="C91" s="7">
        <v>45446</v>
      </c>
      <c r="D91" s="1" t="s">
        <v>41</v>
      </c>
      <c r="E91" s="1" t="s">
        <v>134</v>
      </c>
      <c r="F91" s="1">
        <v>3861</v>
      </c>
      <c r="G91" s="1">
        <v>960</v>
      </c>
      <c r="H91" s="1">
        <v>101</v>
      </c>
      <c r="I91" s="1">
        <v>69498</v>
      </c>
      <c r="J91" s="1">
        <v>68817</v>
      </c>
      <c r="K91" s="1">
        <v>297</v>
      </c>
      <c r="L91" s="1" t="s">
        <v>25</v>
      </c>
      <c r="M91" s="1" t="s">
        <v>359</v>
      </c>
      <c r="N91" s="1" t="s">
        <v>359</v>
      </c>
      <c r="O91" s="8" t="s">
        <v>32</v>
      </c>
    </row>
    <row r="92" spans="1:15" x14ac:dyDescent="0.3">
      <c r="A92" s="6" t="s">
        <v>144</v>
      </c>
      <c r="B92" s="1" t="s">
        <v>35</v>
      </c>
      <c r="C92" s="7">
        <v>45740</v>
      </c>
      <c r="D92" s="1" t="s">
        <v>41</v>
      </c>
      <c r="E92" s="1" t="s">
        <v>46</v>
      </c>
      <c r="F92" s="1">
        <v>1263</v>
      </c>
      <c r="G92" s="1">
        <v>397</v>
      </c>
      <c r="H92" s="1">
        <v>357</v>
      </c>
      <c r="I92" s="1">
        <v>25260</v>
      </c>
      <c r="J92" s="1">
        <v>24615</v>
      </c>
      <c r="K92" s="1">
        <v>137</v>
      </c>
      <c r="L92" s="1" t="s">
        <v>31</v>
      </c>
      <c r="M92" s="1" t="s">
        <v>359</v>
      </c>
      <c r="N92" s="1" t="s">
        <v>359</v>
      </c>
      <c r="O92" s="8" t="s">
        <v>32</v>
      </c>
    </row>
    <row r="93" spans="1:15" x14ac:dyDescent="0.3">
      <c r="A93" s="6" t="s">
        <v>145</v>
      </c>
      <c r="B93" s="1" t="s">
        <v>14</v>
      </c>
      <c r="C93" s="7">
        <v>45586</v>
      </c>
      <c r="D93" s="1" t="s">
        <v>29</v>
      </c>
      <c r="E93" s="1" t="s">
        <v>98</v>
      </c>
      <c r="F93" s="1">
        <v>3801</v>
      </c>
      <c r="G93" s="1">
        <v>967</v>
      </c>
      <c r="H93" s="1">
        <v>401</v>
      </c>
      <c r="I93" s="1">
        <v>38010</v>
      </c>
      <c r="J93" s="1">
        <v>37625</v>
      </c>
      <c r="K93" s="1">
        <v>236</v>
      </c>
      <c r="L93" s="1" t="s">
        <v>48</v>
      </c>
      <c r="M93" s="1" t="s">
        <v>359</v>
      </c>
      <c r="N93" s="1" t="s">
        <v>359</v>
      </c>
      <c r="O93" s="8" t="s">
        <v>26</v>
      </c>
    </row>
    <row r="94" spans="1:15" x14ac:dyDescent="0.3">
      <c r="A94" s="6" t="s">
        <v>146</v>
      </c>
      <c r="B94" s="1" t="s">
        <v>28</v>
      </c>
      <c r="C94" s="7">
        <v>45637</v>
      </c>
      <c r="D94" s="1" t="s">
        <v>56</v>
      </c>
      <c r="E94" s="1" t="s">
        <v>63</v>
      </c>
      <c r="F94" s="1">
        <v>1431</v>
      </c>
      <c r="G94" s="1">
        <v>951</v>
      </c>
      <c r="H94" s="1">
        <v>26</v>
      </c>
      <c r="I94" s="1">
        <v>8586</v>
      </c>
      <c r="J94" s="1">
        <v>8396</v>
      </c>
      <c r="K94" s="1">
        <v>150</v>
      </c>
      <c r="L94" s="1" t="s">
        <v>31</v>
      </c>
      <c r="M94" s="1" t="s">
        <v>359</v>
      </c>
      <c r="N94" s="1" t="s">
        <v>359</v>
      </c>
      <c r="O94" s="8" t="s">
        <v>26</v>
      </c>
    </row>
    <row r="95" spans="1:15" x14ac:dyDescent="0.3">
      <c r="A95" s="6" t="s">
        <v>147</v>
      </c>
      <c r="B95" s="1" t="s">
        <v>28</v>
      </c>
      <c r="C95" s="7">
        <v>45603</v>
      </c>
      <c r="D95" s="1" t="s">
        <v>41</v>
      </c>
      <c r="E95" s="1" t="s">
        <v>134</v>
      </c>
      <c r="F95" s="1">
        <v>2647</v>
      </c>
      <c r="G95" s="1">
        <v>304</v>
      </c>
      <c r="H95" s="1">
        <v>170</v>
      </c>
      <c r="I95" s="1">
        <v>18529</v>
      </c>
      <c r="J95" s="1">
        <v>17841</v>
      </c>
      <c r="K95" s="1">
        <v>46</v>
      </c>
      <c r="L95" s="1" t="s">
        <v>48</v>
      </c>
      <c r="M95" s="1" t="s">
        <v>359</v>
      </c>
      <c r="N95" s="1" t="s">
        <v>359</v>
      </c>
      <c r="O95" s="8" t="s">
        <v>26</v>
      </c>
    </row>
    <row r="96" spans="1:15" x14ac:dyDescent="0.3">
      <c r="A96" s="6" t="s">
        <v>148</v>
      </c>
      <c r="B96" s="1" t="s">
        <v>28</v>
      </c>
      <c r="C96" s="7">
        <v>45604</v>
      </c>
      <c r="D96" s="1" t="s">
        <v>19</v>
      </c>
      <c r="E96" s="1" t="s">
        <v>78</v>
      </c>
      <c r="F96" s="1">
        <v>3182</v>
      </c>
      <c r="G96" s="1">
        <v>559</v>
      </c>
      <c r="H96" s="1">
        <v>160</v>
      </c>
      <c r="I96" s="1">
        <v>57276</v>
      </c>
      <c r="J96" s="1">
        <v>56890</v>
      </c>
      <c r="K96" s="1">
        <v>163</v>
      </c>
      <c r="L96" s="1" t="s">
        <v>48</v>
      </c>
      <c r="M96" s="1" t="s">
        <v>359</v>
      </c>
      <c r="N96" s="1" t="s">
        <v>359</v>
      </c>
      <c r="O96" s="8" t="s">
        <v>32</v>
      </c>
    </row>
    <row r="97" spans="1:15" x14ac:dyDescent="0.3">
      <c r="A97" s="6" t="s">
        <v>149</v>
      </c>
      <c r="B97" s="1" t="s">
        <v>14</v>
      </c>
      <c r="C97" s="7">
        <v>45545</v>
      </c>
      <c r="D97" s="1" t="s">
        <v>41</v>
      </c>
      <c r="E97" s="1" t="s">
        <v>88</v>
      </c>
      <c r="F97" s="1">
        <v>1238</v>
      </c>
      <c r="G97" s="1">
        <v>366</v>
      </c>
      <c r="H97" s="1">
        <v>444</v>
      </c>
      <c r="I97" s="1">
        <v>19808</v>
      </c>
      <c r="J97" s="1">
        <v>19334</v>
      </c>
      <c r="K97" s="1">
        <v>123</v>
      </c>
      <c r="L97" s="1" t="s">
        <v>48</v>
      </c>
      <c r="M97" s="1" t="s">
        <v>359</v>
      </c>
      <c r="N97" s="1" t="s">
        <v>359</v>
      </c>
      <c r="O97" s="8" t="s">
        <v>360</v>
      </c>
    </row>
    <row r="98" spans="1:15" x14ac:dyDescent="0.3">
      <c r="A98" s="6" t="s">
        <v>150</v>
      </c>
      <c r="B98" s="1" t="s">
        <v>28</v>
      </c>
      <c r="C98" s="7">
        <v>45517</v>
      </c>
      <c r="D98" s="1" t="s">
        <v>41</v>
      </c>
      <c r="E98" s="1" t="s">
        <v>134</v>
      </c>
      <c r="F98" s="1">
        <v>4739</v>
      </c>
      <c r="G98" s="1">
        <v>527</v>
      </c>
      <c r="H98" s="1">
        <v>135</v>
      </c>
      <c r="I98" s="1">
        <v>61607</v>
      </c>
      <c r="J98" s="1">
        <v>61333</v>
      </c>
      <c r="K98" s="1">
        <v>36</v>
      </c>
      <c r="L98" s="1" t="s">
        <v>25</v>
      </c>
      <c r="M98" s="1" t="s">
        <v>354</v>
      </c>
      <c r="N98" s="1" t="s">
        <v>359</v>
      </c>
      <c r="O98" s="8" t="s">
        <v>21</v>
      </c>
    </row>
    <row r="99" spans="1:15" x14ac:dyDescent="0.3">
      <c r="A99" s="6" t="s">
        <v>151</v>
      </c>
      <c r="B99" s="1" t="s">
        <v>14</v>
      </c>
      <c r="C99" s="7">
        <v>45453</v>
      </c>
      <c r="D99" s="1" t="s">
        <v>29</v>
      </c>
      <c r="E99" s="1" t="s">
        <v>98</v>
      </c>
      <c r="F99" s="1">
        <v>1575</v>
      </c>
      <c r="G99" s="1">
        <v>771</v>
      </c>
      <c r="H99" s="1">
        <v>486</v>
      </c>
      <c r="I99" s="1">
        <v>25200</v>
      </c>
      <c r="J99" s="1">
        <v>24826</v>
      </c>
      <c r="K99" s="1">
        <v>17</v>
      </c>
      <c r="L99" s="1" t="s">
        <v>48</v>
      </c>
      <c r="M99" s="1" t="s">
        <v>359</v>
      </c>
      <c r="N99" s="1" t="s">
        <v>359</v>
      </c>
      <c r="O99" s="8" t="s">
        <v>32</v>
      </c>
    </row>
    <row r="100" spans="1:15" x14ac:dyDescent="0.3">
      <c r="A100" s="6" t="s">
        <v>152</v>
      </c>
      <c r="B100" s="1" t="s">
        <v>23</v>
      </c>
      <c r="C100" s="7">
        <v>45475</v>
      </c>
      <c r="D100" s="1" t="s">
        <v>36</v>
      </c>
      <c r="E100" s="1" t="s">
        <v>52</v>
      </c>
      <c r="F100" s="1">
        <v>4171</v>
      </c>
      <c r="G100" s="1">
        <v>548</v>
      </c>
      <c r="H100" s="1">
        <v>86</v>
      </c>
      <c r="I100" s="1">
        <v>66736</v>
      </c>
      <c r="J100" s="1">
        <v>66634</v>
      </c>
      <c r="K100" s="1">
        <v>173</v>
      </c>
      <c r="L100" s="1" t="s">
        <v>48</v>
      </c>
      <c r="M100" s="1" t="s">
        <v>359</v>
      </c>
      <c r="N100" s="1" t="s">
        <v>359</v>
      </c>
      <c r="O100" s="8" t="s">
        <v>26</v>
      </c>
    </row>
    <row r="101" spans="1:15" x14ac:dyDescent="0.3">
      <c r="A101" s="6" t="s">
        <v>153</v>
      </c>
      <c r="B101" s="1" t="s">
        <v>23</v>
      </c>
      <c r="C101" s="7">
        <v>45698</v>
      </c>
      <c r="D101" s="1" t="s">
        <v>56</v>
      </c>
      <c r="E101" s="1" t="s">
        <v>136</v>
      </c>
      <c r="F101" s="1">
        <v>1766</v>
      </c>
      <c r="G101" s="1">
        <v>92</v>
      </c>
      <c r="H101" s="1">
        <v>424</v>
      </c>
      <c r="I101" s="1">
        <v>24724</v>
      </c>
      <c r="J101" s="1">
        <v>24333</v>
      </c>
      <c r="K101" s="1">
        <v>52</v>
      </c>
      <c r="L101" s="1" t="s">
        <v>31</v>
      </c>
      <c r="M101" s="1" t="s">
        <v>359</v>
      </c>
      <c r="N101" s="1" t="s">
        <v>359</v>
      </c>
      <c r="O101" s="8" t="s">
        <v>360</v>
      </c>
    </row>
    <row r="102" spans="1:15" x14ac:dyDescent="0.3">
      <c r="A102" s="6" t="s">
        <v>154</v>
      </c>
      <c r="B102" s="1" t="s">
        <v>23</v>
      </c>
      <c r="C102" s="7">
        <v>45583</v>
      </c>
      <c r="D102" s="1" t="s">
        <v>56</v>
      </c>
      <c r="E102" s="1" t="s">
        <v>136</v>
      </c>
      <c r="F102" s="1">
        <v>4450</v>
      </c>
      <c r="G102" s="1">
        <v>983</v>
      </c>
      <c r="H102" s="1">
        <v>143</v>
      </c>
      <c r="I102" s="1">
        <v>75650</v>
      </c>
      <c r="J102" s="1">
        <v>75008</v>
      </c>
      <c r="K102" s="1">
        <v>12</v>
      </c>
      <c r="L102" s="1" t="s">
        <v>48</v>
      </c>
      <c r="M102" s="1" t="s">
        <v>359</v>
      </c>
      <c r="N102" s="1" t="s">
        <v>359</v>
      </c>
      <c r="O102" s="8" t="s">
        <v>26</v>
      </c>
    </row>
    <row r="103" spans="1:15" x14ac:dyDescent="0.3">
      <c r="A103" s="6" t="s">
        <v>155</v>
      </c>
      <c r="B103" s="1" t="s">
        <v>14</v>
      </c>
      <c r="C103" s="7">
        <v>45553</v>
      </c>
      <c r="D103" s="1" t="s">
        <v>15</v>
      </c>
      <c r="E103" s="1" t="s">
        <v>16</v>
      </c>
      <c r="F103" s="1">
        <v>1000</v>
      </c>
      <c r="G103" s="1">
        <v>978</v>
      </c>
      <c r="H103" s="1">
        <v>162</v>
      </c>
      <c r="I103" s="1">
        <v>6000</v>
      </c>
      <c r="J103" s="1">
        <v>5221</v>
      </c>
      <c r="K103" s="1">
        <v>223</v>
      </c>
      <c r="L103" s="1" t="s">
        <v>31</v>
      </c>
      <c r="M103" s="1" t="s">
        <v>359</v>
      </c>
      <c r="N103" s="1" t="s">
        <v>359</v>
      </c>
      <c r="O103" s="8" t="s">
        <v>21</v>
      </c>
    </row>
    <row r="104" spans="1:15" x14ac:dyDescent="0.3">
      <c r="A104" s="6" t="s">
        <v>156</v>
      </c>
      <c r="B104" s="1" t="s">
        <v>35</v>
      </c>
      <c r="C104" s="7">
        <v>45454</v>
      </c>
      <c r="D104" s="1" t="s">
        <v>41</v>
      </c>
      <c r="E104" s="1" t="s">
        <v>46</v>
      </c>
      <c r="F104" s="1">
        <v>3689</v>
      </c>
      <c r="G104" s="1">
        <v>48</v>
      </c>
      <c r="H104" s="1">
        <v>306</v>
      </c>
      <c r="I104" s="1">
        <v>40579</v>
      </c>
      <c r="J104" s="1">
        <v>39588</v>
      </c>
      <c r="K104" s="1">
        <v>212</v>
      </c>
      <c r="L104" s="1" t="s">
        <v>31</v>
      </c>
      <c r="M104" s="1" t="s">
        <v>359</v>
      </c>
      <c r="N104" s="1" t="s">
        <v>359</v>
      </c>
      <c r="O104" s="8" t="s">
        <v>21</v>
      </c>
    </row>
    <row r="105" spans="1:15" x14ac:dyDescent="0.3">
      <c r="A105" s="6" t="s">
        <v>157</v>
      </c>
      <c r="B105" s="1" t="s">
        <v>23</v>
      </c>
      <c r="C105" s="7">
        <v>45739</v>
      </c>
      <c r="D105" s="1" t="s">
        <v>29</v>
      </c>
      <c r="E105" s="1" t="s">
        <v>101</v>
      </c>
      <c r="F105" s="1">
        <v>3655</v>
      </c>
      <c r="G105" s="1">
        <v>568</v>
      </c>
      <c r="H105" s="1">
        <v>286</v>
      </c>
      <c r="I105" s="1">
        <v>32895</v>
      </c>
      <c r="J105" s="1">
        <v>32015</v>
      </c>
      <c r="K105" s="1">
        <v>199</v>
      </c>
      <c r="L105" s="1" t="s">
        <v>25</v>
      </c>
      <c r="M105" s="1" t="s">
        <v>359</v>
      </c>
      <c r="N105" s="1" t="s">
        <v>359</v>
      </c>
      <c r="O105" s="8" t="s">
        <v>26</v>
      </c>
    </row>
    <row r="106" spans="1:15" x14ac:dyDescent="0.3">
      <c r="A106" s="6" t="s">
        <v>158</v>
      </c>
      <c r="B106" s="1" t="s">
        <v>28</v>
      </c>
      <c r="C106" s="7">
        <v>45457</v>
      </c>
      <c r="D106" s="1" t="s">
        <v>36</v>
      </c>
      <c r="E106" s="1" t="s">
        <v>65</v>
      </c>
      <c r="F106" s="1">
        <v>498</v>
      </c>
      <c r="G106" s="1">
        <v>38</v>
      </c>
      <c r="H106" s="1">
        <v>42</v>
      </c>
      <c r="I106" s="1">
        <v>4482</v>
      </c>
      <c r="J106" s="1">
        <v>3647</v>
      </c>
      <c r="K106" s="1">
        <v>32</v>
      </c>
      <c r="L106" s="1" t="s">
        <v>48</v>
      </c>
      <c r="M106" s="1" t="s">
        <v>359</v>
      </c>
      <c r="N106" s="1" t="s">
        <v>359</v>
      </c>
      <c r="O106" s="8" t="s">
        <v>17</v>
      </c>
    </row>
    <row r="107" spans="1:15" x14ac:dyDescent="0.3">
      <c r="A107" s="6" t="s">
        <v>159</v>
      </c>
      <c r="B107" s="1" t="s">
        <v>28</v>
      </c>
      <c r="C107" s="7">
        <v>45692</v>
      </c>
      <c r="D107" s="1" t="s">
        <v>41</v>
      </c>
      <c r="E107" s="1" t="s">
        <v>134</v>
      </c>
      <c r="F107" s="1">
        <v>4619</v>
      </c>
      <c r="G107" s="1">
        <v>821</v>
      </c>
      <c r="H107" s="1">
        <v>499</v>
      </c>
      <c r="I107" s="1">
        <v>69285</v>
      </c>
      <c r="J107" s="1">
        <v>69141</v>
      </c>
      <c r="K107" s="1">
        <v>298</v>
      </c>
      <c r="L107" s="1" t="s">
        <v>25</v>
      </c>
      <c r="M107" s="1" t="s">
        <v>359</v>
      </c>
      <c r="N107" s="1" t="s">
        <v>359</v>
      </c>
      <c r="O107" s="8" t="s">
        <v>32</v>
      </c>
    </row>
    <row r="108" spans="1:15" x14ac:dyDescent="0.3">
      <c r="A108" s="6" t="s">
        <v>160</v>
      </c>
      <c r="B108" s="1" t="s">
        <v>23</v>
      </c>
      <c r="C108" s="7">
        <v>45464</v>
      </c>
      <c r="D108" s="1" t="s">
        <v>41</v>
      </c>
      <c r="E108" s="1" t="s">
        <v>42</v>
      </c>
      <c r="F108" s="1">
        <v>4832</v>
      </c>
      <c r="G108" s="1">
        <v>893</v>
      </c>
      <c r="H108" s="1">
        <v>10</v>
      </c>
      <c r="I108" s="1">
        <v>91808</v>
      </c>
      <c r="J108" s="1">
        <v>91296</v>
      </c>
      <c r="K108" s="1">
        <v>182</v>
      </c>
      <c r="L108" s="1" t="s">
        <v>25</v>
      </c>
      <c r="M108" s="1" t="s">
        <v>359</v>
      </c>
      <c r="N108" s="1" t="s">
        <v>359</v>
      </c>
      <c r="O108" s="8" t="s">
        <v>360</v>
      </c>
    </row>
    <row r="109" spans="1:15" x14ac:dyDescent="0.3">
      <c r="A109" s="6" t="s">
        <v>161</v>
      </c>
      <c r="B109" s="1" t="s">
        <v>14</v>
      </c>
      <c r="C109" s="7">
        <v>45741</v>
      </c>
      <c r="D109" s="1" t="s">
        <v>56</v>
      </c>
      <c r="E109" s="1" t="s">
        <v>95</v>
      </c>
      <c r="F109" s="1">
        <v>4050</v>
      </c>
      <c r="G109" s="1">
        <v>871</v>
      </c>
      <c r="H109" s="1">
        <v>347</v>
      </c>
      <c r="I109" s="1">
        <v>52650</v>
      </c>
      <c r="J109" s="1">
        <v>51755</v>
      </c>
      <c r="K109" s="1">
        <v>209</v>
      </c>
      <c r="L109" s="1" t="s">
        <v>25</v>
      </c>
      <c r="M109" s="1" t="s">
        <v>359</v>
      </c>
      <c r="N109" s="1" t="s">
        <v>359</v>
      </c>
      <c r="O109" s="8" t="s">
        <v>21</v>
      </c>
    </row>
    <row r="110" spans="1:15" x14ac:dyDescent="0.3">
      <c r="A110" s="6" t="s">
        <v>162</v>
      </c>
      <c r="B110" s="1" t="s">
        <v>14</v>
      </c>
      <c r="C110" s="7">
        <v>45512</v>
      </c>
      <c r="D110" s="1" t="s">
        <v>29</v>
      </c>
      <c r="E110" s="1" t="s">
        <v>98</v>
      </c>
      <c r="F110" s="1">
        <v>3649</v>
      </c>
      <c r="G110" s="1">
        <v>215</v>
      </c>
      <c r="H110" s="1">
        <v>413</v>
      </c>
      <c r="I110" s="1">
        <v>25543</v>
      </c>
      <c r="J110" s="1">
        <v>24963</v>
      </c>
      <c r="K110" s="1">
        <v>167</v>
      </c>
      <c r="L110" s="1" t="s">
        <v>48</v>
      </c>
      <c r="M110" s="1" t="s">
        <v>359</v>
      </c>
      <c r="N110" s="1" t="s">
        <v>359</v>
      </c>
      <c r="O110" s="8" t="s">
        <v>26</v>
      </c>
    </row>
    <row r="111" spans="1:15" x14ac:dyDescent="0.3">
      <c r="A111" s="6" t="s">
        <v>163</v>
      </c>
      <c r="B111" s="1" t="s">
        <v>28</v>
      </c>
      <c r="C111" s="7">
        <v>45502</v>
      </c>
      <c r="D111" s="1" t="s">
        <v>15</v>
      </c>
      <c r="E111" s="1" t="s">
        <v>61</v>
      </c>
      <c r="F111" s="1">
        <v>3523</v>
      </c>
      <c r="G111" s="1">
        <v>753</v>
      </c>
      <c r="H111" s="1">
        <v>482</v>
      </c>
      <c r="I111" s="1">
        <v>38753</v>
      </c>
      <c r="J111" s="1">
        <v>38579</v>
      </c>
      <c r="K111" s="1">
        <v>270</v>
      </c>
      <c r="L111" s="1" t="s">
        <v>31</v>
      </c>
      <c r="M111" s="1" t="s">
        <v>359</v>
      </c>
      <c r="N111" s="1" t="s">
        <v>359</v>
      </c>
      <c r="O111" s="8" t="s">
        <v>21</v>
      </c>
    </row>
    <row r="112" spans="1:15" x14ac:dyDescent="0.3">
      <c r="A112" s="6" t="s">
        <v>164</v>
      </c>
      <c r="B112" s="1" t="s">
        <v>23</v>
      </c>
      <c r="C112" s="7">
        <v>45619</v>
      </c>
      <c r="D112" s="1" t="s">
        <v>41</v>
      </c>
      <c r="E112" s="1" t="s">
        <v>42</v>
      </c>
      <c r="F112" s="1">
        <v>2719</v>
      </c>
      <c r="G112" s="1">
        <v>17</v>
      </c>
      <c r="H112" s="1">
        <v>285</v>
      </c>
      <c r="I112" s="1">
        <v>40785</v>
      </c>
      <c r="J112" s="1">
        <v>40281</v>
      </c>
      <c r="K112" s="1">
        <v>40</v>
      </c>
      <c r="L112" s="1" t="s">
        <v>25</v>
      </c>
      <c r="M112" s="1" t="s">
        <v>359</v>
      </c>
      <c r="N112" s="1" t="s">
        <v>359</v>
      </c>
      <c r="O112" s="8" t="s">
        <v>21</v>
      </c>
    </row>
    <row r="113" spans="1:15" x14ac:dyDescent="0.3">
      <c r="A113" s="6" t="s">
        <v>165</v>
      </c>
      <c r="B113" s="1" t="s">
        <v>14</v>
      </c>
      <c r="C113" s="7">
        <v>45570</v>
      </c>
      <c r="D113" s="1" t="s">
        <v>29</v>
      </c>
      <c r="E113" s="1" t="s">
        <v>98</v>
      </c>
      <c r="F113" s="1">
        <v>1957</v>
      </c>
      <c r="G113" s="1">
        <v>877</v>
      </c>
      <c r="H113" s="1">
        <v>238</v>
      </c>
      <c r="I113" s="1">
        <v>17613</v>
      </c>
      <c r="J113" s="1">
        <v>16865</v>
      </c>
      <c r="K113" s="1">
        <v>297</v>
      </c>
      <c r="L113" s="1" t="s">
        <v>48</v>
      </c>
      <c r="M113" s="1" t="s">
        <v>359</v>
      </c>
      <c r="N113" s="1" t="s">
        <v>359</v>
      </c>
      <c r="O113" s="8" t="s">
        <v>26</v>
      </c>
    </row>
    <row r="114" spans="1:15" x14ac:dyDescent="0.3">
      <c r="A114" s="6" t="s">
        <v>166</v>
      </c>
      <c r="B114" s="1" t="s">
        <v>14</v>
      </c>
      <c r="C114" s="7">
        <v>45567</v>
      </c>
      <c r="D114" s="1" t="s">
        <v>36</v>
      </c>
      <c r="E114" s="1" t="s">
        <v>39</v>
      </c>
      <c r="F114" s="1">
        <v>4419</v>
      </c>
      <c r="G114" s="1">
        <v>236</v>
      </c>
      <c r="H114" s="1">
        <v>369</v>
      </c>
      <c r="I114" s="1">
        <v>44190</v>
      </c>
      <c r="J114" s="1">
        <v>43582</v>
      </c>
      <c r="K114" s="1">
        <v>10</v>
      </c>
      <c r="L114" s="1" t="s">
        <v>31</v>
      </c>
      <c r="M114" s="1" t="s">
        <v>359</v>
      </c>
      <c r="N114" s="1" t="s">
        <v>359</v>
      </c>
      <c r="O114" s="8" t="s">
        <v>17</v>
      </c>
    </row>
    <row r="115" spans="1:15" x14ac:dyDescent="0.3">
      <c r="A115" s="6" t="s">
        <v>167</v>
      </c>
      <c r="B115" s="1" t="s">
        <v>14</v>
      </c>
      <c r="C115" s="7">
        <v>45610</v>
      </c>
      <c r="D115" s="1" t="s">
        <v>29</v>
      </c>
      <c r="E115" s="1" t="s">
        <v>98</v>
      </c>
      <c r="F115" s="1">
        <v>4000</v>
      </c>
      <c r="G115" s="1">
        <v>689</v>
      </c>
      <c r="H115" s="1">
        <v>488</v>
      </c>
      <c r="I115" s="1">
        <v>40000</v>
      </c>
      <c r="J115" s="1">
        <v>39569</v>
      </c>
      <c r="K115" s="1">
        <v>44</v>
      </c>
      <c r="L115" s="1" t="s">
        <v>48</v>
      </c>
      <c r="M115" s="1" t="s">
        <v>359</v>
      </c>
      <c r="N115" s="1" t="s">
        <v>359</v>
      </c>
      <c r="O115" s="8" t="s">
        <v>17</v>
      </c>
    </row>
    <row r="116" spans="1:15" x14ac:dyDescent="0.3">
      <c r="A116" s="6" t="s">
        <v>168</v>
      </c>
      <c r="B116" s="1" t="s">
        <v>14</v>
      </c>
      <c r="C116" s="7">
        <v>45788</v>
      </c>
      <c r="D116" s="1" t="s">
        <v>41</v>
      </c>
      <c r="E116" s="1" t="s">
        <v>88</v>
      </c>
      <c r="F116" s="1">
        <v>2493</v>
      </c>
      <c r="G116" s="1">
        <v>97</v>
      </c>
      <c r="H116" s="1">
        <v>44</v>
      </c>
      <c r="I116" s="1">
        <v>42381</v>
      </c>
      <c r="J116" s="1">
        <v>41991</v>
      </c>
      <c r="K116" s="1">
        <v>242</v>
      </c>
      <c r="L116" s="1" t="s">
        <v>25</v>
      </c>
      <c r="M116" s="1" t="s">
        <v>354</v>
      </c>
      <c r="N116" s="1" t="s">
        <v>359</v>
      </c>
      <c r="O116" s="8" t="s">
        <v>32</v>
      </c>
    </row>
    <row r="117" spans="1:15" x14ac:dyDescent="0.3">
      <c r="A117" s="6" t="s">
        <v>169</v>
      </c>
      <c r="B117" s="1" t="s">
        <v>23</v>
      </c>
      <c r="C117" s="7">
        <v>45734</v>
      </c>
      <c r="D117" s="1" t="s">
        <v>15</v>
      </c>
      <c r="E117" s="1" t="s">
        <v>24</v>
      </c>
      <c r="F117" s="1">
        <v>3704</v>
      </c>
      <c r="G117" s="1">
        <v>186</v>
      </c>
      <c r="H117" s="1">
        <v>458</v>
      </c>
      <c r="I117" s="1">
        <v>25928</v>
      </c>
      <c r="J117" s="1">
        <v>25081</v>
      </c>
      <c r="K117" s="1">
        <v>131</v>
      </c>
      <c r="L117" s="1" t="s">
        <v>25</v>
      </c>
      <c r="M117" s="1" t="s">
        <v>359</v>
      </c>
      <c r="N117" s="1" t="s">
        <v>359</v>
      </c>
      <c r="O117" s="8" t="s">
        <v>360</v>
      </c>
    </row>
    <row r="118" spans="1:15" x14ac:dyDescent="0.3">
      <c r="A118" s="6" t="s">
        <v>170</v>
      </c>
      <c r="B118" s="1" t="s">
        <v>14</v>
      </c>
      <c r="C118" s="7">
        <v>45600</v>
      </c>
      <c r="D118" s="1" t="s">
        <v>41</v>
      </c>
      <c r="E118" s="1" t="s">
        <v>88</v>
      </c>
      <c r="F118" s="1">
        <v>1606</v>
      </c>
      <c r="G118" s="1">
        <v>451</v>
      </c>
      <c r="H118" s="1">
        <v>405</v>
      </c>
      <c r="I118" s="1">
        <v>20878</v>
      </c>
      <c r="J118" s="1">
        <v>20190</v>
      </c>
      <c r="K118" s="1">
        <v>219</v>
      </c>
      <c r="L118" s="1" t="s">
        <v>31</v>
      </c>
      <c r="M118" s="1" t="s">
        <v>359</v>
      </c>
      <c r="N118" s="1" t="s">
        <v>359</v>
      </c>
      <c r="O118" s="8" t="s">
        <v>32</v>
      </c>
    </row>
    <row r="119" spans="1:15" x14ac:dyDescent="0.3">
      <c r="A119" s="6" t="s">
        <v>171</v>
      </c>
      <c r="B119" s="1" t="s">
        <v>35</v>
      </c>
      <c r="C119" s="7">
        <v>45600</v>
      </c>
      <c r="D119" s="1" t="s">
        <v>41</v>
      </c>
      <c r="E119" s="1" t="s">
        <v>46</v>
      </c>
      <c r="F119" s="1">
        <v>4551</v>
      </c>
      <c r="G119" s="1">
        <v>714</v>
      </c>
      <c r="H119" s="1">
        <v>207</v>
      </c>
      <c r="I119" s="1">
        <v>68265</v>
      </c>
      <c r="J119" s="1">
        <v>67754</v>
      </c>
      <c r="K119" s="1">
        <v>57</v>
      </c>
      <c r="L119" s="1" t="s">
        <v>48</v>
      </c>
      <c r="M119" s="1" t="s">
        <v>359</v>
      </c>
      <c r="N119" s="1" t="s">
        <v>359</v>
      </c>
      <c r="O119" s="8" t="s">
        <v>26</v>
      </c>
    </row>
    <row r="120" spans="1:15" x14ac:dyDescent="0.3">
      <c r="A120" s="6" t="s">
        <v>172</v>
      </c>
      <c r="B120" s="1" t="s">
        <v>28</v>
      </c>
      <c r="C120" s="7">
        <v>45695</v>
      </c>
      <c r="D120" s="1" t="s">
        <v>15</v>
      </c>
      <c r="E120" s="1" t="s">
        <v>61</v>
      </c>
      <c r="F120" s="1">
        <v>1970</v>
      </c>
      <c r="G120" s="1">
        <v>675</v>
      </c>
      <c r="H120" s="1">
        <v>478</v>
      </c>
      <c r="I120" s="1">
        <v>9850</v>
      </c>
      <c r="J120" s="1">
        <v>8924</v>
      </c>
      <c r="K120" s="1">
        <v>117</v>
      </c>
      <c r="L120" s="1" t="s">
        <v>48</v>
      </c>
      <c r="M120" s="1" t="s">
        <v>359</v>
      </c>
      <c r="N120" s="1" t="s">
        <v>359</v>
      </c>
      <c r="O120" s="8" t="s">
        <v>360</v>
      </c>
    </row>
    <row r="121" spans="1:15" x14ac:dyDescent="0.3">
      <c r="A121" s="6" t="s">
        <v>173</v>
      </c>
      <c r="B121" s="1" t="s">
        <v>35</v>
      </c>
      <c r="C121" s="7">
        <v>45586</v>
      </c>
      <c r="D121" s="1" t="s">
        <v>29</v>
      </c>
      <c r="E121" s="1" t="s">
        <v>54</v>
      </c>
      <c r="F121" s="1">
        <v>780</v>
      </c>
      <c r="G121" s="1">
        <v>928</v>
      </c>
      <c r="H121" s="1">
        <v>301</v>
      </c>
      <c r="I121" s="1">
        <v>8580</v>
      </c>
      <c r="J121" s="1">
        <v>8081</v>
      </c>
      <c r="K121" s="1">
        <v>91</v>
      </c>
      <c r="L121" s="1" t="s">
        <v>31</v>
      </c>
      <c r="M121" s="1" t="s">
        <v>359</v>
      </c>
      <c r="N121" s="1" t="s">
        <v>359</v>
      </c>
      <c r="O121" s="8" t="s">
        <v>26</v>
      </c>
    </row>
    <row r="122" spans="1:15" x14ac:dyDescent="0.3">
      <c r="A122" s="6" t="s">
        <v>174</v>
      </c>
      <c r="B122" s="1" t="s">
        <v>28</v>
      </c>
      <c r="C122" s="7">
        <v>45502</v>
      </c>
      <c r="D122" s="1" t="s">
        <v>29</v>
      </c>
      <c r="E122" s="1" t="s">
        <v>30</v>
      </c>
      <c r="F122" s="1">
        <v>498</v>
      </c>
      <c r="G122" s="1">
        <v>701</v>
      </c>
      <c r="H122" s="1">
        <v>412</v>
      </c>
      <c r="I122" s="1">
        <v>4980</v>
      </c>
      <c r="J122" s="1">
        <v>4185</v>
      </c>
      <c r="K122" s="1">
        <v>185</v>
      </c>
      <c r="L122" s="1" t="s">
        <v>48</v>
      </c>
      <c r="M122" s="1" t="s">
        <v>359</v>
      </c>
      <c r="N122" s="1" t="s">
        <v>359</v>
      </c>
      <c r="O122" s="8" t="s">
        <v>360</v>
      </c>
    </row>
    <row r="123" spans="1:15" x14ac:dyDescent="0.3">
      <c r="A123" s="6" t="s">
        <v>175</v>
      </c>
      <c r="B123" s="1" t="s">
        <v>28</v>
      </c>
      <c r="C123" s="7">
        <v>45567</v>
      </c>
      <c r="D123" s="1" t="s">
        <v>19</v>
      </c>
      <c r="E123" s="1" t="s">
        <v>78</v>
      </c>
      <c r="F123" s="1">
        <v>3432</v>
      </c>
      <c r="G123" s="1">
        <v>869</v>
      </c>
      <c r="H123" s="1">
        <v>123</v>
      </c>
      <c r="I123" s="1">
        <v>54912</v>
      </c>
      <c r="J123" s="1">
        <v>53916</v>
      </c>
      <c r="K123" s="1">
        <v>264</v>
      </c>
      <c r="L123" s="1" t="s">
        <v>31</v>
      </c>
      <c r="M123" s="1" t="s">
        <v>359</v>
      </c>
      <c r="N123" s="1" t="s">
        <v>359</v>
      </c>
      <c r="O123" s="8" t="s">
        <v>21</v>
      </c>
    </row>
    <row r="124" spans="1:15" x14ac:dyDescent="0.3">
      <c r="A124" s="6" t="s">
        <v>176</v>
      </c>
      <c r="B124" s="1" t="s">
        <v>28</v>
      </c>
      <c r="C124" s="7">
        <v>45457</v>
      </c>
      <c r="D124" s="1" t="s">
        <v>29</v>
      </c>
      <c r="E124" s="1" t="s">
        <v>30</v>
      </c>
      <c r="F124" s="1">
        <v>4363</v>
      </c>
      <c r="G124" s="1">
        <v>649</v>
      </c>
      <c r="H124" s="1">
        <v>140</v>
      </c>
      <c r="I124" s="1">
        <v>21815</v>
      </c>
      <c r="J124" s="1">
        <v>21481</v>
      </c>
      <c r="K124" s="1">
        <v>157</v>
      </c>
      <c r="L124" s="1" t="s">
        <v>31</v>
      </c>
      <c r="M124" s="1" t="s">
        <v>359</v>
      </c>
      <c r="N124" s="1" t="s">
        <v>359</v>
      </c>
      <c r="O124" s="8" t="s">
        <v>17</v>
      </c>
    </row>
    <row r="125" spans="1:15" x14ac:dyDescent="0.3">
      <c r="A125" s="6" t="s">
        <v>177</v>
      </c>
      <c r="B125" s="1" t="s">
        <v>23</v>
      </c>
      <c r="C125" s="7">
        <v>45753</v>
      </c>
      <c r="D125" s="1" t="s">
        <v>36</v>
      </c>
      <c r="E125" s="1" t="s">
        <v>52</v>
      </c>
      <c r="F125" s="1">
        <v>736</v>
      </c>
      <c r="G125" s="1">
        <v>771</v>
      </c>
      <c r="H125" s="1">
        <v>225</v>
      </c>
      <c r="I125" s="1">
        <v>5152</v>
      </c>
      <c r="J125" s="1">
        <v>4706</v>
      </c>
      <c r="K125" s="1">
        <v>19</v>
      </c>
      <c r="L125" s="1" t="s">
        <v>31</v>
      </c>
      <c r="M125" s="1" t="s">
        <v>359</v>
      </c>
      <c r="N125" s="1" t="s">
        <v>359</v>
      </c>
      <c r="O125" s="8" t="s">
        <v>17</v>
      </c>
    </row>
    <row r="126" spans="1:15" x14ac:dyDescent="0.3">
      <c r="A126" s="6" t="s">
        <v>178</v>
      </c>
      <c r="B126" s="1" t="s">
        <v>14</v>
      </c>
      <c r="C126" s="7">
        <v>45543</v>
      </c>
      <c r="D126" s="1" t="s">
        <v>36</v>
      </c>
      <c r="E126" s="1" t="s">
        <v>39</v>
      </c>
      <c r="F126" s="1">
        <v>3811</v>
      </c>
      <c r="G126" s="1">
        <v>866</v>
      </c>
      <c r="H126" s="1">
        <v>216</v>
      </c>
      <c r="I126" s="1">
        <v>34299</v>
      </c>
      <c r="J126" s="1">
        <v>34088</v>
      </c>
      <c r="K126" s="1">
        <v>233</v>
      </c>
      <c r="L126" s="1" t="s">
        <v>25</v>
      </c>
      <c r="M126" s="1" t="s">
        <v>359</v>
      </c>
      <c r="N126" s="1" t="s">
        <v>359</v>
      </c>
      <c r="O126" s="8" t="s">
        <v>32</v>
      </c>
    </row>
    <row r="127" spans="1:15" x14ac:dyDescent="0.3">
      <c r="A127" s="6" t="s">
        <v>179</v>
      </c>
      <c r="B127" s="1" t="s">
        <v>28</v>
      </c>
      <c r="C127" s="7">
        <v>45744</v>
      </c>
      <c r="D127" s="1" t="s">
        <v>36</v>
      </c>
      <c r="E127" s="1" t="s">
        <v>65</v>
      </c>
      <c r="F127" s="1">
        <v>4158</v>
      </c>
      <c r="G127" s="1">
        <v>167</v>
      </c>
      <c r="H127" s="1">
        <v>241</v>
      </c>
      <c r="I127" s="1">
        <v>45738</v>
      </c>
      <c r="J127" s="1">
        <v>45183</v>
      </c>
      <c r="K127" s="1">
        <v>142</v>
      </c>
      <c r="L127" s="1" t="s">
        <v>48</v>
      </c>
      <c r="M127" s="1" t="s">
        <v>359</v>
      </c>
      <c r="N127" s="1" t="s">
        <v>359</v>
      </c>
      <c r="O127" s="8" t="s">
        <v>360</v>
      </c>
    </row>
    <row r="128" spans="1:15" x14ac:dyDescent="0.3">
      <c r="A128" s="6" t="s">
        <v>180</v>
      </c>
      <c r="B128" s="1" t="s">
        <v>35</v>
      </c>
      <c r="C128" s="7">
        <v>45684</v>
      </c>
      <c r="D128" s="1" t="s">
        <v>15</v>
      </c>
      <c r="E128" s="1" t="s">
        <v>50</v>
      </c>
      <c r="F128" s="1">
        <v>3452</v>
      </c>
      <c r="G128" s="1">
        <v>652</v>
      </c>
      <c r="H128" s="1">
        <v>442</v>
      </c>
      <c r="I128" s="1">
        <v>65588</v>
      </c>
      <c r="J128" s="1">
        <v>65049</v>
      </c>
      <c r="K128" s="1">
        <v>158</v>
      </c>
      <c r="L128" s="1" t="s">
        <v>48</v>
      </c>
      <c r="M128" s="1" t="s">
        <v>359</v>
      </c>
      <c r="N128" s="1" t="s">
        <v>359</v>
      </c>
      <c r="O128" s="8" t="s">
        <v>26</v>
      </c>
    </row>
    <row r="129" spans="1:15" x14ac:dyDescent="0.3">
      <c r="A129" s="6" t="s">
        <v>181</v>
      </c>
      <c r="B129" s="1" t="s">
        <v>14</v>
      </c>
      <c r="C129" s="7">
        <v>45667</v>
      </c>
      <c r="D129" s="1" t="s">
        <v>41</v>
      </c>
      <c r="E129" s="1" t="s">
        <v>88</v>
      </c>
      <c r="F129" s="1">
        <v>3092</v>
      </c>
      <c r="G129" s="1">
        <v>106</v>
      </c>
      <c r="H129" s="1">
        <v>291</v>
      </c>
      <c r="I129" s="1">
        <v>27828</v>
      </c>
      <c r="J129" s="1">
        <v>27217</v>
      </c>
      <c r="K129" s="1">
        <v>102</v>
      </c>
      <c r="L129" s="1" t="s">
        <v>48</v>
      </c>
      <c r="M129" s="1" t="s">
        <v>359</v>
      </c>
      <c r="N129" s="1" t="s">
        <v>359</v>
      </c>
      <c r="O129" s="8" t="s">
        <v>360</v>
      </c>
    </row>
    <row r="130" spans="1:15" x14ac:dyDescent="0.3">
      <c r="A130" s="6" t="s">
        <v>182</v>
      </c>
      <c r="B130" s="1" t="s">
        <v>14</v>
      </c>
      <c r="C130" s="7">
        <v>45494</v>
      </c>
      <c r="D130" s="1" t="s">
        <v>19</v>
      </c>
      <c r="E130" s="1" t="s">
        <v>20</v>
      </c>
      <c r="F130" s="1">
        <v>2147</v>
      </c>
      <c r="G130" s="1">
        <v>430</v>
      </c>
      <c r="H130" s="1">
        <v>393</v>
      </c>
      <c r="I130" s="1">
        <v>17176</v>
      </c>
      <c r="J130" s="1">
        <v>16483</v>
      </c>
      <c r="K130" s="1">
        <v>170</v>
      </c>
      <c r="L130" s="1" t="s">
        <v>25</v>
      </c>
      <c r="M130" s="1" t="s">
        <v>359</v>
      </c>
      <c r="N130" s="1" t="s">
        <v>359</v>
      </c>
      <c r="O130" s="8" t="s">
        <v>360</v>
      </c>
    </row>
    <row r="131" spans="1:15" x14ac:dyDescent="0.3">
      <c r="A131" s="6" t="s">
        <v>183</v>
      </c>
      <c r="B131" s="1" t="s">
        <v>23</v>
      </c>
      <c r="C131" s="7">
        <v>45564</v>
      </c>
      <c r="D131" s="1" t="s">
        <v>15</v>
      </c>
      <c r="E131" s="1" t="s">
        <v>24</v>
      </c>
      <c r="F131" s="1">
        <v>2936</v>
      </c>
      <c r="G131" s="1">
        <v>439</v>
      </c>
      <c r="H131" s="1">
        <v>44</v>
      </c>
      <c r="I131" s="1">
        <v>38168</v>
      </c>
      <c r="J131" s="1">
        <v>37571</v>
      </c>
      <c r="K131" s="1">
        <v>22</v>
      </c>
      <c r="L131" s="1" t="s">
        <v>31</v>
      </c>
      <c r="M131" s="1" t="s">
        <v>359</v>
      </c>
      <c r="N131" s="1" t="s">
        <v>359</v>
      </c>
      <c r="O131" s="8" t="s">
        <v>32</v>
      </c>
    </row>
    <row r="132" spans="1:15" x14ac:dyDescent="0.3">
      <c r="A132" s="6" t="s">
        <v>184</v>
      </c>
      <c r="B132" s="1" t="s">
        <v>28</v>
      </c>
      <c r="C132" s="7">
        <v>45586</v>
      </c>
      <c r="D132" s="1" t="s">
        <v>15</v>
      </c>
      <c r="E132" s="1" t="s">
        <v>61</v>
      </c>
      <c r="F132" s="1">
        <v>4840</v>
      </c>
      <c r="G132" s="1">
        <v>658</v>
      </c>
      <c r="H132" s="1">
        <v>211</v>
      </c>
      <c r="I132" s="1">
        <v>43560</v>
      </c>
      <c r="J132" s="1">
        <v>43225</v>
      </c>
      <c r="K132" s="1">
        <v>57</v>
      </c>
      <c r="L132" s="1" t="s">
        <v>48</v>
      </c>
      <c r="M132" s="1" t="s">
        <v>359</v>
      </c>
      <c r="N132" s="1" t="s">
        <v>359</v>
      </c>
      <c r="O132" s="8" t="s">
        <v>26</v>
      </c>
    </row>
    <row r="133" spans="1:15" x14ac:dyDescent="0.3">
      <c r="A133" s="6" t="s">
        <v>185</v>
      </c>
      <c r="B133" s="1" t="s">
        <v>28</v>
      </c>
      <c r="C133" s="7">
        <v>45720</v>
      </c>
      <c r="D133" s="1" t="s">
        <v>29</v>
      </c>
      <c r="E133" s="1" t="s">
        <v>30</v>
      </c>
      <c r="F133" s="1">
        <v>1947</v>
      </c>
      <c r="G133" s="1">
        <v>842</v>
      </c>
      <c r="H133" s="1">
        <v>101</v>
      </c>
      <c r="I133" s="1">
        <v>21417</v>
      </c>
      <c r="J133" s="1">
        <v>20967</v>
      </c>
      <c r="K133" s="1">
        <v>186</v>
      </c>
      <c r="L133" s="1" t="s">
        <v>48</v>
      </c>
      <c r="M133" s="1" t="s">
        <v>359</v>
      </c>
      <c r="N133" s="1" t="s">
        <v>359</v>
      </c>
      <c r="O133" s="8" t="s">
        <v>21</v>
      </c>
    </row>
    <row r="134" spans="1:15" x14ac:dyDescent="0.3">
      <c r="A134" s="6" t="s">
        <v>186</v>
      </c>
      <c r="B134" s="1" t="s">
        <v>35</v>
      </c>
      <c r="C134" s="7">
        <v>45694</v>
      </c>
      <c r="D134" s="1" t="s">
        <v>41</v>
      </c>
      <c r="E134" s="1" t="s">
        <v>46</v>
      </c>
      <c r="F134" s="1">
        <v>2072</v>
      </c>
      <c r="G134" s="1">
        <v>532</v>
      </c>
      <c r="H134" s="1">
        <v>71</v>
      </c>
      <c r="I134" s="1">
        <v>37296</v>
      </c>
      <c r="J134" s="1">
        <v>36467</v>
      </c>
      <c r="K134" s="1">
        <v>25</v>
      </c>
      <c r="L134" s="1" t="s">
        <v>25</v>
      </c>
      <c r="M134" s="1" t="s">
        <v>359</v>
      </c>
      <c r="N134" s="1" t="s">
        <v>359</v>
      </c>
      <c r="O134" s="8" t="s">
        <v>32</v>
      </c>
    </row>
    <row r="135" spans="1:15" x14ac:dyDescent="0.3">
      <c r="A135" s="6" t="s">
        <v>187</v>
      </c>
      <c r="B135" s="1" t="s">
        <v>14</v>
      </c>
      <c r="C135" s="7">
        <v>45771</v>
      </c>
      <c r="D135" s="1" t="s">
        <v>15</v>
      </c>
      <c r="E135" s="1" t="s">
        <v>16</v>
      </c>
      <c r="F135" s="1">
        <v>3731</v>
      </c>
      <c r="G135" s="1">
        <v>115</v>
      </c>
      <c r="H135" s="1">
        <v>135</v>
      </c>
      <c r="I135" s="1">
        <v>55965</v>
      </c>
      <c r="J135" s="1">
        <v>55436</v>
      </c>
      <c r="K135" s="1">
        <v>103</v>
      </c>
      <c r="L135" s="1" t="s">
        <v>25</v>
      </c>
      <c r="M135" s="1" t="s">
        <v>359</v>
      </c>
      <c r="N135" s="1" t="s">
        <v>359</v>
      </c>
      <c r="O135" s="8" t="s">
        <v>17</v>
      </c>
    </row>
    <row r="136" spans="1:15" x14ac:dyDescent="0.3">
      <c r="A136" s="6" t="s">
        <v>188</v>
      </c>
      <c r="B136" s="1" t="s">
        <v>35</v>
      </c>
      <c r="C136" s="7">
        <v>45624</v>
      </c>
      <c r="D136" s="1" t="s">
        <v>19</v>
      </c>
      <c r="E136" s="1" t="s">
        <v>44</v>
      </c>
      <c r="F136" s="1">
        <v>4213</v>
      </c>
      <c r="G136" s="1">
        <v>253</v>
      </c>
      <c r="H136" s="1">
        <v>434</v>
      </c>
      <c r="I136" s="1">
        <v>75834</v>
      </c>
      <c r="J136" s="1">
        <v>75437</v>
      </c>
      <c r="K136" s="1">
        <v>272</v>
      </c>
      <c r="L136" s="1" t="s">
        <v>48</v>
      </c>
      <c r="M136" s="1" t="s">
        <v>359</v>
      </c>
      <c r="N136" s="1" t="s">
        <v>359</v>
      </c>
      <c r="O136" s="8" t="s">
        <v>32</v>
      </c>
    </row>
    <row r="137" spans="1:15" x14ac:dyDescent="0.3">
      <c r="A137" s="6" t="s">
        <v>189</v>
      </c>
      <c r="B137" s="1" t="s">
        <v>28</v>
      </c>
      <c r="C137" s="7">
        <v>45484</v>
      </c>
      <c r="D137" s="1" t="s">
        <v>19</v>
      </c>
      <c r="E137" s="1" t="s">
        <v>78</v>
      </c>
      <c r="F137" s="1">
        <v>3134</v>
      </c>
      <c r="G137" s="1">
        <v>888</v>
      </c>
      <c r="H137" s="1">
        <v>444</v>
      </c>
      <c r="I137" s="1">
        <v>21938</v>
      </c>
      <c r="J137" s="1">
        <v>21337</v>
      </c>
      <c r="K137" s="1">
        <v>130</v>
      </c>
      <c r="L137" s="1" t="s">
        <v>31</v>
      </c>
      <c r="M137" s="1" t="s">
        <v>359</v>
      </c>
      <c r="N137" s="1" t="s">
        <v>359</v>
      </c>
      <c r="O137" s="8" t="s">
        <v>32</v>
      </c>
    </row>
    <row r="138" spans="1:15" x14ac:dyDescent="0.3">
      <c r="A138" s="6" t="s">
        <v>190</v>
      </c>
      <c r="B138" s="1" t="s">
        <v>35</v>
      </c>
      <c r="C138" s="7">
        <v>45504</v>
      </c>
      <c r="D138" s="1" t="s">
        <v>56</v>
      </c>
      <c r="E138" s="1" t="s">
        <v>57</v>
      </c>
      <c r="F138" s="1">
        <v>3008</v>
      </c>
      <c r="G138" s="1">
        <v>94</v>
      </c>
      <c r="H138" s="1">
        <v>37</v>
      </c>
      <c r="I138" s="1">
        <v>15040</v>
      </c>
      <c r="J138" s="1">
        <v>14639</v>
      </c>
      <c r="K138" s="1">
        <v>277</v>
      </c>
      <c r="L138" s="1" t="s">
        <v>48</v>
      </c>
      <c r="M138" s="1" t="s">
        <v>359</v>
      </c>
      <c r="N138" s="1" t="s">
        <v>359</v>
      </c>
      <c r="O138" s="8" t="s">
        <v>360</v>
      </c>
    </row>
    <row r="139" spans="1:15" x14ac:dyDescent="0.3">
      <c r="A139" s="6" t="s">
        <v>191</v>
      </c>
      <c r="B139" s="1" t="s">
        <v>14</v>
      </c>
      <c r="C139" s="7">
        <v>45745</v>
      </c>
      <c r="D139" s="1" t="s">
        <v>41</v>
      </c>
      <c r="E139" s="1" t="s">
        <v>88</v>
      </c>
      <c r="F139" s="1">
        <v>305</v>
      </c>
      <c r="G139" s="1">
        <v>187</v>
      </c>
      <c r="H139" s="1">
        <v>243</v>
      </c>
      <c r="I139" s="1">
        <v>4575</v>
      </c>
      <c r="J139" s="1">
        <v>3704</v>
      </c>
      <c r="K139" s="1">
        <v>234</v>
      </c>
      <c r="L139" s="1" t="s">
        <v>48</v>
      </c>
      <c r="M139" s="1" t="s">
        <v>359</v>
      </c>
      <c r="N139" s="1" t="s">
        <v>359</v>
      </c>
      <c r="O139" s="8" t="s">
        <v>26</v>
      </c>
    </row>
    <row r="140" spans="1:15" x14ac:dyDescent="0.3">
      <c r="A140" s="6" t="s">
        <v>192</v>
      </c>
      <c r="B140" s="1" t="s">
        <v>23</v>
      </c>
      <c r="C140" s="7">
        <v>45594</v>
      </c>
      <c r="D140" s="1" t="s">
        <v>19</v>
      </c>
      <c r="E140" s="1" t="s">
        <v>73</v>
      </c>
      <c r="F140" s="1">
        <v>2746</v>
      </c>
      <c r="G140" s="1">
        <v>156</v>
      </c>
      <c r="H140" s="1">
        <v>203</v>
      </c>
      <c r="I140" s="1">
        <v>32952</v>
      </c>
      <c r="J140" s="1">
        <v>32147</v>
      </c>
      <c r="K140" s="1">
        <v>147</v>
      </c>
      <c r="L140" s="1" t="s">
        <v>31</v>
      </c>
      <c r="M140" s="1" t="s">
        <v>359</v>
      </c>
      <c r="N140" s="1" t="s">
        <v>359</v>
      </c>
      <c r="O140" s="8" t="s">
        <v>17</v>
      </c>
    </row>
    <row r="141" spans="1:15" x14ac:dyDescent="0.3">
      <c r="A141" s="6" t="s">
        <v>193</v>
      </c>
      <c r="B141" s="1" t="s">
        <v>35</v>
      </c>
      <c r="C141" s="7">
        <v>45488</v>
      </c>
      <c r="D141" s="1" t="s">
        <v>41</v>
      </c>
      <c r="E141" s="1" t="s">
        <v>46</v>
      </c>
      <c r="F141" s="1">
        <v>2291</v>
      </c>
      <c r="G141" s="1">
        <v>78</v>
      </c>
      <c r="H141" s="1">
        <v>485</v>
      </c>
      <c r="I141" s="1">
        <v>18328</v>
      </c>
      <c r="J141" s="1">
        <v>18101</v>
      </c>
      <c r="K141" s="1">
        <v>10</v>
      </c>
      <c r="L141" s="1" t="s">
        <v>31</v>
      </c>
      <c r="M141" s="1" t="s">
        <v>356</v>
      </c>
      <c r="N141" s="1" t="s">
        <v>359</v>
      </c>
      <c r="O141" s="8" t="s">
        <v>21</v>
      </c>
    </row>
    <row r="142" spans="1:15" x14ac:dyDescent="0.3">
      <c r="A142" s="6" t="s">
        <v>194</v>
      </c>
      <c r="B142" s="1" t="s">
        <v>14</v>
      </c>
      <c r="C142" s="7">
        <v>45535</v>
      </c>
      <c r="D142" s="1" t="s">
        <v>41</v>
      </c>
      <c r="E142" s="1" t="s">
        <v>88</v>
      </c>
      <c r="F142" s="1">
        <v>3170</v>
      </c>
      <c r="G142" s="1">
        <v>857</v>
      </c>
      <c r="H142" s="1">
        <v>379</v>
      </c>
      <c r="I142" s="1">
        <v>19020</v>
      </c>
      <c r="J142" s="1">
        <v>18559</v>
      </c>
      <c r="K142" s="1">
        <v>240</v>
      </c>
      <c r="L142" s="1" t="s">
        <v>48</v>
      </c>
      <c r="M142" s="1" t="s">
        <v>359</v>
      </c>
      <c r="N142" s="1" t="s">
        <v>359</v>
      </c>
      <c r="O142" s="8" t="s">
        <v>360</v>
      </c>
    </row>
    <row r="143" spans="1:15" x14ac:dyDescent="0.3">
      <c r="A143" s="6" t="s">
        <v>195</v>
      </c>
      <c r="B143" s="1" t="s">
        <v>23</v>
      </c>
      <c r="C143" s="7">
        <v>45741</v>
      </c>
      <c r="D143" s="1" t="s">
        <v>29</v>
      </c>
      <c r="E143" s="1" t="s">
        <v>101</v>
      </c>
      <c r="F143" s="1">
        <v>2070</v>
      </c>
      <c r="G143" s="1">
        <v>275</v>
      </c>
      <c r="H143" s="1">
        <v>386</v>
      </c>
      <c r="I143" s="1">
        <v>39330</v>
      </c>
      <c r="J143" s="1">
        <v>38627</v>
      </c>
      <c r="K143" s="1">
        <v>114</v>
      </c>
      <c r="L143" s="1" t="s">
        <v>48</v>
      </c>
      <c r="M143" s="1" t="s">
        <v>359</v>
      </c>
      <c r="N143" s="1" t="s">
        <v>359</v>
      </c>
      <c r="O143" s="8" t="s">
        <v>32</v>
      </c>
    </row>
    <row r="144" spans="1:15" x14ac:dyDescent="0.3">
      <c r="A144" s="6" t="s">
        <v>196</v>
      </c>
      <c r="B144" s="1" t="s">
        <v>23</v>
      </c>
      <c r="C144" s="7">
        <v>45567</v>
      </c>
      <c r="D144" s="1" t="s">
        <v>36</v>
      </c>
      <c r="E144" s="1" t="s">
        <v>52</v>
      </c>
      <c r="F144" s="1">
        <v>80</v>
      </c>
      <c r="G144" s="1">
        <v>362</v>
      </c>
      <c r="H144" s="1">
        <v>80</v>
      </c>
      <c r="I144" s="1">
        <v>1040</v>
      </c>
      <c r="J144" s="1">
        <v>349</v>
      </c>
      <c r="K144" s="1">
        <v>117</v>
      </c>
      <c r="L144" s="1" t="s">
        <v>25</v>
      </c>
      <c r="M144" s="1" t="s">
        <v>359</v>
      </c>
      <c r="N144" s="1" t="s">
        <v>359</v>
      </c>
      <c r="O144" s="8" t="s">
        <v>26</v>
      </c>
    </row>
    <row r="145" spans="1:15" x14ac:dyDescent="0.3">
      <c r="A145" s="6" t="s">
        <v>197</v>
      </c>
      <c r="B145" s="1" t="s">
        <v>23</v>
      </c>
      <c r="C145" s="7">
        <v>45593</v>
      </c>
      <c r="D145" s="1" t="s">
        <v>29</v>
      </c>
      <c r="E145" s="1" t="s">
        <v>101</v>
      </c>
      <c r="F145" s="1">
        <v>4929</v>
      </c>
      <c r="G145" s="1">
        <v>749</v>
      </c>
      <c r="H145" s="1">
        <v>452</v>
      </c>
      <c r="I145" s="1">
        <v>93651</v>
      </c>
      <c r="J145" s="1">
        <v>92810</v>
      </c>
      <c r="K145" s="1">
        <v>66</v>
      </c>
      <c r="L145" s="1" t="s">
        <v>31</v>
      </c>
      <c r="M145" s="1" t="s">
        <v>359</v>
      </c>
      <c r="N145" s="1" t="s">
        <v>359</v>
      </c>
      <c r="O145" s="8" t="s">
        <v>32</v>
      </c>
    </row>
    <row r="146" spans="1:15" x14ac:dyDescent="0.3">
      <c r="A146" s="6" t="s">
        <v>198</v>
      </c>
      <c r="B146" s="1" t="s">
        <v>28</v>
      </c>
      <c r="C146" s="7">
        <v>45516</v>
      </c>
      <c r="D146" s="1" t="s">
        <v>36</v>
      </c>
      <c r="E146" s="1" t="s">
        <v>65</v>
      </c>
      <c r="F146" s="1">
        <v>1878</v>
      </c>
      <c r="G146" s="1">
        <v>62</v>
      </c>
      <c r="H146" s="1">
        <v>179</v>
      </c>
      <c r="I146" s="1">
        <v>37560</v>
      </c>
      <c r="J146" s="1">
        <v>36874</v>
      </c>
      <c r="K146" s="1">
        <v>142</v>
      </c>
      <c r="L146" s="1" t="s">
        <v>25</v>
      </c>
      <c r="M146" s="1" t="s">
        <v>359</v>
      </c>
      <c r="N146" s="1" t="s">
        <v>359</v>
      </c>
      <c r="O146" s="8" t="s">
        <v>32</v>
      </c>
    </row>
    <row r="147" spans="1:15" x14ac:dyDescent="0.3">
      <c r="A147" s="6" t="s">
        <v>199</v>
      </c>
      <c r="B147" s="1" t="s">
        <v>23</v>
      </c>
      <c r="C147" s="7">
        <v>45448</v>
      </c>
      <c r="D147" s="1" t="s">
        <v>15</v>
      </c>
      <c r="E147" s="1" t="s">
        <v>24</v>
      </c>
      <c r="F147" s="1">
        <v>3065</v>
      </c>
      <c r="G147" s="1">
        <v>772</v>
      </c>
      <c r="H147" s="1">
        <v>142</v>
      </c>
      <c r="I147" s="1">
        <v>18390</v>
      </c>
      <c r="J147" s="1">
        <v>17875</v>
      </c>
      <c r="K147" s="1">
        <v>200</v>
      </c>
      <c r="L147" s="1" t="s">
        <v>31</v>
      </c>
      <c r="M147" s="1" t="s">
        <v>354</v>
      </c>
      <c r="N147" s="1" t="s">
        <v>359</v>
      </c>
      <c r="O147" s="8" t="s">
        <v>360</v>
      </c>
    </row>
    <row r="148" spans="1:15" x14ac:dyDescent="0.3">
      <c r="A148" s="6" t="s">
        <v>200</v>
      </c>
      <c r="B148" s="1" t="s">
        <v>28</v>
      </c>
      <c r="C148" s="7">
        <v>45586</v>
      </c>
      <c r="D148" s="1" t="s">
        <v>15</v>
      </c>
      <c r="E148" s="1" t="s">
        <v>61</v>
      </c>
      <c r="F148" s="1">
        <v>3256</v>
      </c>
      <c r="G148" s="1">
        <v>459</v>
      </c>
      <c r="H148" s="1">
        <v>266</v>
      </c>
      <c r="I148" s="1">
        <v>26048</v>
      </c>
      <c r="J148" s="1">
        <v>25529</v>
      </c>
      <c r="K148" s="1">
        <v>143</v>
      </c>
      <c r="L148" s="1" t="s">
        <v>25</v>
      </c>
      <c r="M148" s="1" t="s">
        <v>359</v>
      </c>
      <c r="N148" s="1" t="s">
        <v>359</v>
      </c>
      <c r="O148" s="8" t="s">
        <v>21</v>
      </c>
    </row>
    <row r="149" spans="1:15" x14ac:dyDescent="0.3">
      <c r="A149" s="6" t="s">
        <v>201</v>
      </c>
      <c r="B149" s="1" t="s">
        <v>28</v>
      </c>
      <c r="C149" s="7">
        <v>45762</v>
      </c>
      <c r="D149" s="1" t="s">
        <v>56</v>
      </c>
      <c r="E149" s="1" t="s">
        <v>63</v>
      </c>
      <c r="F149" s="1">
        <v>4133</v>
      </c>
      <c r="G149" s="1">
        <v>466</v>
      </c>
      <c r="H149" s="1">
        <v>327</v>
      </c>
      <c r="I149" s="1">
        <v>24798</v>
      </c>
      <c r="J149" s="1">
        <v>24620</v>
      </c>
      <c r="K149" s="1">
        <v>176</v>
      </c>
      <c r="L149" s="1" t="s">
        <v>31</v>
      </c>
      <c r="M149" s="1" t="s">
        <v>359</v>
      </c>
      <c r="N149" s="1" t="s">
        <v>359</v>
      </c>
      <c r="O149" s="8" t="s">
        <v>32</v>
      </c>
    </row>
    <row r="150" spans="1:15" x14ac:dyDescent="0.3">
      <c r="A150" s="6" t="s">
        <v>202</v>
      </c>
      <c r="B150" s="1" t="s">
        <v>14</v>
      </c>
      <c r="C150" s="7">
        <v>45459</v>
      </c>
      <c r="D150" s="1" t="s">
        <v>56</v>
      </c>
      <c r="E150" s="1" t="s">
        <v>95</v>
      </c>
      <c r="F150" s="1">
        <v>1702</v>
      </c>
      <c r="G150" s="1">
        <v>750</v>
      </c>
      <c r="H150" s="1">
        <v>179</v>
      </c>
      <c r="I150" s="1">
        <v>34040</v>
      </c>
      <c r="J150" s="1">
        <v>33174</v>
      </c>
      <c r="K150" s="1">
        <v>76</v>
      </c>
      <c r="L150" s="1" t="s">
        <v>31</v>
      </c>
      <c r="M150" s="1" t="s">
        <v>359</v>
      </c>
      <c r="N150" s="1" t="s">
        <v>359</v>
      </c>
      <c r="O150" s="8" t="s">
        <v>17</v>
      </c>
    </row>
    <row r="151" spans="1:15" x14ac:dyDescent="0.3">
      <c r="A151" s="6" t="s">
        <v>203</v>
      </c>
      <c r="B151" s="1" t="s">
        <v>23</v>
      </c>
      <c r="C151" s="7">
        <v>45526</v>
      </c>
      <c r="D151" s="1" t="s">
        <v>36</v>
      </c>
      <c r="E151" s="1" t="s">
        <v>52</v>
      </c>
      <c r="F151" s="1">
        <v>4295</v>
      </c>
      <c r="G151" s="1">
        <v>853</v>
      </c>
      <c r="H151" s="1">
        <v>325</v>
      </c>
      <c r="I151" s="1">
        <v>85900</v>
      </c>
      <c r="J151" s="1">
        <v>85788</v>
      </c>
      <c r="K151" s="1">
        <v>290</v>
      </c>
      <c r="L151" s="1" t="s">
        <v>25</v>
      </c>
      <c r="M151" s="1" t="s">
        <v>359</v>
      </c>
      <c r="N151" s="1" t="s">
        <v>359</v>
      </c>
      <c r="O151" s="8" t="s">
        <v>32</v>
      </c>
    </row>
    <row r="152" spans="1:15" x14ac:dyDescent="0.3">
      <c r="A152" s="6" t="s">
        <v>204</v>
      </c>
      <c r="B152" s="1" t="s">
        <v>28</v>
      </c>
      <c r="C152" s="7">
        <v>45499</v>
      </c>
      <c r="D152" s="1" t="s">
        <v>41</v>
      </c>
      <c r="E152" s="1" t="s">
        <v>134</v>
      </c>
      <c r="F152" s="1">
        <v>3559</v>
      </c>
      <c r="G152" s="1">
        <v>59</v>
      </c>
      <c r="H152" s="1">
        <v>289</v>
      </c>
      <c r="I152" s="1">
        <v>35590</v>
      </c>
      <c r="J152" s="1">
        <v>35105</v>
      </c>
      <c r="K152" s="1">
        <v>122</v>
      </c>
      <c r="L152" s="1" t="s">
        <v>31</v>
      </c>
      <c r="M152" s="1" t="s">
        <v>359</v>
      </c>
      <c r="N152" s="1" t="s">
        <v>359</v>
      </c>
      <c r="O152" s="8" t="s">
        <v>17</v>
      </c>
    </row>
    <row r="153" spans="1:15" x14ac:dyDescent="0.3">
      <c r="A153" s="6" t="s">
        <v>205</v>
      </c>
      <c r="B153" s="1" t="s">
        <v>35</v>
      </c>
      <c r="C153" s="7">
        <v>45769</v>
      </c>
      <c r="D153" s="1" t="s">
        <v>41</v>
      </c>
      <c r="E153" s="1" t="s">
        <v>46</v>
      </c>
      <c r="F153" s="1">
        <v>4804</v>
      </c>
      <c r="G153" s="1">
        <v>550</v>
      </c>
      <c r="H153" s="1">
        <v>270</v>
      </c>
      <c r="I153" s="1">
        <v>28824</v>
      </c>
      <c r="J153" s="1">
        <v>28370</v>
      </c>
      <c r="K153" s="1">
        <v>47</v>
      </c>
      <c r="L153" s="1" t="s">
        <v>31</v>
      </c>
      <c r="M153" s="1" t="s">
        <v>359</v>
      </c>
      <c r="N153" s="1" t="s">
        <v>359</v>
      </c>
      <c r="O153" s="8" t="s">
        <v>32</v>
      </c>
    </row>
    <row r="154" spans="1:15" x14ac:dyDescent="0.3">
      <c r="A154" s="6" t="s">
        <v>206</v>
      </c>
      <c r="B154" s="1" t="s">
        <v>14</v>
      </c>
      <c r="C154" s="7">
        <v>45658</v>
      </c>
      <c r="D154" s="1" t="s">
        <v>56</v>
      </c>
      <c r="E154" s="1" t="s">
        <v>95</v>
      </c>
      <c r="F154" s="1">
        <v>754</v>
      </c>
      <c r="G154" s="1">
        <v>197</v>
      </c>
      <c r="H154" s="1">
        <v>257</v>
      </c>
      <c r="I154" s="1">
        <v>6786</v>
      </c>
      <c r="J154" s="1">
        <v>6221</v>
      </c>
      <c r="K154" s="1">
        <v>212</v>
      </c>
      <c r="L154" s="1" t="s">
        <v>25</v>
      </c>
      <c r="M154" s="1" t="s">
        <v>359</v>
      </c>
      <c r="N154" s="1" t="s">
        <v>359</v>
      </c>
      <c r="O154" s="8" t="s">
        <v>26</v>
      </c>
    </row>
    <row r="155" spans="1:15" x14ac:dyDescent="0.3">
      <c r="A155" s="6" t="s">
        <v>207</v>
      </c>
      <c r="B155" s="1" t="s">
        <v>28</v>
      </c>
      <c r="C155" s="7">
        <v>45574</v>
      </c>
      <c r="D155" s="1" t="s">
        <v>36</v>
      </c>
      <c r="E155" s="1" t="s">
        <v>65</v>
      </c>
      <c r="F155" s="1">
        <v>985</v>
      </c>
      <c r="G155" s="1">
        <v>932</v>
      </c>
      <c r="H155" s="1">
        <v>287</v>
      </c>
      <c r="I155" s="1">
        <v>6895</v>
      </c>
      <c r="J155" s="1">
        <v>6757</v>
      </c>
      <c r="K155" s="1">
        <v>64</v>
      </c>
      <c r="L155" s="1" t="s">
        <v>48</v>
      </c>
      <c r="M155" s="1" t="s">
        <v>359</v>
      </c>
      <c r="N155" s="1" t="s">
        <v>359</v>
      </c>
      <c r="O155" s="8" t="s">
        <v>32</v>
      </c>
    </row>
    <row r="156" spans="1:15" x14ac:dyDescent="0.3">
      <c r="A156" s="6" t="s">
        <v>208</v>
      </c>
      <c r="B156" s="1" t="s">
        <v>23</v>
      </c>
      <c r="C156" s="7">
        <v>45647</v>
      </c>
      <c r="D156" s="1" t="s">
        <v>41</v>
      </c>
      <c r="E156" s="1" t="s">
        <v>42</v>
      </c>
      <c r="F156" s="1">
        <v>2283</v>
      </c>
      <c r="G156" s="1">
        <v>210</v>
      </c>
      <c r="H156" s="1">
        <v>130</v>
      </c>
      <c r="I156" s="1">
        <v>22830</v>
      </c>
      <c r="J156" s="1">
        <v>22617</v>
      </c>
      <c r="K156" s="1">
        <v>143</v>
      </c>
      <c r="L156" s="1" t="s">
        <v>48</v>
      </c>
      <c r="M156" s="1" t="s">
        <v>359</v>
      </c>
      <c r="N156" s="1" t="s">
        <v>359</v>
      </c>
      <c r="O156" s="8" t="s">
        <v>21</v>
      </c>
    </row>
    <row r="157" spans="1:15" x14ac:dyDescent="0.3">
      <c r="A157" s="6" t="s">
        <v>209</v>
      </c>
      <c r="B157" s="1" t="s">
        <v>35</v>
      </c>
      <c r="C157" s="7">
        <v>45587</v>
      </c>
      <c r="D157" s="1" t="s">
        <v>36</v>
      </c>
      <c r="E157" s="1" t="s">
        <v>37</v>
      </c>
      <c r="F157" s="1">
        <v>3352</v>
      </c>
      <c r="G157" s="1">
        <v>941</v>
      </c>
      <c r="H157" s="1">
        <v>482</v>
      </c>
      <c r="I157" s="1">
        <v>43576</v>
      </c>
      <c r="J157" s="1">
        <v>43338</v>
      </c>
      <c r="K157" s="1">
        <v>240</v>
      </c>
      <c r="L157" s="1" t="s">
        <v>48</v>
      </c>
      <c r="M157" s="1" t="s">
        <v>359</v>
      </c>
      <c r="N157" s="1" t="s">
        <v>359</v>
      </c>
      <c r="O157" s="8" t="s">
        <v>21</v>
      </c>
    </row>
    <row r="158" spans="1:15" x14ac:dyDescent="0.3">
      <c r="A158" s="6" t="s">
        <v>210</v>
      </c>
      <c r="B158" s="1" t="s">
        <v>23</v>
      </c>
      <c r="C158" s="7">
        <v>45496</v>
      </c>
      <c r="D158" s="1" t="s">
        <v>29</v>
      </c>
      <c r="E158" s="1" t="s">
        <v>101</v>
      </c>
      <c r="F158" s="1">
        <v>4775</v>
      </c>
      <c r="G158" s="1">
        <v>173</v>
      </c>
      <c r="H158" s="1">
        <v>206</v>
      </c>
      <c r="I158" s="1">
        <v>47750</v>
      </c>
      <c r="J158" s="1">
        <v>47544</v>
      </c>
      <c r="K158" s="1">
        <v>187</v>
      </c>
      <c r="L158" s="1" t="s">
        <v>48</v>
      </c>
      <c r="M158" s="1" t="s">
        <v>359</v>
      </c>
      <c r="N158" s="1" t="s">
        <v>359</v>
      </c>
      <c r="O158" s="8" t="s">
        <v>21</v>
      </c>
    </row>
    <row r="159" spans="1:15" x14ac:dyDescent="0.3">
      <c r="A159" s="6" t="s">
        <v>211</v>
      </c>
      <c r="B159" s="1" t="s">
        <v>28</v>
      </c>
      <c r="C159" s="7">
        <v>45515</v>
      </c>
      <c r="D159" s="1" t="s">
        <v>29</v>
      </c>
      <c r="E159" s="1" t="s">
        <v>30</v>
      </c>
      <c r="F159" s="1">
        <v>1762</v>
      </c>
      <c r="G159" s="1">
        <v>405</v>
      </c>
      <c r="H159" s="1">
        <v>423</v>
      </c>
      <c r="I159" s="1">
        <v>22906</v>
      </c>
      <c r="J159" s="1">
        <v>21925</v>
      </c>
      <c r="K159" s="1">
        <v>25</v>
      </c>
      <c r="L159" s="1" t="s">
        <v>25</v>
      </c>
      <c r="M159" s="1" t="s">
        <v>359</v>
      </c>
      <c r="N159" s="1" t="s">
        <v>359</v>
      </c>
      <c r="O159" s="8" t="s">
        <v>17</v>
      </c>
    </row>
    <row r="160" spans="1:15" x14ac:dyDescent="0.3">
      <c r="A160" s="6" t="s">
        <v>212</v>
      </c>
      <c r="B160" s="1" t="s">
        <v>35</v>
      </c>
      <c r="C160" s="7">
        <v>45621</v>
      </c>
      <c r="D160" s="1" t="s">
        <v>29</v>
      </c>
      <c r="E160" s="1" t="s">
        <v>54</v>
      </c>
      <c r="F160" s="1">
        <v>2120</v>
      </c>
      <c r="G160" s="1">
        <v>158</v>
      </c>
      <c r="H160" s="1">
        <v>488</v>
      </c>
      <c r="I160" s="1">
        <v>12720</v>
      </c>
      <c r="J160" s="1">
        <v>12085</v>
      </c>
      <c r="K160" s="1">
        <v>17</v>
      </c>
      <c r="L160" s="1" t="s">
        <v>48</v>
      </c>
      <c r="M160" s="1" t="s">
        <v>359</v>
      </c>
      <c r="N160" s="1" t="s">
        <v>359</v>
      </c>
      <c r="O160" s="8" t="s">
        <v>21</v>
      </c>
    </row>
    <row r="161" spans="1:15" x14ac:dyDescent="0.3">
      <c r="A161" s="6" t="s">
        <v>213</v>
      </c>
      <c r="B161" s="1" t="s">
        <v>14</v>
      </c>
      <c r="C161" s="7">
        <v>45528</v>
      </c>
      <c r="D161" s="1" t="s">
        <v>56</v>
      </c>
      <c r="E161" s="1" t="s">
        <v>95</v>
      </c>
      <c r="F161" s="1">
        <v>1082</v>
      </c>
      <c r="G161" s="1">
        <v>209</v>
      </c>
      <c r="H161" s="1">
        <v>484</v>
      </c>
      <c r="I161" s="1">
        <v>19476</v>
      </c>
      <c r="J161" s="1">
        <v>18654</v>
      </c>
      <c r="K161" s="1">
        <v>20</v>
      </c>
      <c r="L161" s="1" t="s">
        <v>25</v>
      </c>
      <c r="M161" s="1" t="s">
        <v>359</v>
      </c>
      <c r="N161" s="1" t="s">
        <v>359</v>
      </c>
      <c r="O161" s="8" t="s">
        <v>360</v>
      </c>
    </row>
    <row r="162" spans="1:15" x14ac:dyDescent="0.3">
      <c r="A162" s="6" t="s">
        <v>214</v>
      </c>
      <c r="B162" s="1" t="s">
        <v>14</v>
      </c>
      <c r="C162" s="7">
        <v>45707</v>
      </c>
      <c r="D162" s="1" t="s">
        <v>19</v>
      </c>
      <c r="E162" s="1" t="s">
        <v>20</v>
      </c>
      <c r="F162" s="1">
        <v>4671</v>
      </c>
      <c r="G162" s="1">
        <v>876</v>
      </c>
      <c r="H162" s="1">
        <v>366</v>
      </c>
      <c r="I162" s="1">
        <v>51381</v>
      </c>
      <c r="J162" s="1">
        <v>50565</v>
      </c>
      <c r="K162" s="1">
        <v>245</v>
      </c>
      <c r="L162" s="1" t="s">
        <v>25</v>
      </c>
      <c r="M162" s="1" t="s">
        <v>359</v>
      </c>
      <c r="N162" s="1" t="s">
        <v>359</v>
      </c>
      <c r="O162" s="8" t="s">
        <v>32</v>
      </c>
    </row>
    <row r="163" spans="1:15" x14ac:dyDescent="0.3">
      <c r="A163" s="6" t="s">
        <v>215</v>
      </c>
      <c r="B163" s="1" t="s">
        <v>35</v>
      </c>
      <c r="C163" s="7">
        <v>45748</v>
      </c>
      <c r="D163" s="1" t="s">
        <v>29</v>
      </c>
      <c r="E163" s="1" t="s">
        <v>54</v>
      </c>
      <c r="F163" s="1">
        <v>3430</v>
      </c>
      <c r="G163" s="1">
        <v>566</v>
      </c>
      <c r="H163" s="1">
        <v>164</v>
      </c>
      <c r="I163" s="1">
        <v>48020</v>
      </c>
      <c r="J163" s="1">
        <v>47305</v>
      </c>
      <c r="K163" s="1">
        <v>120</v>
      </c>
      <c r="L163" s="1" t="s">
        <v>48</v>
      </c>
      <c r="M163" s="1" t="s">
        <v>359</v>
      </c>
      <c r="N163" s="1" t="s">
        <v>359</v>
      </c>
      <c r="O163" s="8" t="s">
        <v>360</v>
      </c>
    </row>
    <row r="164" spans="1:15" x14ac:dyDescent="0.3">
      <c r="A164" s="6" t="s">
        <v>216</v>
      </c>
      <c r="B164" s="1" t="s">
        <v>28</v>
      </c>
      <c r="C164" s="7">
        <v>45755</v>
      </c>
      <c r="D164" s="1" t="s">
        <v>41</v>
      </c>
      <c r="E164" s="1" t="s">
        <v>134</v>
      </c>
      <c r="F164" s="1">
        <v>4501</v>
      </c>
      <c r="G164" s="1">
        <v>375</v>
      </c>
      <c r="H164" s="1">
        <v>323</v>
      </c>
      <c r="I164" s="1">
        <v>22505</v>
      </c>
      <c r="J164" s="1">
        <v>21836</v>
      </c>
      <c r="K164" s="1">
        <v>132</v>
      </c>
      <c r="L164" s="1" t="s">
        <v>25</v>
      </c>
      <c r="M164" s="1" t="s">
        <v>359</v>
      </c>
      <c r="N164" s="1" t="s">
        <v>359</v>
      </c>
      <c r="O164" s="8" t="s">
        <v>21</v>
      </c>
    </row>
    <row r="165" spans="1:15" x14ac:dyDescent="0.3">
      <c r="A165" s="6" t="s">
        <v>217</v>
      </c>
      <c r="B165" s="1" t="s">
        <v>23</v>
      </c>
      <c r="C165" s="7">
        <v>45715</v>
      </c>
      <c r="D165" s="1" t="s">
        <v>19</v>
      </c>
      <c r="E165" s="1" t="s">
        <v>73</v>
      </c>
      <c r="F165" s="1">
        <v>4934</v>
      </c>
      <c r="G165" s="1">
        <v>971</v>
      </c>
      <c r="H165" s="1">
        <v>156</v>
      </c>
      <c r="I165" s="1">
        <v>39472</v>
      </c>
      <c r="J165" s="1">
        <v>39025</v>
      </c>
      <c r="K165" s="1">
        <v>169</v>
      </c>
      <c r="L165" s="1" t="s">
        <v>25</v>
      </c>
      <c r="M165" s="1" t="s">
        <v>354</v>
      </c>
      <c r="N165" s="1" t="s">
        <v>359</v>
      </c>
      <c r="O165" s="8" t="s">
        <v>32</v>
      </c>
    </row>
    <row r="166" spans="1:15" x14ac:dyDescent="0.3">
      <c r="A166" s="6" t="s">
        <v>218</v>
      </c>
      <c r="B166" s="1" t="s">
        <v>14</v>
      </c>
      <c r="C166" s="7">
        <v>45637</v>
      </c>
      <c r="D166" s="1" t="s">
        <v>19</v>
      </c>
      <c r="E166" s="1" t="s">
        <v>20</v>
      </c>
      <c r="F166" s="1">
        <v>3239</v>
      </c>
      <c r="G166" s="1">
        <v>43</v>
      </c>
      <c r="H166" s="1">
        <v>211</v>
      </c>
      <c r="I166" s="1">
        <v>22673</v>
      </c>
      <c r="J166" s="1">
        <v>22171</v>
      </c>
      <c r="K166" s="1">
        <v>230</v>
      </c>
      <c r="L166" s="1" t="s">
        <v>25</v>
      </c>
      <c r="M166" s="1" t="s">
        <v>359</v>
      </c>
      <c r="N166" s="1" t="s">
        <v>359</v>
      </c>
      <c r="O166" s="8" t="s">
        <v>21</v>
      </c>
    </row>
    <row r="167" spans="1:15" x14ac:dyDescent="0.3">
      <c r="A167" s="6" t="s">
        <v>219</v>
      </c>
      <c r="B167" s="1" t="s">
        <v>14</v>
      </c>
      <c r="C167" s="7">
        <v>45704</v>
      </c>
      <c r="D167" s="1" t="s">
        <v>15</v>
      </c>
      <c r="E167" s="1" t="s">
        <v>16</v>
      </c>
      <c r="F167" s="1">
        <v>1076</v>
      </c>
      <c r="G167" s="1">
        <v>313</v>
      </c>
      <c r="H167" s="1">
        <v>306</v>
      </c>
      <c r="I167" s="1">
        <v>11836</v>
      </c>
      <c r="J167" s="1">
        <v>11596</v>
      </c>
      <c r="K167" s="1">
        <v>104</v>
      </c>
      <c r="L167" s="1" t="s">
        <v>48</v>
      </c>
      <c r="M167" s="1" t="s">
        <v>359</v>
      </c>
      <c r="N167" s="1" t="s">
        <v>359</v>
      </c>
      <c r="O167" s="8" t="s">
        <v>17</v>
      </c>
    </row>
    <row r="168" spans="1:15" x14ac:dyDescent="0.3">
      <c r="A168" s="6" t="s">
        <v>220</v>
      </c>
      <c r="B168" s="1" t="s">
        <v>28</v>
      </c>
      <c r="C168" s="7">
        <v>45624</v>
      </c>
      <c r="D168" s="1" t="s">
        <v>19</v>
      </c>
      <c r="E168" s="1" t="s">
        <v>78</v>
      </c>
      <c r="F168" s="1">
        <v>4771</v>
      </c>
      <c r="G168" s="1">
        <v>818</v>
      </c>
      <c r="H168" s="1">
        <v>56</v>
      </c>
      <c r="I168" s="1">
        <v>57252</v>
      </c>
      <c r="J168" s="1">
        <v>56378</v>
      </c>
      <c r="K168" s="1">
        <v>150</v>
      </c>
      <c r="L168" s="1" t="s">
        <v>48</v>
      </c>
      <c r="M168" s="1" t="s">
        <v>359</v>
      </c>
      <c r="N168" s="1" t="s">
        <v>359</v>
      </c>
      <c r="O168" s="8" t="s">
        <v>360</v>
      </c>
    </row>
    <row r="169" spans="1:15" x14ac:dyDescent="0.3">
      <c r="A169" s="6" t="s">
        <v>221</v>
      </c>
      <c r="B169" s="1" t="s">
        <v>35</v>
      </c>
      <c r="C169" s="7">
        <v>45608</v>
      </c>
      <c r="D169" s="1" t="s">
        <v>19</v>
      </c>
      <c r="E169" s="1" t="s">
        <v>44</v>
      </c>
      <c r="F169" s="1">
        <v>2418</v>
      </c>
      <c r="G169" s="1">
        <v>754</v>
      </c>
      <c r="H169" s="1">
        <v>54</v>
      </c>
      <c r="I169" s="1">
        <v>43524</v>
      </c>
      <c r="J169" s="1">
        <v>42743</v>
      </c>
      <c r="K169" s="1">
        <v>182</v>
      </c>
      <c r="L169" s="1" t="s">
        <v>31</v>
      </c>
      <c r="M169" s="1" t="s">
        <v>359</v>
      </c>
      <c r="N169" s="1" t="s">
        <v>359</v>
      </c>
      <c r="O169" s="8" t="s">
        <v>17</v>
      </c>
    </row>
    <row r="170" spans="1:15" x14ac:dyDescent="0.3">
      <c r="A170" s="6" t="s">
        <v>222</v>
      </c>
      <c r="B170" s="1" t="s">
        <v>23</v>
      </c>
      <c r="C170" s="7">
        <v>45629</v>
      </c>
      <c r="D170" s="1" t="s">
        <v>56</v>
      </c>
      <c r="E170" s="1" t="s">
        <v>136</v>
      </c>
      <c r="F170" s="1">
        <v>3809</v>
      </c>
      <c r="G170" s="1">
        <v>273</v>
      </c>
      <c r="H170" s="1">
        <v>200</v>
      </c>
      <c r="I170" s="1">
        <v>34281</v>
      </c>
      <c r="J170" s="1">
        <v>33534</v>
      </c>
      <c r="K170" s="1">
        <v>83</v>
      </c>
      <c r="L170" s="1" t="s">
        <v>31</v>
      </c>
      <c r="M170" s="1" t="s">
        <v>359</v>
      </c>
      <c r="N170" s="1" t="s">
        <v>359</v>
      </c>
      <c r="O170" s="8" t="s">
        <v>17</v>
      </c>
    </row>
    <row r="171" spans="1:15" x14ac:dyDescent="0.3">
      <c r="A171" s="6" t="s">
        <v>223</v>
      </c>
      <c r="B171" s="1" t="s">
        <v>14</v>
      </c>
      <c r="C171" s="7">
        <v>45775</v>
      </c>
      <c r="D171" s="1" t="s">
        <v>19</v>
      </c>
      <c r="E171" s="1" t="s">
        <v>20</v>
      </c>
      <c r="F171" s="1">
        <v>3577</v>
      </c>
      <c r="G171" s="1">
        <v>596</v>
      </c>
      <c r="H171" s="1">
        <v>493</v>
      </c>
      <c r="I171" s="1">
        <v>67963</v>
      </c>
      <c r="J171" s="1">
        <v>67839</v>
      </c>
      <c r="K171" s="1">
        <v>53</v>
      </c>
      <c r="L171" s="1" t="s">
        <v>25</v>
      </c>
      <c r="M171" s="1" t="s">
        <v>359</v>
      </c>
      <c r="N171" s="1" t="s">
        <v>359</v>
      </c>
      <c r="O171" s="8" t="s">
        <v>26</v>
      </c>
    </row>
    <row r="172" spans="1:15" x14ac:dyDescent="0.3">
      <c r="A172" s="6" t="s">
        <v>224</v>
      </c>
      <c r="B172" s="1" t="s">
        <v>23</v>
      </c>
      <c r="C172" s="7">
        <v>45657</v>
      </c>
      <c r="D172" s="1" t="s">
        <v>56</v>
      </c>
      <c r="E172" s="1" t="s">
        <v>136</v>
      </c>
      <c r="F172" s="1">
        <v>1018</v>
      </c>
      <c r="G172" s="1">
        <v>447</v>
      </c>
      <c r="H172" s="1">
        <v>332</v>
      </c>
      <c r="I172" s="1">
        <v>18324</v>
      </c>
      <c r="J172" s="1">
        <v>18164</v>
      </c>
      <c r="K172" s="1">
        <v>38</v>
      </c>
      <c r="L172" s="1" t="s">
        <v>48</v>
      </c>
      <c r="M172" s="1" t="s">
        <v>359</v>
      </c>
      <c r="N172" s="1" t="s">
        <v>359</v>
      </c>
      <c r="O172" s="8" t="s">
        <v>21</v>
      </c>
    </row>
    <row r="173" spans="1:15" x14ac:dyDescent="0.3">
      <c r="A173" s="6" t="s">
        <v>225</v>
      </c>
      <c r="B173" s="1" t="s">
        <v>35</v>
      </c>
      <c r="C173" s="7">
        <v>45518</v>
      </c>
      <c r="D173" s="1" t="s">
        <v>36</v>
      </c>
      <c r="E173" s="1" t="s">
        <v>37</v>
      </c>
      <c r="F173" s="1">
        <v>3073</v>
      </c>
      <c r="G173" s="1">
        <v>553</v>
      </c>
      <c r="H173" s="1">
        <v>174</v>
      </c>
      <c r="I173" s="1">
        <v>52241</v>
      </c>
      <c r="J173" s="1">
        <v>51605</v>
      </c>
      <c r="K173" s="1">
        <v>246</v>
      </c>
      <c r="L173" s="1" t="s">
        <v>31</v>
      </c>
      <c r="M173" s="1" t="s">
        <v>359</v>
      </c>
      <c r="N173" s="1" t="s">
        <v>359</v>
      </c>
      <c r="O173" s="8" t="s">
        <v>26</v>
      </c>
    </row>
    <row r="174" spans="1:15" x14ac:dyDescent="0.3">
      <c r="A174" s="6" t="s">
        <v>226</v>
      </c>
      <c r="B174" s="1" t="s">
        <v>14</v>
      </c>
      <c r="C174" s="7">
        <v>45631</v>
      </c>
      <c r="D174" s="1" t="s">
        <v>56</v>
      </c>
      <c r="E174" s="1" t="s">
        <v>95</v>
      </c>
      <c r="F174" s="1">
        <v>1330</v>
      </c>
      <c r="G174" s="1">
        <v>925</v>
      </c>
      <c r="H174" s="1">
        <v>35</v>
      </c>
      <c r="I174" s="1">
        <v>15960</v>
      </c>
      <c r="J174" s="1">
        <v>15379</v>
      </c>
      <c r="K174" s="1">
        <v>229</v>
      </c>
      <c r="L174" s="1" t="s">
        <v>48</v>
      </c>
      <c r="M174" s="1" t="s">
        <v>359</v>
      </c>
      <c r="N174" s="1" t="s">
        <v>359</v>
      </c>
      <c r="O174" s="8" t="s">
        <v>26</v>
      </c>
    </row>
    <row r="175" spans="1:15" x14ac:dyDescent="0.3">
      <c r="A175" s="6" t="s">
        <v>227</v>
      </c>
      <c r="B175" s="1" t="s">
        <v>35</v>
      </c>
      <c r="C175" s="7">
        <v>45465</v>
      </c>
      <c r="D175" s="1" t="s">
        <v>19</v>
      </c>
      <c r="E175" s="1" t="s">
        <v>44</v>
      </c>
      <c r="F175" s="1">
        <v>3828</v>
      </c>
      <c r="G175" s="1">
        <v>148</v>
      </c>
      <c r="H175" s="1">
        <v>253</v>
      </c>
      <c r="I175" s="1">
        <v>30624</v>
      </c>
      <c r="J175" s="1">
        <v>30229</v>
      </c>
      <c r="K175" s="1">
        <v>235</v>
      </c>
      <c r="L175" s="1" t="s">
        <v>31</v>
      </c>
      <c r="M175" s="1" t="s">
        <v>359</v>
      </c>
      <c r="N175" s="1" t="s">
        <v>359</v>
      </c>
      <c r="O175" s="8" t="s">
        <v>360</v>
      </c>
    </row>
    <row r="176" spans="1:15" x14ac:dyDescent="0.3">
      <c r="A176" s="6" t="s">
        <v>228</v>
      </c>
      <c r="B176" s="1" t="s">
        <v>28</v>
      </c>
      <c r="C176" s="7">
        <v>45674</v>
      </c>
      <c r="D176" s="1" t="s">
        <v>15</v>
      </c>
      <c r="E176" s="1" t="s">
        <v>61</v>
      </c>
      <c r="F176" s="1">
        <v>142</v>
      </c>
      <c r="G176" s="1">
        <v>784</v>
      </c>
      <c r="H176" s="1">
        <v>183</v>
      </c>
      <c r="I176" s="1">
        <v>1704</v>
      </c>
      <c r="J176" s="1">
        <v>995</v>
      </c>
      <c r="K176" s="1">
        <v>154</v>
      </c>
      <c r="L176" s="1" t="s">
        <v>48</v>
      </c>
      <c r="M176" s="1" t="s">
        <v>359</v>
      </c>
      <c r="N176" s="1" t="s">
        <v>359</v>
      </c>
      <c r="O176" s="8" t="s">
        <v>32</v>
      </c>
    </row>
    <row r="177" spans="1:15" x14ac:dyDescent="0.3">
      <c r="A177" s="6" t="s">
        <v>229</v>
      </c>
      <c r="B177" s="1" t="s">
        <v>35</v>
      </c>
      <c r="C177" s="7">
        <v>45463</v>
      </c>
      <c r="D177" s="1" t="s">
        <v>56</v>
      </c>
      <c r="E177" s="1" t="s">
        <v>57</v>
      </c>
      <c r="F177" s="1">
        <v>3798</v>
      </c>
      <c r="G177" s="1">
        <v>31</v>
      </c>
      <c r="H177" s="1">
        <v>279</v>
      </c>
      <c r="I177" s="1">
        <v>75960</v>
      </c>
      <c r="J177" s="1">
        <v>75813</v>
      </c>
      <c r="K177" s="1">
        <v>266</v>
      </c>
      <c r="L177" s="1" t="s">
        <v>25</v>
      </c>
      <c r="M177" s="1" t="s">
        <v>359</v>
      </c>
      <c r="N177" s="1" t="s">
        <v>359</v>
      </c>
      <c r="O177" s="8" t="s">
        <v>17</v>
      </c>
    </row>
    <row r="178" spans="1:15" x14ac:dyDescent="0.3">
      <c r="A178" s="6" t="s">
        <v>230</v>
      </c>
      <c r="B178" s="1" t="s">
        <v>28</v>
      </c>
      <c r="C178" s="7">
        <v>45483</v>
      </c>
      <c r="D178" s="1" t="s">
        <v>36</v>
      </c>
      <c r="E178" s="1" t="s">
        <v>65</v>
      </c>
      <c r="F178" s="1">
        <v>3099</v>
      </c>
      <c r="G178" s="1">
        <v>694</v>
      </c>
      <c r="H178" s="1">
        <v>171</v>
      </c>
      <c r="I178" s="1">
        <v>43386</v>
      </c>
      <c r="J178" s="1">
        <v>42921</v>
      </c>
      <c r="K178" s="1">
        <v>52</v>
      </c>
      <c r="L178" s="1" t="s">
        <v>25</v>
      </c>
      <c r="M178" s="1" t="s">
        <v>359</v>
      </c>
      <c r="N178" s="1" t="s">
        <v>359</v>
      </c>
      <c r="O178" s="8" t="s">
        <v>26</v>
      </c>
    </row>
    <row r="179" spans="1:15" x14ac:dyDescent="0.3">
      <c r="A179" s="6" t="s">
        <v>231</v>
      </c>
      <c r="B179" s="1" t="s">
        <v>28</v>
      </c>
      <c r="C179" s="7">
        <v>45603</v>
      </c>
      <c r="D179" s="1" t="s">
        <v>56</v>
      </c>
      <c r="E179" s="1" t="s">
        <v>63</v>
      </c>
      <c r="F179" s="1">
        <v>129</v>
      </c>
      <c r="G179" s="1">
        <v>643</v>
      </c>
      <c r="H179" s="1">
        <v>136</v>
      </c>
      <c r="I179" s="1">
        <v>1290</v>
      </c>
      <c r="J179" s="1">
        <v>839</v>
      </c>
      <c r="K179" s="1">
        <v>238</v>
      </c>
      <c r="L179" s="1" t="s">
        <v>25</v>
      </c>
      <c r="M179" s="1" t="s">
        <v>359</v>
      </c>
      <c r="N179" s="1" t="s">
        <v>359</v>
      </c>
      <c r="O179" s="8" t="s">
        <v>32</v>
      </c>
    </row>
    <row r="180" spans="1:15" x14ac:dyDescent="0.3">
      <c r="A180" s="6" t="s">
        <v>232</v>
      </c>
      <c r="B180" s="1" t="s">
        <v>35</v>
      </c>
      <c r="C180" s="7">
        <v>45488</v>
      </c>
      <c r="D180" s="1" t="s">
        <v>36</v>
      </c>
      <c r="E180" s="1" t="s">
        <v>37</v>
      </c>
      <c r="F180" s="1">
        <v>3796</v>
      </c>
      <c r="G180" s="1">
        <v>667</v>
      </c>
      <c r="H180" s="1">
        <v>395</v>
      </c>
      <c r="I180" s="1">
        <v>64532</v>
      </c>
      <c r="J180" s="1">
        <v>63550</v>
      </c>
      <c r="K180" s="1">
        <v>292</v>
      </c>
      <c r="L180" s="1" t="s">
        <v>25</v>
      </c>
      <c r="M180" s="1" t="s">
        <v>359</v>
      </c>
      <c r="N180" s="1" t="s">
        <v>359</v>
      </c>
      <c r="O180" s="8" t="s">
        <v>360</v>
      </c>
    </row>
    <row r="181" spans="1:15" x14ac:dyDescent="0.3">
      <c r="A181" s="6" t="s">
        <v>233</v>
      </c>
      <c r="B181" s="1" t="s">
        <v>23</v>
      </c>
      <c r="C181" s="7">
        <v>45629</v>
      </c>
      <c r="D181" s="1" t="s">
        <v>19</v>
      </c>
      <c r="E181" s="1" t="s">
        <v>73</v>
      </c>
      <c r="F181" s="1">
        <v>3711</v>
      </c>
      <c r="G181" s="1">
        <v>352</v>
      </c>
      <c r="H181" s="1">
        <v>290</v>
      </c>
      <c r="I181" s="1">
        <v>48243</v>
      </c>
      <c r="J181" s="1">
        <v>47579</v>
      </c>
      <c r="K181" s="1">
        <v>11</v>
      </c>
      <c r="L181" s="1" t="s">
        <v>25</v>
      </c>
      <c r="M181" s="1" t="s">
        <v>359</v>
      </c>
      <c r="N181" s="1" t="s">
        <v>359</v>
      </c>
      <c r="O181" s="8" t="s">
        <v>17</v>
      </c>
    </row>
    <row r="182" spans="1:15" x14ac:dyDescent="0.3">
      <c r="A182" s="6" t="s">
        <v>234</v>
      </c>
      <c r="B182" s="1" t="s">
        <v>23</v>
      </c>
      <c r="C182" s="7">
        <v>45737</v>
      </c>
      <c r="D182" s="1" t="s">
        <v>41</v>
      </c>
      <c r="E182" s="1" t="s">
        <v>42</v>
      </c>
      <c r="F182" s="1">
        <v>606</v>
      </c>
      <c r="G182" s="1">
        <v>789</v>
      </c>
      <c r="H182" s="1">
        <v>470</v>
      </c>
      <c r="I182" s="1">
        <v>7878</v>
      </c>
      <c r="J182" s="1">
        <v>7389</v>
      </c>
      <c r="K182" s="1">
        <v>239</v>
      </c>
      <c r="L182" s="1" t="s">
        <v>31</v>
      </c>
      <c r="M182" s="1" t="s">
        <v>359</v>
      </c>
      <c r="N182" s="1" t="s">
        <v>359</v>
      </c>
      <c r="O182" s="8" t="s">
        <v>26</v>
      </c>
    </row>
    <row r="183" spans="1:15" x14ac:dyDescent="0.3">
      <c r="A183" s="6" t="s">
        <v>235</v>
      </c>
      <c r="B183" s="1" t="s">
        <v>35</v>
      </c>
      <c r="C183" s="7">
        <v>45504</v>
      </c>
      <c r="D183" s="1" t="s">
        <v>41</v>
      </c>
      <c r="E183" s="1" t="s">
        <v>46</v>
      </c>
      <c r="F183" s="1">
        <v>4689</v>
      </c>
      <c r="G183" s="1">
        <v>134</v>
      </c>
      <c r="H183" s="1">
        <v>403</v>
      </c>
      <c r="I183" s="1">
        <v>51579</v>
      </c>
      <c r="J183" s="1">
        <v>50924</v>
      </c>
      <c r="K183" s="1">
        <v>173</v>
      </c>
      <c r="L183" s="1" t="s">
        <v>25</v>
      </c>
      <c r="M183" s="1" t="s">
        <v>359</v>
      </c>
      <c r="N183" s="1" t="s">
        <v>359</v>
      </c>
      <c r="O183" s="8" t="s">
        <v>32</v>
      </c>
    </row>
    <row r="184" spans="1:15" x14ac:dyDescent="0.3">
      <c r="A184" s="6" t="s">
        <v>236</v>
      </c>
      <c r="B184" s="1" t="s">
        <v>28</v>
      </c>
      <c r="C184" s="7">
        <v>45643</v>
      </c>
      <c r="D184" s="1" t="s">
        <v>29</v>
      </c>
      <c r="E184" s="1" t="s">
        <v>30</v>
      </c>
      <c r="F184" s="1">
        <v>360</v>
      </c>
      <c r="G184" s="1">
        <v>590</v>
      </c>
      <c r="H184" s="1">
        <v>393</v>
      </c>
      <c r="I184" s="1">
        <v>4680</v>
      </c>
      <c r="J184" s="1">
        <v>4322</v>
      </c>
      <c r="K184" s="1">
        <v>208</v>
      </c>
      <c r="L184" s="1" t="s">
        <v>48</v>
      </c>
      <c r="M184" s="1" t="s">
        <v>359</v>
      </c>
      <c r="N184" s="1" t="s">
        <v>359</v>
      </c>
      <c r="O184" s="8" t="s">
        <v>21</v>
      </c>
    </row>
    <row r="185" spans="1:15" x14ac:dyDescent="0.3">
      <c r="A185" s="6" t="s">
        <v>237</v>
      </c>
      <c r="B185" s="1" t="s">
        <v>14</v>
      </c>
      <c r="C185" s="7">
        <v>45501</v>
      </c>
      <c r="D185" s="1" t="s">
        <v>41</v>
      </c>
      <c r="E185" s="1" t="s">
        <v>88</v>
      </c>
      <c r="F185" s="1">
        <v>3215</v>
      </c>
      <c r="G185" s="1">
        <v>960</v>
      </c>
      <c r="H185" s="1">
        <v>202</v>
      </c>
      <c r="I185" s="1">
        <v>32150</v>
      </c>
      <c r="J185" s="1">
        <v>31404</v>
      </c>
      <c r="K185" s="1">
        <v>251</v>
      </c>
      <c r="L185" s="1" t="s">
        <v>31</v>
      </c>
      <c r="M185" s="1" t="s">
        <v>359</v>
      </c>
      <c r="N185" s="1" t="s">
        <v>359</v>
      </c>
      <c r="O185" s="8" t="s">
        <v>17</v>
      </c>
    </row>
    <row r="186" spans="1:15" x14ac:dyDescent="0.3">
      <c r="A186" s="6" t="s">
        <v>238</v>
      </c>
      <c r="B186" s="1" t="s">
        <v>28</v>
      </c>
      <c r="C186" s="7">
        <v>45668</v>
      </c>
      <c r="D186" s="1" t="s">
        <v>36</v>
      </c>
      <c r="E186" s="1" t="s">
        <v>65</v>
      </c>
      <c r="F186" s="1">
        <v>4523</v>
      </c>
      <c r="G186" s="1">
        <v>61</v>
      </c>
      <c r="H186" s="1">
        <v>157</v>
      </c>
      <c r="I186" s="1">
        <v>49753</v>
      </c>
      <c r="J186" s="1">
        <v>49329</v>
      </c>
      <c r="K186" s="1">
        <v>71</v>
      </c>
      <c r="L186" s="1" t="s">
        <v>31</v>
      </c>
      <c r="M186" s="1" t="s">
        <v>359</v>
      </c>
      <c r="N186" s="1" t="s">
        <v>359</v>
      </c>
      <c r="O186" s="8" t="s">
        <v>360</v>
      </c>
    </row>
    <row r="187" spans="1:15" x14ac:dyDescent="0.3">
      <c r="A187" s="6" t="s">
        <v>239</v>
      </c>
      <c r="B187" s="1" t="s">
        <v>35</v>
      </c>
      <c r="C187" s="7">
        <v>45528</v>
      </c>
      <c r="D187" s="1" t="s">
        <v>36</v>
      </c>
      <c r="E187" s="1" t="s">
        <v>37</v>
      </c>
      <c r="F187" s="1">
        <v>4292</v>
      </c>
      <c r="G187" s="1">
        <v>51</v>
      </c>
      <c r="H187" s="1">
        <v>392</v>
      </c>
      <c r="I187" s="1">
        <v>55796</v>
      </c>
      <c r="J187" s="1">
        <v>54826</v>
      </c>
      <c r="K187" s="1">
        <v>264</v>
      </c>
      <c r="L187" s="1" t="s">
        <v>31</v>
      </c>
      <c r="M187" s="1" t="s">
        <v>359</v>
      </c>
      <c r="N187" s="1" t="s">
        <v>359</v>
      </c>
      <c r="O187" s="8" t="s">
        <v>26</v>
      </c>
    </row>
    <row r="188" spans="1:15" x14ac:dyDescent="0.3">
      <c r="A188" s="6" t="s">
        <v>240</v>
      </c>
      <c r="B188" s="1" t="s">
        <v>14</v>
      </c>
      <c r="C188" s="7">
        <v>45648</v>
      </c>
      <c r="D188" s="1" t="s">
        <v>15</v>
      </c>
      <c r="E188" s="1" t="s">
        <v>16</v>
      </c>
      <c r="F188" s="1">
        <v>1644</v>
      </c>
      <c r="G188" s="1">
        <v>546</v>
      </c>
      <c r="H188" s="1">
        <v>150</v>
      </c>
      <c r="I188" s="1">
        <v>27948</v>
      </c>
      <c r="J188" s="1">
        <v>27184</v>
      </c>
      <c r="K188" s="1">
        <v>300</v>
      </c>
      <c r="L188" s="1" t="s">
        <v>31</v>
      </c>
      <c r="M188" s="1" t="s">
        <v>359</v>
      </c>
      <c r="N188" s="1" t="s">
        <v>359</v>
      </c>
      <c r="O188" s="8" t="s">
        <v>26</v>
      </c>
    </row>
    <row r="189" spans="1:15" x14ac:dyDescent="0.3">
      <c r="A189" s="6" t="s">
        <v>241</v>
      </c>
      <c r="B189" s="1" t="s">
        <v>23</v>
      </c>
      <c r="C189" s="7">
        <v>45449</v>
      </c>
      <c r="D189" s="1" t="s">
        <v>15</v>
      </c>
      <c r="E189" s="1" t="s">
        <v>24</v>
      </c>
      <c r="F189" s="1">
        <v>2728</v>
      </c>
      <c r="G189" s="1">
        <v>533</v>
      </c>
      <c r="H189" s="1">
        <v>215</v>
      </c>
      <c r="I189" s="1">
        <v>40920</v>
      </c>
      <c r="J189" s="1">
        <v>40816</v>
      </c>
      <c r="K189" s="1">
        <v>137</v>
      </c>
      <c r="L189" s="1" t="s">
        <v>48</v>
      </c>
      <c r="M189" s="1" t="s">
        <v>359</v>
      </c>
      <c r="N189" s="1" t="s">
        <v>359</v>
      </c>
      <c r="O189" s="8" t="s">
        <v>21</v>
      </c>
    </row>
    <row r="190" spans="1:15" x14ac:dyDescent="0.3">
      <c r="A190" s="6" t="s">
        <v>242</v>
      </c>
      <c r="B190" s="1" t="s">
        <v>35</v>
      </c>
      <c r="C190" s="7">
        <v>45740</v>
      </c>
      <c r="D190" s="1" t="s">
        <v>15</v>
      </c>
      <c r="E190" s="1" t="s">
        <v>50</v>
      </c>
      <c r="F190" s="1">
        <v>3360</v>
      </c>
      <c r="G190" s="1">
        <v>525</v>
      </c>
      <c r="H190" s="1">
        <v>500</v>
      </c>
      <c r="I190" s="1">
        <v>60480</v>
      </c>
      <c r="J190" s="1">
        <v>59610</v>
      </c>
      <c r="K190" s="1">
        <v>192</v>
      </c>
      <c r="L190" s="1" t="s">
        <v>25</v>
      </c>
      <c r="M190" s="1" t="s">
        <v>359</v>
      </c>
      <c r="N190" s="1" t="s">
        <v>359</v>
      </c>
      <c r="O190" s="8" t="s">
        <v>17</v>
      </c>
    </row>
    <row r="191" spans="1:15" x14ac:dyDescent="0.3">
      <c r="A191" s="6" t="s">
        <v>243</v>
      </c>
      <c r="B191" s="1" t="s">
        <v>23</v>
      </c>
      <c r="C191" s="7">
        <v>45569</v>
      </c>
      <c r="D191" s="1" t="s">
        <v>19</v>
      </c>
      <c r="E191" s="1" t="s">
        <v>73</v>
      </c>
      <c r="F191" s="1">
        <v>1963</v>
      </c>
      <c r="G191" s="1">
        <v>213</v>
      </c>
      <c r="H191" s="1">
        <v>19</v>
      </c>
      <c r="I191" s="1">
        <v>39260</v>
      </c>
      <c r="J191" s="1">
        <v>38771</v>
      </c>
      <c r="K191" s="1">
        <v>145</v>
      </c>
      <c r="L191" s="1" t="s">
        <v>48</v>
      </c>
      <c r="M191" s="1" t="s">
        <v>359</v>
      </c>
      <c r="N191" s="1" t="s">
        <v>359</v>
      </c>
      <c r="O191" s="8" t="s">
        <v>360</v>
      </c>
    </row>
    <row r="192" spans="1:15" x14ac:dyDescent="0.3">
      <c r="A192" s="6" t="s">
        <v>244</v>
      </c>
      <c r="B192" s="1" t="s">
        <v>23</v>
      </c>
      <c r="C192" s="7">
        <v>45629</v>
      </c>
      <c r="D192" s="1" t="s">
        <v>29</v>
      </c>
      <c r="E192" s="1" t="s">
        <v>101</v>
      </c>
      <c r="F192" s="1">
        <v>4285</v>
      </c>
      <c r="G192" s="1">
        <v>886</v>
      </c>
      <c r="H192" s="1">
        <v>376</v>
      </c>
      <c r="I192" s="1">
        <v>55705</v>
      </c>
      <c r="J192" s="1">
        <v>55556</v>
      </c>
      <c r="K192" s="1">
        <v>51</v>
      </c>
      <c r="L192" s="1" t="s">
        <v>48</v>
      </c>
      <c r="M192" s="1" t="s">
        <v>359</v>
      </c>
      <c r="N192" s="1" t="s">
        <v>359</v>
      </c>
      <c r="O192" s="8" t="s">
        <v>26</v>
      </c>
    </row>
    <row r="193" spans="1:15" x14ac:dyDescent="0.3">
      <c r="A193" s="6" t="s">
        <v>245</v>
      </c>
      <c r="B193" s="1" t="s">
        <v>28</v>
      </c>
      <c r="C193" s="7">
        <v>45625</v>
      </c>
      <c r="D193" s="1" t="s">
        <v>56</v>
      </c>
      <c r="E193" s="1" t="s">
        <v>63</v>
      </c>
      <c r="F193" s="1">
        <v>1176</v>
      </c>
      <c r="G193" s="1">
        <v>464</v>
      </c>
      <c r="H193" s="1">
        <v>394</v>
      </c>
      <c r="I193" s="1">
        <v>14112</v>
      </c>
      <c r="J193" s="1">
        <v>13588</v>
      </c>
      <c r="K193" s="1">
        <v>272</v>
      </c>
      <c r="L193" s="1" t="s">
        <v>31</v>
      </c>
      <c r="M193" s="1" t="s">
        <v>359</v>
      </c>
      <c r="N193" s="1" t="s">
        <v>359</v>
      </c>
      <c r="O193" s="8" t="s">
        <v>360</v>
      </c>
    </row>
    <row r="194" spans="1:15" x14ac:dyDescent="0.3">
      <c r="A194" s="6" t="s">
        <v>246</v>
      </c>
      <c r="B194" s="1" t="s">
        <v>14</v>
      </c>
      <c r="C194" s="7">
        <v>45546</v>
      </c>
      <c r="D194" s="1" t="s">
        <v>41</v>
      </c>
      <c r="E194" s="1" t="s">
        <v>88</v>
      </c>
      <c r="F194" s="1">
        <v>4858</v>
      </c>
      <c r="G194" s="1">
        <v>317</v>
      </c>
      <c r="H194" s="1">
        <v>129</v>
      </c>
      <c r="I194" s="1">
        <v>53438</v>
      </c>
      <c r="J194" s="1">
        <v>52687</v>
      </c>
      <c r="K194" s="1">
        <v>223</v>
      </c>
      <c r="L194" s="1" t="s">
        <v>31</v>
      </c>
      <c r="M194" s="1" t="s">
        <v>359</v>
      </c>
      <c r="N194" s="1" t="s">
        <v>359</v>
      </c>
      <c r="O194" s="8" t="s">
        <v>26</v>
      </c>
    </row>
    <row r="195" spans="1:15" x14ac:dyDescent="0.3">
      <c r="A195" s="6" t="s">
        <v>247</v>
      </c>
      <c r="B195" s="1" t="s">
        <v>23</v>
      </c>
      <c r="C195" s="7">
        <v>45567</v>
      </c>
      <c r="D195" s="1" t="s">
        <v>29</v>
      </c>
      <c r="E195" s="1" t="s">
        <v>101</v>
      </c>
      <c r="F195" s="1">
        <v>4350</v>
      </c>
      <c r="G195" s="1">
        <v>771</v>
      </c>
      <c r="H195" s="1">
        <v>7</v>
      </c>
      <c r="I195" s="1">
        <v>60900</v>
      </c>
      <c r="J195" s="1">
        <v>60592</v>
      </c>
      <c r="K195" s="1">
        <v>195</v>
      </c>
      <c r="L195" s="1" t="s">
        <v>31</v>
      </c>
      <c r="M195" s="1" t="s">
        <v>359</v>
      </c>
      <c r="N195" s="1" t="s">
        <v>359</v>
      </c>
      <c r="O195" s="8" t="s">
        <v>17</v>
      </c>
    </row>
    <row r="196" spans="1:15" x14ac:dyDescent="0.3">
      <c r="A196" s="6" t="s">
        <v>248</v>
      </c>
      <c r="B196" s="1" t="s">
        <v>28</v>
      </c>
      <c r="C196" s="7">
        <v>45519</v>
      </c>
      <c r="D196" s="1" t="s">
        <v>36</v>
      </c>
      <c r="E196" s="1" t="s">
        <v>65</v>
      </c>
      <c r="F196" s="1">
        <v>914</v>
      </c>
      <c r="G196" s="1">
        <v>464</v>
      </c>
      <c r="H196" s="1">
        <v>246</v>
      </c>
      <c r="I196" s="1">
        <v>11882</v>
      </c>
      <c r="J196" s="1">
        <v>11500</v>
      </c>
      <c r="K196" s="1">
        <v>282</v>
      </c>
      <c r="L196" s="1" t="s">
        <v>48</v>
      </c>
      <c r="M196" s="1" t="s">
        <v>25</v>
      </c>
      <c r="N196" s="1" t="s">
        <v>354</v>
      </c>
      <c r="O196" s="8" t="s">
        <v>32</v>
      </c>
    </row>
    <row r="197" spans="1:15" x14ac:dyDescent="0.3">
      <c r="A197" s="6" t="s">
        <v>249</v>
      </c>
      <c r="B197" s="1" t="s">
        <v>28</v>
      </c>
      <c r="C197" s="7">
        <v>45645</v>
      </c>
      <c r="D197" s="1" t="s">
        <v>19</v>
      </c>
      <c r="E197" s="1" t="s">
        <v>78</v>
      </c>
      <c r="F197" s="1">
        <v>1813</v>
      </c>
      <c r="G197" s="1">
        <v>623</v>
      </c>
      <c r="H197" s="1">
        <v>72</v>
      </c>
      <c r="I197" s="1">
        <v>19943</v>
      </c>
      <c r="J197" s="1">
        <v>18959</v>
      </c>
      <c r="K197" s="1">
        <v>85</v>
      </c>
      <c r="L197" s="1" t="s">
        <v>31</v>
      </c>
      <c r="M197" s="1" t="s">
        <v>359</v>
      </c>
      <c r="N197" s="1" t="s">
        <v>359</v>
      </c>
      <c r="O197" s="8" t="s">
        <v>26</v>
      </c>
    </row>
    <row r="198" spans="1:15" x14ac:dyDescent="0.3">
      <c r="A198" s="6" t="s">
        <v>250</v>
      </c>
      <c r="B198" s="1" t="s">
        <v>14</v>
      </c>
      <c r="C198" s="7">
        <v>45587</v>
      </c>
      <c r="D198" s="1" t="s">
        <v>15</v>
      </c>
      <c r="E198" s="1" t="s">
        <v>16</v>
      </c>
      <c r="F198" s="1">
        <v>4782</v>
      </c>
      <c r="G198" s="1">
        <v>721</v>
      </c>
      <c r="H198" s="1">
        <v>82</v>
      </c>
      <c r="I198" s="1">
        <v>86076</v>
      </c>
      <c r="J198" s="1">
        <v>85339</v>
      </c>
      <c r="K198" s="1">
        <v>19</v>
      </c>
      <c r="L198" s="1" t="s">
        <v>31</v>
      </c>
      <c r="M198" s="1" t="s">
        <v>359</v>
      </c>
      <c r="N198" s="1" t="s">
        <v>359</v>
      </c>
      <c r="O198" s="8" t="s">
        <v>17</v>
      </c>
    </row>
    <row r="199" spans="1:15" x14ac:dyDescent="0.3">
      <c r="A199" s="6" t="s">
        <v>251</v>
      </c>
      <c r="B199" s="1" t="s">
        <v>14</v>
      </c>
      <c r="C199" s="7">
        <v>45549</v>
      </c>
      <c r="D199" s="1" t="s">
        <v>41</v>
      </c>
      <c r="E199" s="1" t="s">
        <v>88</v>
      </c>
      <c r="F199" s="1">
        <v>1048</v>
      </c>
      <c r="G199" s="1">
        <v>374</v>
      </c>
      <c r="H199" s="1">
        <v>450</v>
      </c>
      <c r="I199" s="1">
        <v>9432</v>
      </c>
      <c r="J199" s="1">
        <v>8882</v>
      </c>
      <c r="K199" s="1">
        <v>158</v>
      </c>
      <c r="L199" s="1" t="s">
        <v>25</v>
      </c>
      <c r="M199" s="1" t="s">
        <v>359</v>
      </c>
      <c r="N199" s="1" t="s">
        <v>359</v>
      </c>
      <c r="O199" s="8" t="s">
        <v>26</v>
      </c>
    </row>
    <row r="200" spans="1:15" x14ac:dyDescent="0.3">
      <c r="A200" s="6" t="s">
        <v>252</v>
      </c>
      <c r="B200" s="1" t="s">
        <v>23</v>
      </c>
      <c r="C200" s="7">
        <v>45626</v>
      </c>
      <c r="D200" s="1" t="s">
        <v>36</v>
      </c>
      <c r="E200" s="1" t="s">
        <v>52</v>
      </c>
      <c r="F200" s="1">
        <v>2509</v>
      </c>
      <c r="G200" s="1">
        <v>324</v>
      </c>
      <c r="H200" s="1">
        <v>171</v>
      </c>
      <c r="I200" s="1">
        <v>35126</v>
      </c>
      <c r="J200" s="1">
        <v>34685</v>
      </c>
      <c r="K200" s="1">
        <v>277</v>
      </c>
      <c r="L200" s="1" t="s">
        <v>25</v>
      </c>
      <c r="M200" s="1" t="s">
        <v>359</v>
      </c>
      <c r="N200" s="1" t="s">
        <v>359</v>
      </c>
      <c r="O200" s="8" t="s">
        <v>21</v>
      </c>
    </row>
    <row r="201" spans="1:15" x14ac:dyDescent="0.3">
      <c r="A201" s="6" t="s">
        <v>253</v>
      </c>
      <c r="B201" s="1" t="s">
        <v>35</v>
      </c>
      <c r="C201" s="7">
        <v>45754</v>
      </c>
      <c r="D201" s="1" t="s">
        <v>15</v>
      </c>
      <c r="E201" s="1" t="s">
        <v>50</v>
      </c>
      <c r="F201" s="1">
        <v>3718</v>
      </c>
      <c r="G201" s="1">
        <v>385</v>
      </c>
      <c r="H201" s="1">
        <v>310</v>
      </c>
      <c r="I201" s="1">
        <v>70642</v>
      </c>
      <c r="J201" s="1">
        <v>69749</v>
      </c>
      <c r="K201" s="1">
        <v>233</v>
      </c>
      <c r="L201" s="1" t="s">
        <v>25</v>
      </c>
      <c r="M201" s="1" t="s">
        <v>359</v>
      </c>
      <c r="N201" s="1" t="s">
        <v>359</v>
      </c>
      <c r="O201" s="8" t="s">
        <v>21</v>
      </c>
    </row>
    <row r="202" spans="1:15" x14ac:dyDescent="0.3">
      <c r="A202" s="6" t="s">
        <v>254</v>
      </c>
      <c r="B202" s="1" t="s">
        <v>14</v>
      </c>
      <c r="C202" s="7">
        <v>45672</v>
      </c>
      <c r="D202" s="1" t="s">
        <v>15</v>
      </c>
      <c r="E202" s="1" t="s">
        <v>16</v>
      </c>
      <c r="F202" s="1">
        <v>802</v>
      </c>
      <c r="G202" s="1">
        <v>262</v>
      </c>
      <c r="H202" s="1">
        <v>244</v>
      </c>
      <c r="I202" s="1">
        <v>14436</v>
      </c>
      <c r="J202" s="1">
        <v>14280</v>
      </c>
      <c r="K202" s="1">
        <v>49</v>
      </c>
      <c r="L202" s="1" t="s">
        <v>31</v>
      </c>
      <c r="M202" s="1" t="s">
        <v>359</v>
      </c>
      <c r="N202" s="1" t="s">
        <v>359</v>
      </c>
      <c r="O202" s="8" t="s">
        <v>17</v>
      </c>
    </row>
    <row r="203" spans="1:15" x14ac:dyDescent="0.3">
      <c r="A203" s="6" t="s">
        <v>255</v>
      </c>
      <c r="B203" s="1" t="s">
        <v>35</v>
      </c>
      <c r="C203" s="7">
        <v>45445</v>
      </c>
      <c r="D203" s="1" t="s">
        <v>41</v>
      </c>
      <c r="E203" s="1" t="s">
        <v>46</v>
      </c>
      <c r="F203" s="1">
        <v>1871</v>
      </c>
      <c r="G203" s="1">
        <v>252</v>
      </c>
      <c r="H203" s="1">
        <v>335</v>
      </c>
      <c r="I203" s="1">
        <v>29936</v>
      </c>
      <c r="J203" s="1">
        <v>29576</v>
      </c>
      <c r="K203" s="1">
        <v>288</v>
      </c>
      <c r="L203" s="1" t="s">
        <v>31</v>
      </c>
      <c r="M203" s="1" t="s">
        <v>359</v>
      </c>
      <c r="N203" s="1" t="s">
        <v>359</v>
      </c>
      <c r="O203" s="8" t="s">
        <v>26</v>
      </c>
    </row>
    <row r="204" spans="1:15" x14ac:dyDescent="0.3">
      <c r="A204" s="6" t="s">
        <v>256</v>
      </c>
      <c r="B204" s="1" t="s">
        <v>28</v>
      </c>
      <c r="C204" s="7">
        <v>45617</v>
      </c>
      <c r="D204" s="1" t="s">
        <v>36</v>
      </c>
      <c r="E204" s="1" t="s">
        <v>65</v>
      </c>
      <c r="F204" s="1">
        <v>3773</v>
      </c>
      <c r="G204" s="1">
        <v>299</v>
      </c>
      <c r="H204" s="1">
        <v>38</v>
      </c>
      <c r="I204" s="1">
        <v>71687</v>
      </c>
      <c r="J204" s="1">
        <v>71447</v>
      </c>
      <c r="K204" s="1">
        <v>286</v>
      </c>
      <c r="L204" s="1" t="s">
        <v>48</v>
      </c>
      <c r="M204" s="1" t="s">
        <v>359</v>
      </c>
      <c r="N204" s="1" t="s">
        <v>359</v>
      </c>
      <c r="O204" s="8" t="s">
        <v>17</v>
      </c>
    </row>
    <row r="205" spans="1:15" x14ac:dyDescent="0.3">
      <c r="A205" s="6" t="s">
        <v>257</v>
      </c>
      <c r="B205" s="1" t="s">
        <v>28</v>
      </c>
      <c r="C205" s="7">
        <v>45658</v>
      </c>
      <c r="D205" s="1" t="s">
        <v>36</v>
      </c>
      <c r="E205" s="1" t="s">
        <v>65</v>
      </c>
      <c r="F205" s="1">
        <v>2234</v>
      </c>
      <c r="G205" s="1">
        <v>653</v>
      </c>
      <c r="H205" s="1">
        <v>432</v>
      </c>
      <c r="I205" s="1">
        <v>11170</v>
      </c>
      <c r="J205" s="1">
        <v>10569</v>
      </c>
      <c r="K205" s="1">
        <v>198</v>
      </c>
      <c r="L205" s="1" t="s">
        <v>48</v>
      </c>
      <c r="M205" s="1" t="s">
        <v>359</v>
      </c>
      <c r="N205" s="1" t="s">
        <v>359</v>
      </c>
      <c r="O205" s="8" t="s">
        <v>26</v>
      </c>
    </row>
    <row r="206" spans="1:15" x14ac:dyDescent="0.3">
      <c r="A206" s="6" t="s">
        <v>258</v>
      </c>
      <c r="B206" s="1" t="s">
        <v>14</v>
      </c>
      <c r="C206" s="7">
        <v>45771</v>
      </c>
      <c r="D206" s="1" t="s">
        <v>56</v>
      </c>
      <c r="E206" s="1" t="s">
        <v>95</v>
      </c>
      <c r="F206" s="1">
        <v>3820</v>
      </c>
      <c r="G206" s="1">
        <v>697</v>
      </c>
      <c r="H206" s="1">
        <v>268</v>
      </c>
      <c r="I206" s="1">
        <v>45840</v>
      </c>
      <c r="J206" s="1">
        <v>45631</v>
      </c>
      <c r="K206" s="1">
        <v>171</v>
      </c>
      <c r="L206" s="1" t="s">
        <v>25</v>
      </c>
      <c r="M206" s="1" t="s">
        <v>356</v>
      </c>
      <c r="N206" s="1" t="s">
        <v>359</v>
      </c>
      <c r="O206" s="8" t="s">
        <v>32</v>
      </c>
    </row>
    <row r="207" spans="1:15" x14ac:dyDescent="0.3">
      <c r="A207" s="6" t="s">
        <v>259</v>
      </c>
      <c r="B207" s="1" t="s">
        <v>14</v>
      </c>
      <c r="C207" s="7">
        <v>45467</v>
      </c>
      <c r="D207" s="1" t="s">
        <v>19</v>
      </c>
      <c r="E207" s="1" t="s">
        <v>20</v>
      </c>
      <c r="F207" s="1">
        <v>941</v>
      </c>
      <c r="G207" s="1">
        <v>121</v>
      </c>
      <c r="H207" s="1">
        <v>458</v>
      </c>
      <c r="I207" s="1">
        <v>14115</v>
      </c>
      <c r="J207" s="1">
        <v>13838</v>
      </c>
      <c r="K207" s="1">
        <v>87</v>
      </c>
      <c r="L207" s="1" t="s">
        <v>31</v>
      </c>
      <c r="M207" s="1" t="s">
        <v>359</v>
      </c>
      <c r="N207" s="1" t="s">
        <v>359</v>
      </c>
      <c r="O207" s="8" t="s">
        <v>17</v>
      </c>
    </row>
    <row r="208" spans="1:15" x14ac:dyDescent="0.3">
      <c r="A208" s="6" t="s">
        <v>260</v>
      </c>
      <c r="B208" s="1" t="s">
        <v>14</v>
      </c>
      <c r="C208" s="7">
        <v>45655</v>
      </c>
      <c r="D208" s="1" t="s">
        <v>36</v>
      </c>
      <c r="E208" s="1" t="s">
        <v>39</v>
      </c>
      <c r="F208" s="1">
        <v>4274</v>
      </c>
      <c r="G208" s="1">
        <v>340</v>
      </c>
      <c r="H208" s="1">
        <v>281</v>
      </c>
      <c r="I208" s="1">
        <v>34192</v>
      </c>
      <c r="J208" s="1">
        <v>33446</v>
      </c>
      <c r="K208" s="1">
        <v>129</v>
      </c>
      <c r="L208" s="1" t="s">
        <v>25</v>
      </c>
      <c r="M208" s="1" t="s">
        <v>356</v>
      </c>
      <c r="N208" s="1" t="s">
        <v>359</v>
      </c>
      <c r="O208" s="8" t="s">
        <v>26</v>
      </c>
    </row>
    <row r="209" spans="1:15" x14ac:dyDescent="0.3">
      <c r="A209" s="6" t="s">
        <v>261</v>
      </c>
      <c r="B209" s="1" t="s">
        <v>23</v>
      </c>
      <c r="C209" s="7">
        <v>45467</v>
      </c>
      <c r="D209" s="1" t="s">
        <v>56</v>
      </c>
      <c r="E209" s="1" t="s">
        <v>136</v>
      </c>
      <c r="F209" s="1">
        <v>2949</v>
      </c>
      <c r="G209" s="1">
        <v>476</v>
      </c>
      <c r="H209" s="1">
        <v>403</v>
      </c>
      <c r="I209" s="1">
        <v>44235</v>
      </c>
      <c r="J209" s="1">
        <v>43705</v>
      </c>
      <c r="K209" s="1">
        <v>135</v>
      </c>
      <c r="L209" s="1" t="s">
        <v>25</v>
      </c>
      <c r="M209" s="1" t="s">
        <v>359</v>
      </c>
      <c r="N209" s="1" t="s">
        <v>359</v>
      </c>
      <c r="O209" s="8" t="s">
        <v>21</v>
      </c>
    </row>
    <row r="210" spans="1:15" x14ac:dyDescent="0.3">
      <c r="A210" s="6" t="s">
        <v>262</v>
      </c>
      <c r="B210" s="1" t="s">
        <v>14</v>
      </c>
      <c r="C210" s="7">
        <v>45735</v>
      </c>
      <c r="D210" s="1" t="s">
        <v>56</v>
      </c>
      <c r="E210" s="1" t="s">
        <v>95</v>
      </c>
      <c r="F210" s="1">
        <v>3160</v>
      </c>
      <c r="G210" s="1">
        <v>204</v>
      </c>
      <c r="H210" s="1">
        <v>297</v>
      </c>
      <c r="I210" s="1">
        <v>44240</v>
      </c>
      <c r="J210" s="1">
        <v>43666</v>
      </c>
      <c r="K210" s="1">
        <v>49</v>
      </c>
      <c r="L210" s="1" t="s">
        <v>48</v>
      </c>
      <c r="M210" s="1" t="s">
        <v>354</v>
      </c>
      <c r="N210" s="1" t="s">
        <v>359</v>
      </c>
      <c r="O210" s="8" t="s">
        <v>32</v>
      </c>
    </row>
    <row r="211" spans="1:15" x14ac:dyDescent="0.3">
      <c r="A211" s="6" t="s">
        <v>263</v>
      </c>
      <c r="B211" s="1" t="s">
        <v>23</v>
      </c>
      <c r="C211" s="7">
        <v>45707</v>
      </c>
      <c r="D211" s="1" t="s">
        <v>41</v>
      </c>
      <c r="E211" s="1" t="s">
        <v>42</v>
      </c>
      <c r="F211" s="1">
        <v>257</v>
      </c>
      <c r="G211" s="1">
        <v>966</v>
      </c>
      <c r="H211" s="1">
        <v>398</v>
      </c>
      <c r="I211" s="1">
        <v>3341</v>
      </c>
      <c r="J211" s="1">
        <v>2753</v>
      </c>
      <c r="K211" s="1">
        <v>287</v>
      </c>
      <c r="L211" s="1" t="s">
        <v>48</v>
      </c>
      <c r="M211" s="1" t="s">
        <v>359</v>
      </c>
      <c r="N211" s="1" t="s">
        <v>359</v>
      </c>
      <c r="O211" s="8" t="s">
        <v>17</v>
      </c>
    </row>
    <row r="212" spans="1:15" x14ac:dyDescent="0.3">
      <c r="A212" s="6" t="s">
        <v>264</v>
      </c>
      <c r="B212" s="1" t="s">
        <v>14</v>
      </c>
      <c r="C212" s="7">
        <v>45491</v>
      </c>
      <c r="D212" s="1" t="s">
        <v>36</v>
      </c>
      <c r="E212" s="1" t="s">
        <v>39</v>
      </c>
      <c r="F212" s="1">
        <v>2120</v>
      </c>
      <c r="G212" s="1">
        <v>38</v>
      </c>
      <c r="H212" s="1">
        <v>212</v>
      </c>
      <c r="I212" s="1">
        <v>12720</v>
      </c>
      <c r="J212" s="1">
        <v>12564</v>
      </c>
      <c r="K212" s="1">
        <v>21</v>
      </c>
      <c r="L212" s="1" t="s">
        <v>48</v>
      </c>
      <c r="M212" s="1" t="s">
        <v>359</v>
      </c>
      <c r="N212" s="1" t="s">
        <v>359</v>
      </c>
      <c r="O212" s="8" t="s">
        <v>32</v>
      </c>
    </row>
    <row r="213" spans="1:15" x14ac:dyDescent="0.3">
      <c r="A213" s="6" t="s">
        <v>265</v>
      </c>
      <c r="B213" s="1" t="s">
        <v>23</v>
      </c>
      <c r="C213" s="7">
        <v>45719</v>
      </c>
      <c r="D213" s="1" t="s">
        <v>56</v>
      </c>
      <c r="E213" s="1" t="s">
        <v>136</v>
      </c>
      <c r="F213" s="1">
        <v>3874</v>
      </c>
      <c r="G213" s="1">
        <v>884</v>
      </c>
      <c r="H213" s="1">
        <v>19</v>
      </c>
      <c r="I213" s="1">
        <v>38740</v>
      </c>
      <c r="J213" s="1">
        <v>38552</v>
      </c>
      <c r="K213" s="1">
        <v>219</v>
      </c>
      <c r="L213" s="1" t="s">
        <v>25</v>
      </c>
      <c r="M213" s="1" t="s">
        <v>359</v>
      </c>
      <c r="N213" s="1" t="s">
        <v>359</v>
      </c>
      <c r="O213" s="8" t="s">
        <v>21</v>
      </c>
    </row>
    <row r="214" spans="1:15" x14ac:dyDescent="0.3">
      <c r="A214" s="6" t="s">
        <v>266</v>
      </c>
      <c r="B214" s="1" t="s">
        <v>35</v>
      </c>
      <c r="C214" s="7">
        <v>45778</v>
      </c>
      <c r="D214" s="1" t="s">
        <v>36</v>
      </c>
      <c r="E214" s="1" t="s">
        <v>37</v>
      </c>
      <c r="F214" s="1">
        <v>2696</v>
      </c>
      <c r="G214" s="1">
        <v>628</v>
      </c>
      <c r="H214" s="1">
        <v>443</v>
      </c>
      <c r="I214" s="1">
        <v>45832</v>
      </c>
      <c r="J214" s="1">
        <v>45632</v>
      </c>
      <c r="K214" s="1">
        <v>248</v>
      </c>
      <c r="L214" s="1" t="s">
        <v>31</v>
      </c>
      <c r="M214" s="1" t="s">
        <v>359</v>
      </c>
      <c r="N214" s="1" t="s">
        <v>359</v>
      </c>
      <c r="O214" s="8" t="s">
        <v>32</v>
      </c>
    </row>
    <row r="215" spans="1:15" x14ac:dyDescent="0.3">
      <c r="A215" s="6" t="s">
        <v>267</v>
      </c>
      <c r="B215" s="1" t="s">
        <v>28</v>
      </c>
      <c r="C215" s="7">
        <v>45649</v>
      </c>
      <c r="D215" s="1" t="s">
        <v>41</v>
      </c>
      <c r="E215" s="1" t="s">
        <v>134</v>
      </c>
      <c r="F215" s="1">
        <v>521</v>
      </c>
      <c r="G215" s="1">
        <v>746</v>
      </c>
      <c r="H215" s="1">
        <v>315</v>
      </c>
      <c r="I215" s="1">
        <v>4168</v>
      </c>
      <c r="J215" s="1">
        <v>3399</v>
      </c>
      <c r="K215" s="1">
        <v>282</v>
      </c>
      <c r="L215" s="1" t="s">
        <v>48</v>
      </c>
      <c r="M215" s="1" t="s">
        <v>359</v>
      </c>
      <c r="N215" s="1" t="s">
        <v>359</v>
      </c>
      <c r="O215" s="8" t="s">
        <v>21</v>
      </c>
    </row>
    <row r="216" spans="1:15" x14ac:dyDescent="0.3">
      <c r="A216" s="6" t="s">
        <v>268</v>
      </c>
      <c r="B216" s="1" t="s">
        <v>35</v>
      </c>
      <c r="C216" s="7">
        <v>45783</v>
      </c>
      <c r="D216" s="1" t="s">
        <v>41</v>
      </c>
      <c r="E216" s="1" t="s">
        <v>46</v>
      </c>
      <c r="F216" s="1">
        <v>4872</v>
      </c>
      <c r="G216" s="1">
        <v>925</v>
      </c>
      <c r="H216" s="1">
        <v>176</v>
      </c>
      <c r="I216" s="1">
        <v>82824</v>
      </c>
      <c r="J216" s="1">
        <v>82543</v>
      </c>
      <c r="K216" s="1">
        <v>89</v>
      </c>
      <c r="L216" s="1" t="s">
        <v>31</v>
      </c>
      <c r="M216" s="1" t="s">
        <v>359</v>
      </c>
      <c r="N216" s="1" t="s">
        <v>359</v>
      </c>
      <c r="O216" s="8" t="s">
        <v>21</v>
      </c>
    </row>
    <row r="217" spans="1:15" x14ac:dyDescent="0.3">
      <c r="A217" s="6" t="s">
        <v>269</v>
      </c>
      <c r="B217" s="1" t="s">
        <v>23</v>
      </c>
      <c r="C217" s="7">
        <v>45502</v>
      </c>
      <c r="D217" s="1" t="s">
        <v>29</v>
      </c>
      <c r="E217" s="1" t="s">
        <v>101</v>
      </c>
      <c r="F217" s="1">
        <v>1509</v>
      </c>
      <c r="G217" s="1">
        <v>88</v>
      </c>
      <c r="H217" s="1">
        <v>163</v>
      </c>
      <c r="I217" s="1">
        <v>30180</v>
      </c>
      <c r="J217" s="1">
        <v>29689</v>
      </c>
      <c r="K217" s="1">
        <v>119</v>
      </c>
      <c r="L217" s="1" t="s">
        <v>31</v>
      </c>
      <c r="M217" s="1" t="s">
        <v>359</v>
      </c>
      <c r="N217" s="1" t="s">
        <v>359</v>
      </c>
      <c r="O217" s="8" t="s">
        <v>21</v>
      </c>
    </row>
    <row r="218" spans="1:15" x14ac:dyDescent="0.3">
      <c r="A218" s="6" t="s">
        <v>270</v>
      </c>
      <c r="B218" s="1" t="s">
        <v>35</v>
      </c>
      <c r="C218" s="7">
        <v>45629</v>
      </c>
      <c r="D218" s="1" t="s">
        <v>41</v>
      </c>
      <c r="E218" s="1" t="s">
        <v>46</v>
      </c>
      <c r="F218" s="1">
        <v>4606</v>
      </c>
      <c r="G218" s="1">
        <v>931</v>
      </c>
      <c r="H218" s="1">
        <v>230</v>
      </c>
      <c r="I218" s="1">
        <v>92120</v>
      </c>
      <c r="J218" s="1">
        <v>91440</v>
      </c>
      <c r="K218" s="1">
        <v>56</v>
      </c>
      <c r="L218" s="1" t="s">
        <v>25</v>
      </c>
      <c r="M218" s="1" t="s">
        <v>359</v>
      </c>
      <c r="N218" s="1" t="s">
        <v>359</v>
      </c>
      <c r="O218" s="8" t="s">
        <v>360</v>
      </c>
    </row>
    <row r="219" spans="1:15" x14ac:dyDescent="0.3">
      <c r="A219" s="6" t="s">
        <v>271</v>
      </c>
      <c r="B219" s="1" t="s">
        <v>35</v>
      </c>
      <c r="C219" s="7">
        <v>45454</v>
      </c>
      <c r="D219" s="1" t="s">
        <v>36</v>
      </c>
      <c r="E219" s="1" t="s">
        <v>37</v>
      </c>
      <c r="F219" s="1">
        <v>1869</v>
      </c>
      <c r="G219" s="1">
        <v>453</v>
      </c>
      <c r="H219" s="1">
        <v>490</v>
      </c>
      <c r="I219" s="1">
        <v>14952</v>
      </c>
      <c r="J219" s="1">
        <v>14309</v>
      </c>
      <c r="K219" s="1">
        <v>275</v>
      </c>
      <c r="L219" s="1" t="s">
        <v>25</v>
      </c>
      <c r="M219" s="1" t="s">
        <v>359</v>
      </c>
      <c r="N219" s="1" t="s">
        <v>359</v>
      </c>
      <c r="O219" s="8" t="s">
        <v>32</v>
      </c>
    </row>
    <row r="220" spans="1:15" x14ac:dyDescent="0.3">
      <c r="A220" s="6" t="s">
        <v>272</v>
      </c>
      <c r="B220" s="1" t="s">
        <v>14</v>
      </c>
      <c r="C220" s="7">
        <v>45685</v>
      </c>
      <c r="D220" s="1" t="s">
        <v>15</v>
      </c>
      <c r="E220" s="1" t="s">
        <v>16</v>
      </c>
      <c r="F220" s="1">
        <v>1188</v>
      </c>
      <c r="G220" s="1">
        <v>470</v>
      </c>
      <c r="H220" s="1">
        <v>174</v>
      </c>
      <c r="I220" s="1">
        <v>7128</v>
      </c>
      <c r="J220" s="1">
        <v>6145</v>
      </c>
      <c r="K220" s="1">
        <v>270</v>
      </c>
      <c r="L220" s="1" t="s">
        <v>25</v>
      </c>
      <c r="M220" s="1" t="s">
        <v>359</v>
      </c>
      <c r="N220" s="1" t="s">
        <v>359</v>
      </c>
      <c r="O220" s="8" t="s">
        <v>32</v>
      </c>
    </row>
    <row r="221" spans="1:15" x14ac:dyDescent="0.3">
      <c r="A221" s="6" t="s">
        <v>273</v>
      </c>
      <c r="B221" s="1" t="s">
        <v>28</v>
      </c>
      <c r="C221" s="7">
        <v>45445</v>
      </c>
      <c r="D221" s="1" t="s">
        <v>29</v>
      </c>
      <c r="E221" s="1" t="s">
        <v>30</v>
      </c>
      <c r="F221" s="1">
        <v>84</v>
      </c>
      <c r="G221" s="1">
        <v>897</v>
      </c>
      <c r="H221" s="1">
        <v>85</v>
      </c>
      <c r="I221" s="1">
        <v>588</v>
      </c>
      <c r="J221" s="1">
        <v>8</v>
      </c>
      <c r="K221" s="1">
        <v>12</v>
      </c>
      <c r="L221" s="1" t="s">
        <v>31</v>
      </c>
      <c r="M221" s="1" t="s">
        <v>359</v>
      </c>
      <c r="N221" s="1" t="s">
        <v>359</v>
      </c>
      <c r="O221" s="8" t="s">
        <v>360</v>
      </c>
    </row>
    <row r="222" spans="1:15" x14ac:dyDescent="0.3">
      <c r="A222" s="6" t="s">
        <v>274</v>
      </c>
      <c r="B222" s="1" t="s">
        <v>35</v>
      </c>
      <c r="C222" s="7">
        <v>45739</v>
      </c>
      <c r="D222" s="1" t="s">
        <v>56</v>
      </c>
      <c r="E222" s="1" t="s">
        <v>57</v>
      </c>
      <c r="F222" s="1">
        <v>4453</v>
      </c>
      <c r="G222" s="1">
        <v>111</v>
      </c>
      <c r="H222" s="1">
        <v>420</v>
      </c>
      <c r="I222" s="1">
        <v>31171</v>
      </c>
      <c r="J222" s="1">
        <v>30565</v>
      </c>
      <c r="K222" s="1">
        <v>23</v>
      </c>
      <c r="L222" s="1" t="s">
        <v>25</v>
      </c>
      <c r="M222" s="1" t="s">
        <v>359</v>
      </c>
      <c r="N222" s="1" t="s">
        <v>359</v>
      </c>
      <c r="O222" s="8" t="s">
        <v>360</v>
      </c>
    </row>
    <row r="223" spans="1:15" x14ac:dyDescent="0.3">
      <c r="A223" s="6" t="s">
        <v>275</v>
      </c>
      <c r="B223" s="1" t="s">
        <v>35</v>
      </c>
      <c r="C223" s="7">
        <v>45573</v>
      </c>
      <c r="D223" s="1" t="s">
        <v>15</v>
      </c>
      <c r="E223" s="1" t="s">
        <v>50</v>
      </c>
      <c r="F223" s="1">
        <v>1814</v>
      </c>
      <c r="G223" s="1">
        <v>653</v>
      </c>
      <c r="H223" s="1">
        <v>363</v>
      </c>
      <c r="I223" s="1">
        <v>25396</v>
      </c>
      <c r="J223" s="1">
        <v>25286</v>
      </c>
      <c r="K223" s="1">
        <v>39</v>
      </c>
      <c r="L223" s="1" t="s">
        <v>48</v>
      </c>
      <c r="M223" s="1" t="s">
        <v>356</v>
      </c>
      <c r="N223" s="1" t="s">
        <v>359</v>
      </c>
      <c r="O223" s="8" t="s">
        <v>17</v>
      </c>
    </row>
    <row r="224" spans="1:15" x14ac:dyDescent="0.3">
      <c r="A224" s="6" t="s">
        <v>276</v>
      </c>
      <c r="B224" s="1" t="s">
        <v>14</v>
      </c>
      <c r="C224" s="7">
        <v>45608</v>
      </c>
      <c r="D224" s="1" t="s">
        <v>41</v>
      </c>
      <c r="E224" s="1" t="s">
        <v>88</v>
      </c>
      <c r="F224" s="1">
        <v>3338</v>
      </c>
      <c r="G224" s="1">
        <v>277</v>
      </c>
      <c r="H224" s="1">
        <v>118</v>
      </c>
      <c r="I224" s="1">
        <v>60084</v>
      </c>
      <c r="J224" s="1">
        <v>59842</v>
      </c>
      <c r="K224" s="1">
        <v>252</v>
      </c>
      <c r="L224" s="1" t="s">
        <v>25</v>
      </c>
      <c r="M224" s="1" t="s">
        <v>359</v>
      </c>
      <c r="N224" s="1" t="s">
        <v>359</v>
      </c>
      <c r="O224" s="8" t="s">
        <v>360</v>
      </c>
    </row>
    <row r="225" spans="1:15" x14ac:dyDescent="0.3">
      <c r="A225" s="6" t="s">
        <v>277</v>
      </c>
      <c r="B225" s="1" t="s">
        <v>35</v>
      </c>
      <c r="C225" s="7">
        <v>45790</v>
      </c>
      <c r="D225" s="1" t="s">
        <v>41</v>
      </c>
      <c r="E225" s="1" t="s">
        <v>46</v>
      </c>
      <c r="F225" s="1">
        <v>602</v>
      </c>
      <c r="G225" s="1">
        <v>594</v>
      </c>
      <c r="H225" s="1">
        <v>156</v>
      </c>
      <c r="I225" s="1">
        <v>4214</v>
      </c>
      <c r="J225" s="1">
        <v>3363</v>
      </c>
      <c r="K225" s="1">
        <v>164</v>
      </c>
      <c r="L225" s="1" t="s">
        <v>25</v>
      </c>
      <c r="M225" s="1" t="s">
        <v>359</v>
      </c>
      <c r="N225" s="1" t="s">
        <v>359</v>
      </c>
      <c r="O225" s="8" t="s">
        <v>26</v>
      </c>
    </row>
    <row r="226" spans="1:15" x14ac:dyDescent="0.3">
      <c r="A226" s="6" t="s">
        <v>278</v>
      </c>
      <c r="B226" s="1" t="s">
        <v>14</v>
      </c>
      <c r="C226" s="7">
        <v>45463</v>
      </c>
      <c r="D226" s="1" t="s">
        <v>36</v>
      </c>
      <c r="E226" s="1" t="s">
        <v>39</v>
      </c>
      <c r="F226" s="1">
        <v>4672</v>
      </c>
      <c r="G226" s="1">
        <v>325</v>
      </c>
      <c r="H226" s="1">
        <v>32</v>
      </c>
      <c r="I226" s="1">
        <v>88768</v>
      </c>
      <c r="J226" s="1">
        <v>87833</v>
      </c>
      <c r="K226" s="1">
        <v>118</v>
      </c>
      <c r="L226" s="1" t="s">
        <v>31</v>
      </c>
      <c r="M226" s="1" t="s">
        <v>359</v>
      </c>
      <c r="N226" s="1" t="s">
        <v>359</v>
      </c>
      <c r="O226" s="8" t="s">
        <v>360</v>
      </c>
    </row>
    <row r="227" spans="1:15" x14ac:dyDescent="0.3">
      <c r="A227" s="6" t="s">
        <v>279</v>
      </c>
      <c r="B227" s="1" t="s">
        <v>28</v>
      </c>
      <c r="C227" s="7">
        <v>45511</v>
      </c>
      <c r="D227" s="1" t="s">
        <v>36</v>
      </c>
      <c r="E227" s="1" t="s">
        <v>65</v>
      </c>
      <c r="F227" s="1">
        <v>1741</v>
      </c>
      <c r="G227" s="1">
        <v>164</v>
      </c>
      <c r="H227" s="1">
        <v>318</v>
      </c>
      <c r="I227" s="1">
        <v>8705</v>
      </c>
      <c r="J227" s="1">
        <v>8272</v>
      </c>
      <c r="K227" s="1">
        <v>121</v>
      </c>
      <c r="L227" s="1" t="s">
        <v>25</v>
      </c>
      <c r="M227" s="1" t="s">
        <v>359</v>
      </c>
      <c r="N227" s="1" t="s">
        <v>359</v>
      </c>
      <c r="O227" s="8" t="s">
        <v>360</v>
      </c>
    </row>
    <row r="228" spans="1:15" x14ac:dyDescent="0.3">
      <c r="A228" s="6" t="s">
        <v>280</v>
      </c>
      <c r="B228" s="1" t="s">
        <v>28</v>
      </c>
      <c r="C228" s="7">
        <v>45455</v>
      </c>
      <c r="D228" s="1" t="s">
        <v>19</v>
      </c>
      <c r="E228" s="1" t="s">
        <v>78</v>
      </c>
      <c r="F228" s="1">
        <v>246</v>
      </c>
      <c r="G228" s="1">
        <v>149</v>
      </c>
      <c r="H228" s="1">
        <v>130</v>
      </c>
      <c r="I228" s="1">
        <v>4674</v>
      </c>
      <c r="J228" s="1">
        <v>4390</v>
      </c>
      <c r="K228" s="1">
        <v>217</v>
      </c>
      <c r="L228" s="1" t="s">
        <v>48</v>
      </c>
      <c r="M228" s="1" t="s">
        <v>359</v>
      </c>
      <c r="N228" s="1" t="s">
        <v>359</v>
      </c>
      <c r="O228" s="8" t="s">
        <v>26</v>
      </c>
    </row>
    <row r="229" spans="1:15" x14ac:dyDescent="0.3">
      <c r="A229" s="6" t="s">
        <v>281</v>
      </c>
      <c r="B229" s="1" t="s">
        <v>28</v>
      </c>
      <c r="C229" s="7">
        <v>45474</v>
      </c>
      <c r="D229" s="1" t="s">
        <v>29</v>
      </c>
      <c r="E229" s="1" t="s">
        <v>30</v>
      </c>
      <c r="F229" s="1">
        <v>4808</v>
      </c>
      <c r="G229" s="1">
        <v>772</v>
      </c>
      <c r="H229" s="1">
        <v>320</v>
      </c>
      <c r="I229" s="1">
        <v>72120</v>
      </c>
      <c r="J229" s="1">
        <v>71696</v>
      </c>
      <c r="K229" s="1">
        <v>195</v>
      </c>
      <c r="L229" s="1" t="s">
        <v>31</v>
      </c>
      <c r="M229" s="1" t="s">
        <v>359</v>
      </c>
      <c r="N229" s="1" t="s">
        <v>359</v>
      </c>
      <c r="O229" s="8" t="s">
        <v>17</v>
      </c>
    </row>
    <row r="230" spans="1:15" x14ac:dyDescent="0.3">
      <c r="A230" s="6" t="s">
        <v>282</v>
      </c>
      <c r="B230" s="1" t="s">
        <v>28</v>
      </c>
      <c r="C230" s="7">
        <v>45476</v>
      </c>
      <c r="D230" s="1" t="s">
        <v>36</v>
      </c>
      <c r="E230" s="1" t="s">
        <v>65</v>
      </c>
      <c r="F230" s="1">
        <v>4799</v>
      </c>
      <c r="G230" s="1">
        <v>694</v>
      </c>
      <c r="H230" s="1">
        <v>289</v>
      </c>
      <c r="I230" s="1">
        <v>43191</v>
      </c>
      <c r="J230" s="1">
        <v>42228</v>
      </c>
      <c r="K230" s="1">
        <v>118</v>
      </c>
      <c r="L230" s="1" t="s">
        <v>25</v>
      </c>
      <c r="M230" s="1" t="s">
        <v>359</v>
      </c>
      <c r="N230" s="1" t="s">
        <v>359</v>
      </c>
      <c r="O230" s="8" t="s">
        <v>360</v>
      </c>
    </row>
    <row r="231" spans="1:15" x14ac:dyDescent="0.3">
      <c r="A231" s="6" t="s">
        <v>283</v>
      </c>
      <c r="B231" s="1" t="s">
        <v>35</v>
      </c>
      <c r="C231" s="7">
        <v>45488</v>
      </c>
      <c r="D231" s="1" t="s">
        <v>15</v>
      </c>
      <c r="E231" s="1" t="s">
        <v>50</v>
      </c>
      <c r="F231" s="1">
        <v>3663</v>
      </c>
      <c r="G231" s="1">
        <v>17</v>
      </c>
      <c r="H231" s="1">
        <v>295</v>
      </c>
      <c r="I231" s="1">
        <v>51282</v>
      </c>
      <c r="J231" s="1">
        <v>50567</v>
      </c>
      <c r="K231" s="1">
        <v>84</v>
      </c>
      <c r="L231" s="1" t="s">
        <v>31</v>
      </c>
      <c r="M231" s="1" t="s">
        <v>359</v>
      </c>
      <c r="N231" s="1" t="s">
        <v>359</v>
      </c>
      <c r="O231" s="8" t="s">
        <v>26</v>
      </c>
    </row>
    <row r="232" spans="1:15" x14ac:dyDescent="0.3">
      <c r="A232" s="6" t="s">
        <v>284</v>
      </c>
      <c r="B232" s="1" t="s">
        <v>28</v>
      </c>
      <c r="C232" s="7">
        <v>45778</v>
      </c>
      <c r="D232" s="1" t="s">
        <v>19</v>
      </c>
      <c r="E232" s="1" t="s">
        <v>78</v>
      </c>
      <c r="F232" s="1">
        <v>1430</v>
      </c>
      <c r="G232" s="1">
        <v>376</v>
      </c>
      <c r="H232" s="1">
        <v>33</v>
      </c>
      <c r="I232" s="1">
        <v>21450</v>
      </c>
      <c r="J232" s="1">
        <v>20509</v>
      </c>
      <c r="K232" s="1">
        <v>251</v>
      </c>
      <c r="L232" s="1" t="s">
        <v>48</v>
      </c>
      <c r="M232" s="1" t="s">
        <v>359</v>
      </c>
      <c r="N232" s="1" t="s">
        <v>359</v>
      </c>
      <c r="O232" s="8" t="s">
        <v>17</v>
      </c>
    </row>
    <row r="233" spans="1:15" x14ac:dyDescent="0.3">
      <c r="A233" s="6" t="s">
        <v>285</v>
      </c>
      <c r="B233" s="1" t="s">
        <v>14</v>
      </c>
      <c r="C233" s="7">
        <v>45776</v>
      </c>
      <c r="D233" s="1" t="s">
        <v>29</v>
      </c>
      <c r="E233" s="1" t="s">
        <v>98</v>
      </c>
      <c r="F233" s="1">
        <v>249</v>
      </c>
      <c r="G233" s="1">
        <v>592</v>
      </c>
      <c r="H233" s="1">
        <v>230</v>
      </c>
      <c r="I233" s="1">
        <v>1494</v>
      </c>
      <c r="J233" s="1">
        <v>1044</v>
      </c>
      <c r="K233" s="1">
        <v>201</v>
      </c>
      <c r="L233" s="1" t="s">
        <v>31</v>
      </c>
      <c r="M233" s="1" t="s">
        <v>359</v>
      </c>
      <c r="N233" s="1" t="s">
        <v>359</v>
      </c>
      <c r="O233" s="8" t="s">
        <v>32</v>
      </c>
    </row>
    <row r="234" spans="1:15" x14ac:dyDescent="0.3">
      <c r="A234" s="6" t="s">
        <v>286</v>
      </c>
      <c r="B234" s="1" t="s">
        <v>35</v>
      </c>
      <c r="C234" s="7">
        <v>45724</v>
      </c>
      <c r="D234" s="1" t="s">
        <v>41</v>
      </c>
      <c r="E234" s="1" t="s">
        <v>46</v>
      </c>
      <c r="F234" s="1">
        <v>2382</v>
      </c>
      <c r="G234" s="1">
        <v>265</v>
      </c>
      <c r="H234" s="1">
        <v>134</v>
      </c>
      <c r="I234" s="1">
        <v>38112</v>
      </c>
      <c r="J234" s="1">
        <v>37437</v>
      </c>
      <c r="K234" s="1">
        <v>249</v>
      </c>
      <c r="L234" s="1" t="s">
        <v>48</v>
      </c>
      <c r="M234" s="1" t="s">
        <v>359</v>
      </c>
      <c r="N234" s="1" t="s">
        <v>359</v>
      </c>
      <c r="O234" s="8" t="s">
        <v>32</v>
      </c>
    </row>
    <row r="235" spans="1:15" x14ac:dyDescent="0.3">
      <c r="A235" s="6" t="s">
        <v>287</v>
      </c>
      <c r="B235" s="1" t="s">
        <v>35</v>
      </c>
      <c r="C235" s="7">
        <v>45444</v>
      </c>
      <c r="D235" s="1" t="s">
        <v>19</v>
      </c>
      <c r="E235" s="1" t="s">
        <v>44</v>
      </c>
      <c r="F235" s="1">
        <v>1272</v>
      </c>
      <c r="G235" s="1">
        <v>465</v>
      </c>
      <c r="H235" s="1">
        <v>99</v>
      </c>
      <c r="I235" s="1">
        <v>24168</v>
      </c>
      <c r="J235" s="1">
        <v>23719</v>
      </c>
      <c r="K235" s="1">
        <v>42</v>
      </c>
      <c r="L235" s="1" t="s">
        <v>25</v>
      </c>
      <c r="M235" s="1" t="s">
        <v>359</v>
      </c>
      <c r="N235" s="1" t="s">
        <v>359</v>
      </c>
      <c r="O235" s="8" t="s">
        <v>360</v>
      </c>
    </row>
    <row r="236" spans="1:15" x14ac:dyDescent="0.3">
      <c r="A236" s="6" t="s">
        <v>288</v>
      </c>
      <c r="B236" s="1" t="s">
        <v>35</v>
      </c>
      <c r="C236" s="7">
        <v>45648</v>
      </c>
      <c r="D236" s="1" t="s">
        <v>41</v>
      </c>
      <c r="E236" s="1" t="s">
        <v>46</v>
      </c>
      <c r="F236" s="1">
        <v>3196</v>
      </c>
      <c r="G236" s="1">
        <v>941</v>
      </c>
      <c r="H236" s="1">
        <v>376</v>
      </c>
      <c r="I236" s="1">
        <v>35156</v>
      </c>
      <c r="J236" s="1">
        <v>34444</v>
      </c>
      <c r="K236" s="1">
        <v>241</v>
      </c>
      <c r="L236" s="1" t="s">
        <v>25</v>
      </c>
      <c r="M236" s="1" t="s">
        <v>359</v>
      </c>
      <c r="N236" s="1" t="s">
        <v>359</v>
      </c>
      <c r="O236" s="8" t="s">
        <v>26</v>
      </c>
    </row>
    <row r="237" spans="1:15" x14ac:dyDescent="0.3">
      <c r="A237" s="6" t="s">
        <v>289</v>
      </c>
      <c r="B237" s="1" t="s">
        <v>35</v>
      </c>
      <c r="C237" s="7">
        <v>45523</v>
      </c>
      <c r="D237" s="1" t="s">
        <v>19</v>
      </c>
      <c r="E237" s="1" t="s">
        <v>44</v>
      </c>
      <c r="F237" s="1">
        <v>1257</v>
      </c>
      <c r="G237" s="1">
        <v>19</v>
      </c>
      <c r="H237" s="1">
        <v>351</v>
      </c>
      <c r="I237" s="1">
        <v>12570</v>
      </c>
      <c r="J237" s="1">
        <v>11660</v>
      </c>
      <c r="K237" s="1">
        <v>194</v>
      </c>
      <c r="L237" s="1" t="s">
        <v>48</v>
      </c>
      <c r="M237" s="1" t="s">
        <v>354</v>
      </c>
      <c r="N237" s="1" t="s">
        <v>31</v>
      </c>
      <c r="O237" s="8" t="s">
        <v>21</v>
      </c>
    </row>
    <row r="238" spans="1:15" x14ac:dyDescent="0.3">
      <c r="A238" s="6" t="s">
        <v>290</v>
      </c>
      <c r="B238" s="1" t="s">
        <v>28</v>
      </c>
      <c r="C238" s="7">
        <v>45587</v>
      </c>
      <c r="D238" s="1" t="s">
        <v>29</v>
      </c>
      <c r="E238" s="1" t="s">
        <v>30</v>
      </c>
      <c r="F238" s="1">
        <v>3770</v>
      </c>
      <c r="G238" s="1">
        <v>917</v>
      </c>
      <c r="H238" s="1">
        <v>129</v>
      </c>
      <c r="I238" s="1">
        <v>71630</v>
      </c>
      <c r="J238" s="1">
        <v>71322</v>
      </c>
      <c r="K238" s="1">
        <v>76</v>
      </c>
      <c r="L238" s="1" t="s">
        <v>48</v>
      </c>
      <c r="M238" s="1" t="s">
        <v>359</v>
      </c>
      <c r="N238" s="1" t="s">
        <v>359</v>
      </c>
      <c r="O238" s="8" t="s">
        <v>17</v>
      </c>
    </row>
    <row r="239" spans="1:15" x14ac:dyDescent="0.3">
      <c r="A239" s="6" t="s">
        <v>291</v>
      </c>
      <c r="B239" s="1" t="s">
        <v>14</v>
      </c>
      <c r="C239" s="7">
        <v>45489</v>
      </c>
      <c r="D239" s="1" t="s">
        <v>19</v>
      </c>
      <c r="E239" s="1" t="s">
        <v>20</v>
      </c>
      <c r="F239" s="1">
        <v>4725</v>
      </c>
      <c r="G239" s="1">
        <v>400</v>
      </c>
      <c r="H239" s="1">
        <v>362</v>
      </c>
      <c r="I239" s="1">
        <v>75600</v>
      </c>
      <c r="J239" s="1">
        <v>74927</v>
      </c>
      <c r="K239" s="1">
        <v>43</v>
      </c>
      <c r="L239" s="1" t="s">
        <v>48</v>
      </c>
      <c r="M239" s="1" t="s">
        <v>359</v>
      </c>
      <c r="N239" s="1" t="s">
        <v>359</v>
      </c>
      <c r="O239" s="8" t="s">
        <v>32</v>
      </c>
    </row>
    <row r="240" spans="1:15" x14ac:dyDescent="0.3">
      <c r="A240" s="6" t="s">
        <v>292</v>
      </c>
      <c r="B240" s="1" t="s">
        <v>23</v>
      </c>
      <c r="C240" s="7">
        <v>45712</v>
      </c>
      <c r="D240" s="1" t="s">
        <v>19</v>
      </c>
      <c r="E240" s="1" t="s">
        <v>73</v>
      </c>
      <c r="F240" s="1">
        <v>4188</v>
      </c>
      <c r="G240" s="1">
        <v>942</v>
      </c>
      <c r="H240" s="1">
        <v>118</v>
      </c>
      <c r="I240" s="1">
        <v>20940</v>
      </c>
      <c r="J240" s="1">
        <v>20471</v>
      </c>
      <c r="K240" s="1">
        <v>102</v>
      </c>
      <c r="L240" s="1" t="s">
        <v>48</v>
      </c>
      <c r="M240" s="1" t="s">
        <v>359</v>
      </c>
      <c r="N240" s="1" t="s">
        <v>359</v>
      </c>
      <c r="O240" s="8" t="s">
        <v>360</v>
      </c>
    </row>
    <row r="241" spans="1:15" x14ac:dyDescent="0.3">
      <c r="A241" s="6" t="s">
        <v>293</v>
      </c>
      <c r="B241" s="1" t="s">
        <v>14</v>
      </c>
      <c r="C241" s="7">
        <v>45530</v>
      </c>
      <c r="D241" s="1" t="s">
        <v>36</v>
      </c>
      <c r="E241" s="1" t="s">
        <v>39</v>
      </c>
      <c r="F241" s="1">
        <v>929</v>
      </c>
      <c r="G241" s="1">
        <v>192</v>
      </c>
      <c r="H241" s="1">
        <v>322</v>
      </c>
      <c r="I241" s="1">
        <v>16722</v>
      </c>
      <c r="J241" s="1">
        <v>15996</v>
      </c>
      <c r="K241" s="1">
        <v>145</v>
      </c>
      <c r="L241" s="1" t="s">
        <v>31</v>
      </c>
      <c r="M241" s="1" t="s">
        <v>25</v>
      </c>
      <c r="N241" s="1" t="s">
        <v>354</v>
      </c>
      <c r="O241" s="8" t="s">
        <v>26</v>
      </c>
    </row>
    <row r="242" spans="1:15" x14ac:dyDescent="0.3">
      <c r="A242" s="6" t="s">
        <v>294</v>
      </c>
      <c r="B242" s="1" t="s">
        <v>35</v>
      </c>
      <c r="C242" s="7">
        <v>45675</v>
      </c>
      <c r="D242" s="1" t="s">
        <v>29</v>
      </c>
      <c r="E242" s="1" t="s">
        <v>54</v>
      </c>
      <c r="F242" s="1">
        <v>4321</v>
      </c>
      <c r="G242" s="1">
        <v>874</v>
      </c>
      <c r="H242" s="1">
        <v>172</v>
      </c>
      <c r="I242" s="1">
        <v>30247</v>
      </c>
      <c r="J242" s="1">
        <v>29254</v>
      </c>
      <c r="K242" s="1">
        <v>122</v>
      </c>
      <c r="L242" s="1" t="s">
        <v>25</v>
      </c>
      <c r="M242" s="1" t="s">
        <v>359</v>
      </c>
      <c r="N242" s="1" t="s">
        <v>359</v>
      </c>
      <c r="O242" s="8" t="s">
        <v>32</v>
      </c>
    </row>
    <row r="243" spans="1:15" x14ac:dyDescent="0.3">
      <c r="A243" s="6" t="s">
        <v>295</v>
      </c>
      <c r="B243" s="1" t="s">
        <v>35</v>
      </c>
      <c r="C243" s="7">
        <v>45480</v>
      </c>
      <c r="D243" s="1" t="s">
        <v>15</v>
      </c>
      <c r="E243" s="1" t="s">
        <v>50</v>
      </c>
      <c r="F243" s="1">
        <v>4767</v>
      </c>
      <c r="G243" s="1">
        <v>190</v>
      </c>
      <c r="H243" s="1">
        <v>340</v>
      </c>
      <c r="I243" s="1">
        <v>28602</v>
      </c>
      <c r="J243" s="1">
        <v>28044</v>
      </c>
      <c r="K243" s="1">
        <v>210</v>
      </c>
      <c r="L243" s="1" t="s">
        <v>31</v>
      </c>
      <c r="M243" s="1" t="s">
        <v>359</v>
      </c>
      <c r="N243" s="1" t="s">
        <v>359</v>
      </c>
      <c r="O243" s="8" t="s">
        <v>26</v>
      </c>
    </row>
    <row r="244" spans="1:15" x14ac:dyDescent="0.3">
      <c r="A244" s="6" t="s">
        <v>296</v>
      </c>
      <c r="B244" s="1" t="s">
        <v>14</v>
      </c>
      <c r="C244" s="7">
        <v>45722</v>
      </c>
      <c r="D244" s="1" t="s">
        <v>41</v>
      </c>
      <c r="E244" s="1" t="s">
        <v>88</v>
      </c>
      <c r="F244" s="1">
        <v>3592</v>
      </c>
      <c r="G244" s="1">
        <v>911</v>
      </c>
      <c r="H244" s="1">
        <v>375</v>
      </c>
      <c r="I244" s="1">
        <v>50288</v>
      </c>
      <c r="J244" s="1">
        <v>49490</v>
      </c>
      <c r="K244" s="1">
        <v>32</v>
      </c>
      <c r="L244" s="1" t="s">
        <v>48</v>
      </c>
      <c r="M244" s="1" t="s">
        <v>359</v>
      </c>
      <c r="N244" s="1" t="s">
        <v>359</v>
      </c>
      <c r="O244" s="8" t="s">
        <v>32</v>
      </c>
    </row>
    <row r="245" spans="1:15" x14ac:dyDescent="0.3">
      <c r="A245" s="6" t="s">
        <v>297</v>
      </c>
      <c r="B245" s="1" t="s">
        <v>23</v>
      </c>
      <c r="C245" s="7">
        <v>45590</v>
      </c>
      <c r="D245" s="1" t="s">
        <v>56</v>
      </c>
      <c r="E245" s="1" t="s">
        <v>136</v>
      </c>
      <c r="F245" s="1">
        <v>4661</v>
      </c>
      <c r="G245" s="1">
        <v>935</v>
      </c>
      <c r="H245" s="1">
        <v>433</v>
      </c>
      <c r="I245" s="1">
        <v>23305</v>
      </c>
      <c r="J245" s="1">
        <v>22583</v>
      </c>
      <c r="K245" s="1">
        <v>63</v>
      </c>
      <c r="L245" s="1" t="s">
        <v>48</v>
      </c>
      <c r="M245" s="1" t="s">
        <v>359</v>
      </c>
      <c r="N245" s="1" t="s">
        <v>359</v>
      </c>
      <c r="O245" s="8" t="s">
        <v>26</v>
      </c>
    </row>
    <row r="246" spans="1:15" x14ac:dyDescent="0.3">
      <c r="A246" s="6" t="s">
        <v>298</v>
      </c>
      <c r="B246" s="1" t="s">
        <v>35</v>
      </c>
      <c r="C246" s="7">
        <v>45669</v>
      </c>
      <c r="D246" s="1" t="s">
        <v>15</v>
      </c>
      <c r="E246" s="1" t="s">
        <v>50</v>
      </c>
      <c r="F246" s="1">
        <v>4134</v>
      </c>
      <c r="G246" s="1">
        <v>824</v>
      </c>
      <c r="H246" s="1">
        <v>99</v>
      </c>
      <c r="I246" s="1">
        <v>41340</v>
      </c>
      <c r="J246" s="1">
        <v>41050</v>
      </c>
      <c r="K246" s="1">
        <v>177</v>
      </c>
      <c r="L246" s="1" t="s">
        <v>31</v>
      </c>
      <c r="M246" s="1" t="s">
        <v>359</v>
      </c>
      <c r="N246" s="1" t="s">
        <v>359</v>
      </c>
      <c r="O246" s="8" t="s">
        <v>17</v>
      </c>
    </row>
    <row r="247" spans="1:15" x14ac:dyDescent="0.3">
      <c r="A247" s="6" t="s">
        <v>299</v>
      </c>
      <c r="B247" s="1" t="s">
        <v>35</v>
      </c>
      <c r="C247" s="7">
        <v>45576</v>
      </c>
      <c r="D247" s="1" t="s">
        <v>41</v>
      </c>
      <c r="E247" s="1" t="s">
        <v>46</v>
      </c>
      <c r="F247" s="1">
        <v>400</v>
      </c>
      <c r="G247" s="1">
        <v>680</v>
      </c>
      <c r="H247" s="1">
        <v>434</v>
      </c>
      <c r="I247" s="1">
        <v>6400</v>
      </c>
      <c r="J247" s="1">
        <v>5472</v>
      </c>
      <c r="K247" s="1">
        <v>160</v>
      </c>
      <c r="L247" s="1" t="s">
        <v>48</v>
      </c>
      <c r="M247" s="1" t="s">
        <v>359</v>
      </c>
      <c r="N247" s="1" t="s">
        <v>359</v>
      </c>
      <c r="O247" s="8" t="s">
        <v>21</v>
      </c>
    </row>
    <row r="248" spans="1:15" x14ac:dyDescent="0.3">
      <c r="A248" s="6" t="s">
        <v>300</v>
      </c>
      <c r="B248" s="1" t="s">
        <v>35</v>
      </c>
      <c r="C248" s="7">
        <v>45531</v>
      </c>
      <c r="D248" s="1" t="s">
        <v>15</v>
      </c>
      <c r="E248" s="1" t="s">
        <v>50</v>
      </c>
      <c r="F248" s="1">
        <v>3960</v>
      </c>
      <c r="G248" s="1">
        <v>266</v>
      </c>
      <c r="H248" s="1">
        <v>8</v>
      </c>
      <c r="I248" s="1">
        <v>35640</v>
      </c>
      <c r="J248" s="1">
        <v>34850</v>
      </c>
      <c r="K248" s="1">
        <v>208</v>
      </c>
      <c r="L248" s="1" t="s">
        <v>48</v>
      </c>
      <c r="M248" s="1" t="s">
        <v>31</v>
      </c>
      <c r="N248" s="1" t="s">
        <v>355</v>
      </c>
      <c r="O248" s="8" t="s">
        <v>360</v>
      </c>
    </row>
    <row r="249" spans="1:15" x14ac:dyDescent="0.3">
      <c r="A249" s="6" t="s">
        <v>301</v>
      </c>
      <c r="B249" s="1" t="s">
        <v>35</v>
      </c>
      <c r="C249" s="7">
        <v>45690</v>
      </c>
      <c r="D249" s="1" t="s">
        <v>29</v>
      </c>
      <c r="E249" s="1" t="s">
        <v>54</v>
      </c>
      <c r="F249" s="1">
        <v>886</v>
      </c>
      <c r="G249" s="1">
        <v>126</v>
      </c>
      <c r="H249" s="1">
        <v>153</v>
      </c>
      <c r="I249" s="1">
        <v>4430</v>
      </c>
      <c r="J249" s="1">
        <v>4037</v>
      </c>
      <c r="K249" s="1">
        <v>212</v>
      </c>
      <c r="L249" s="1" t="s">
        <v>31</v>
      </c>
      <c r="M249" s="1" t="s">
        <v>359</v>
      </c>
      <c r="N249" s="1" t="s">
        <v>359</v>
      </c>
      <c r="O249" s="8" t="s">
        <v>360</v>
      </c>
    </row>
    <row r="250" spans="1:15" x14ac:dyDescent="0.3">
      <c r="A250" s="6" t="s">
        <v>302</v>
      </c>
      <c r="B250" s="1" t="s">
        <v>14</v>
      </c>
      <c r="C250" s="7">
        <v>45491</v>
      </c>
      <c r="D250" s="1" t="s">
        <v>41</v>
      </c>
      <c r="E250" s="1" t="s">
        <v>88</v>
      </c>
      <c r="F250" s="1">
        <v>827</v>
      </c>
      <c r="G250" s="1">
        <v>77</v>
      </c>
      <c r="H250" s="1">
        <v>402</v>
      </c>
      <c r="I250" s="1">
        <v>14886</v>
      </c>
      <c r="J250" s="1">
        <v>14129</v>
      </c>
      <c r="K250" s="1">
        <v>254</v>
      </c>
      <c r="L250" s="1" t="s">
        <v>31</v>
      </c>
      <c r="M250" s="1" t="s">
        <v>359</v>
      </c>
      <c r="N250" s="1" t="s">
        <v>359</v>
      </c>
      <c r="O250" s="8" t="s">
        <v>21</v>
      </c>
    </row>
    <row r="251" spans="1:15" x14ac:dyDescent="0.3">
      <c r="A251" s="6" t="s">
        <v>303</v>
      </c>
      <c r="B251" s="1" t="s">
        <v>35</v>
      </c>
      <c r="C251" s="7">
        <v>45465</v>
      </c>
      <c r="D251" s="1" t="s">
        <v>15</v>
      </c>
      <c r="E251" s="1" t="s">
        <v>50</v>
      </c>
      <c r="F251" s="1">
        <v>3813</v>
      </c>
      <c r="G251" s="1">
        <v>935</v>
      </c>
      <c r="H251" s="1">
        <v>274</v>
      </c>
      <c r="I251" s="1">
        <v>68634</v>
      </c>
      <c r="J251" s="1">
        <v>68488</v>
      </c>
      <c r="K251" s="1">
        <v>251</v>
      </c>
      <c r="L251" s="1" t="s">
        <v>48</v>
      </c>
      <c r="M251" s="1" t="s">
        <v>359</v>
      </c>
      <c r="N251" s="1" t="s">
        <v>359</v>
      </c>
      <c r="O251" s="8" t="s">
        <v>360</v>
      </c>
    </row>
    <row r="252" spans="1:15" x14ac:dyDescent="0.3">
      <c r="A252" s="6" t="s">
        <v>304</v>
      </c>
      <c r="B252" s="1" t="s">
        <v>28</v>
      </c>
      <c r="C252" s="7">
        <v>45743</v>
      </c>
      <c r="D252" s="1" t="s">
        <v>36</v>
      </c>
      <c r="E252" s="1" t="s">
        <v>65</v>
      </c>
      <c r="F252" s="1">
        <v>1377</v>
      </c>
      <c r="G252" s="1">
        <v>796</v>
      </c>
      <c r="H252" s="1">
        <v>387</v>
      </c>
      <c r="I252" s="1">
        <v>22032</v>
      </c>
      <c r="J252" s="1">
        <v>21869</v>
      </c>
      <c r="K252" s="1">
        <v>189</v>
      </c>
      <c r="L252" s="1" t="s">
        <v>48</v>
      </c>
      <c r="M252" s="1" t="s">
        <v>359</v>
      </c>
      <c r="N252" s="1" t="s">
        <v>359</v>
      </c>
      <c r="O252" s="8" t="s">
        <v>360</v>
      </c>
    </row>
    <row r="253" spans="1:15" x14ac:dyDescent="0.3">
      <c r="A253" s="6" t="s">
        <v>305</v>
      </c>
      <c r="B253" s="1" t="s">
        <v>35</v>
      </c>
      <c r="C253" s="7">
        <v>45775</v>
      </c>
      <c r="D253" s="1" t="s">
        <v>36</v>
      </c>
      <c r="E253" s="1" t="s">
        <v>37</v>
      </c>
      <c r="F253" s="1">
        <v>2089</v>
      </c>
      <c r="G253" s="1">
        <v>476</v>
      </c>
      <c r="H253" s="1">
        <v>69</v>
      </c>
      <c r="I253" s="1">
        <v>16712</v>
      </c>
      <c r="J253" s="1">
        <v>16309</v>
      </c>
      <c r="K253" s="1">
        <v>64</v>
      </c>
      <c r="L253" s="1" t="s">
        <v>48</v>
      </c>
      <c r="M253" s="1" t="s">
        <v>359</v>
      </c>
      <c r="N253" s="1" t="s">
        <v>359</v>
      </c>
      <c r="O253" s="8" t="s">
        <v>26</v>
      </c>
    </row>
    <row r="254" spans="1:15" x14ac:dyDescent="0.3">
      <c r="A254" s="6" t="s">
        <v>306</v>
      </c>
      <c r="B254" s="1" t="s">
        <v>14</v>
      </c>
      <c r="C254" s="7">
        <v>45507</v>
      </c>
      <c r="D254" s="1" t="s">
        <v>15</v>
      </c>
      <c r="E254" s="1" t="s">
        <v>16</v>
      </c>
      <c r="F254" s="1">
        <v>3791</v>
      </c>
      <c r="G254" s="1">
        <v>593</v>
      </c>
      <c r="H254" s="1">
        <v>228</v>
      </c>
      <c r="I254" s="1">
        <v>53074</v>
      </c>
      <c r="J254" s="1">
        <v>52613</v>
      </c>
      <c r="K254" s="1">
        <v>205</v>
      </c>
      <c r="L254" s="1" t="s">
        <v>31</v>
      </c>
      <c r="M254" s="1" t="s">
        <v>359</v>
      </c>
      <c r="N254" s="1" t="s">
        <v>359</v>
      </c>
      <c r="O254" s="8" t="s">
        <v>360</v>
      </c>
    </row>
    <row r="255" spans="1:15" x14ac:dyDescent="0.3">
      <c r="A255" s="6" t="s">
        <v>307</v>
      </c>
      <c r="B255" s="1" t="s">
        <v>14</v>
      </c>
      <c r="C255" s="7">
        <v>45671</v>
      </c>
      <c r="D255" s="1" t="s">
        <v>41</v>
      </c>
      <c r="E255" s="1" t="s">
        <v>88</v>
      </c>
      <c r="F255" s="1">
        <v>2692</v>
      </c>
      <c r="G255" s="1">
        <v>115</v>
      </c>
      <c r="H255" s="1">
        <v>64</v>
      </c>
      <c r="I255" s="1">
        <v>21536</v>
      </c>
      <c r="J255" s="1">
        <v>21120</v>
      </c>
      <c r="K255" s="1">
        <v>224</v>
      </c>
      <c r="L255" s="1" t="s">
        <v>48</v>
      </c>
      <c r="M255" s="1" t="s">
        <v>359</v>
      </c>
      <c r="N255" s="1" t="s">
        <v>359</v>
      </c>
      <c r="O255" s="8" t="s">
        <v>21</v>
      </c>
    </row>
    <row r="256" spans="1:15" x14ac:dyDescent="0.3">
      <c r="A256" s="6" t="s">
        <v>308</v>
      </c>
      <c r="B256" s="1" t="s">
        <v>35</v>
      </c>
      <c r="C256" s="7">
        <v>45750</v>
      </c>
      <c r="D256" s="1" t="s">
        <v>29</v>
      </c>
      <c r="E256" s="1" t="s">
        <v>54</v>
      </c>
      <c r="F256" s="1">
        <v>3767</v>
      </c>
      <c r="G256" s="1">
        <v>514</v>
      </c>
      <c r="H256" s="1">
        <v>238</v>
      </c>
      <c r="I256" s="1">
        <v>37670</v>
      </c>
      <c r="J256" s="1">
        <v>36807</v>
      </c>
      <c r="K256" s="1">
        <v>226</v>
      </c>
      <c r="L256" s="1" t="s">
        <v>48</v>
      </c>
      <c r="M256" s="1" t="s">
        <v>359</v>
      </c>
      <c r="N256" s="1" t="s">
        <v>359</v>
      </c>
      <c r="O256" s="8" t="s">
        <v>32</v>
      </c>
    </row>
    <row r="257" spans="1:15" x14ac:dyDescent="0.3">
      <c r="A257" s="6" t="s">
        <v>309</v>
      </c>
      <c r="B257" s="1" t="s">
        <v>23</v>
      </c>
      <c r="C257" s="7">
        <v>45553</v>
      </c>
      <c r="D257" s="1" t="s">
        <v>36</v>
      </c>
      <c r="E257" s="1" t="s">
        <v>52</v>
      </c>
      <c r="F257" s="1">
        <v>2143</v>
      </c>
      <c r="G257" s="1">
        <v>12</v>
      </c>
      <c r="H257" s="1">
        <v>204</v>
      </c>
      <c r="I257" s="1">
        <v>40717</v>
      </c>
      <c r="J257" s="1">
        <v>40125</v>
      </c>
      <c r="K257" s="1">
        <v>248</v>
      </c>
      <c r="L257" s="1" t="s">
        <v>31</v>
      </c>
      <c r="M257" s="1" t="s">
        <v>359</v>
      </c>
      <c r="N257" s="1" t="s">
        <v>359</v>
      </c>
      <c r="O257" s="8" t="s">
        <v>21</v>
      </c>
    </row>
    <row r="258" spans="1:15" x14ac:dyDescent="0.3">
      <c r="A258" s="6" t="s">
        <v>310</v>
      </c>
      <c r="B258" s="1" t="s">
        <v>35</v>
      </c>
      <c r="C258" s="7">
        <v>45753</v>
      </c>
      <c r="D258" s="1" t="s">
        <v>41</v>
      </c>
      <c r="E258" s="1" t="s">
        <v>46</v>
      </c>
      <c r="F258" s="1">
        <v>3090</v>
      </c>
      <c r="G258" s="1">
        <v>697</v>
      </c>
      <c r="H258" s="1">
        <v>164</v>
      </c>
      <c r="I258" s="1">
        <v>49440</v>
      </c>
      <c r="J258" s="1">
        <v>48524</v>
      </c>
      <c r="K258" s="1">
        <v>25</v>
      </c>
      <c r="L258" s="1" t="s">
        <v>31</v>
      </c>
      <c r="M258" s="1" t="s">
        <v>31</v>
      </c>
      <c r="N258" s="1" t="s">
        <v>355</v>
      </c>
      <c r="O258" s="8" t="s">
        <v>21</v>
      </c>
    </row>
    <row r="259" spans="1:15" x14ac:dyDescent="0.3">
      <c r="A259" s="6" t="s">
        <v>311</v>
      </c>
      <c r="B259" s="1" t="s">
        <v>28</v>
      </c>
      <c r="C259" s="7">
        <v>45509</v>
      </c>
      <c r="D259" s="1" t="s">
        <v>29</v>
      </c>
      <c r="E259" s="1" t="s">
        <v>30</v>
      </c>
      <c r="F259" s="1">
        <v>3601</v>
      </c>
      <c r="G259" s="1">
        <v>695</v>
      </c>
      <c r="H259" s="1">
        <v>75</v>
      </c>
      <c r="I259" s="1">
        <v>21606</v>
      </c>
      <c r="J259" s="1">
        <v>21454</v>
      </c>
      <c r="K259" s="1">
        <v>172</v>
      </c>
      <c r="L259" s="1" t="s">
        <v>31</v>
      </c>
      <c r="M259" s="1" t="s">
        <v>359</v>
      </c>
      <c r="N259" s="1" t="s">
        <v>359</v>
      </c>
      <c r="O259" s="8" t="s">
        <v>21</v>
      </c>
    </row>
    <row r="260" spans="1:15" x14ac:dyDescent="0.3">
      <c r="A260" s="6" t="s">
        <v>312</v>
      </c>
      <c r="B260" s="1" t="s">
        <v>35</v>
      </c>
      <c r="C260" s="7">
        <v>45698</v>
      </c>
      <c r="D260" s="1" t="s">
        <v>19</v>
      </c>
      <c r="E260" s="1" t="s">
        <v>44</v>
      </c>
      <c r="F260" s="1">
        <v>562</v>
      </c>
      <c r="G260" s="1">
        <v>158</v>
      </c>
      <c r="H260" s="1">
        <v>149</v>
      </c>
      <c r="I260" s="1">
        <v>3372</v>
      </c>
      <c r="J260" s="1">
        <v>2940</v>
      </c>
      <c r="K260" s="1">
        <v>93</v>
      </c>
      <c r="L260" s="1" t="s">
        <v>25</v>
      </c>
      <c r="M260" s="1" t="s">
        <v>359</v>
      </c>
      <c r="N260" s="1" t="s">
        <v>359</v>
      </c>
      <c r="O260" s="8" t="s">
        <v>17</v>
      </c>
    </row>
    <row r="261" spans="1:15" x14ac:dyDescent="0.3">
      <c r="A261" s="6" t="s">
        <v>313</v>
      </c>
      <c r="B261" s="1" t="s">
        <v>28</v>
      </c>
      <c r="C261" s="7">
        <v>45700</v>
      </c>
      <c r="D261" s="1" t="s">
        <v>29</v>
      </c>
      <c r="E261" s="1" t="s">
        <v>30</v>
      </c>
      <c r="F261" s="1">
        <v>4332</v>
      </c>
      <c r="G261" s="1">
        <v>771</v>
      </c>
      <c r="H261" s="1">
        <v>219</v>
      </c>
      <c r="I261" s="1">
        <v>60648</v>
      </c>
      <c r="J261" s="1">
        <v>60397</v>
      </c>
      <c r="K261" s="1">
        <v>10</v>
      </c>
      <c r="L261" s="1" t="s">
        <v>25</v>
      </c>
      <c r="M261" s="1" t="s">
        <v>31</v>
      </c>
      <c r="N261" s="1" t="s">
        <v>355</v>
      </c>
      <c r="O261" s="8" t="s">
        <v>26</v>
      </c>
    </row>
    <row r="262" spans="1:15" x14ac:dyDescent="0.3">
      <c r="A262" s="6" t="s">
        <v>314</v>
      </c>
      <c r="B262" s="1" t="s">
        <v>28</v>
      </c>
      <c r="C262" s="7">
        <v>45592</v>
      </c>
      <c r="D262" s="1" t="s">
        <v>41</v>
      </c>
      <c r="E262" s="1" t="s">
        <v>134</v>
      </c>
      <c r="F262" s="1">
        <v>4853</v>
      </c>
      <c r="G262" s="1">
        <v>837</v>
      </c>
      <c r="H262" s="1">
        <v>340</v>
      </c>
      <c r="I262" s="1">
        <v>72795</v>
      </c>
      <c r="J262" s="1">
        <v>72237</v>
      </c>
      <c r="K262" s="1">
        <v>170</v>
      </c>
      <c r="L262" s="1" t="s">
        <v>31</v>
      </c>
      <c r="M262" s="1" t="s">
        <v>359</v>
      </c>
      <c r="N262" s="1" t="s">
        <v>359</v>
      </c>
      <c r="O262" s="8" t="s">
        <v>17</v>
      </c>
    </row>
    <row r="263" spans="1:15" x14ac:dyDescent="0.3">
      <c r="A263" s="6" t="s">
        <v>315</v>
      </c>
      <c r="B263" s="1" t="s">
        <v>23</v>
      </c>
      <c r="C263" s="7">
        <v>45675</v>
      </c>
      <c r="D263" s="1" t="s">
        <v>41</v>
      </c>
      <c r="E263" s="1" t="s">
        <v>42</v>
      </c>
      <c r="F263" s="1">
        <v>1206</v>
      </c>
      <c r="G263" s="1">
        <v>238</v>
      </c>
      <c r="H263" s="1">
        <v>36</v>
      </c>
      <c r="I263" s="1">
        <v>9648</v>
      </c>
      <c r="J263" s="1">
        <v>9417</v>
      </c>
      <c r="K263" s="1">
        <v>237</v>
      </c>
      <c r="L263" s="1" t="s">
        <v>25</v>
      </c>
      <c r="M263" s="1" t="s">
        <v>359</v>
      </c>
      <c r="N263" s="1" t="s">
        <v>359</v>
      </c>
      <c r="O263" s="8" t="s">
        <v>360</v>
      </c>
    </row>
    <row r="264" spans="1:15" x14ac:dyDescent="0.3">
      <c r="A264" s="6" t="s">
        <v>316</v>
      </c>
      <c r="B264" s="1" t="s">
        <v>28</v>
      </c>
      <c r="C264" s="7">
        <v>45524</v>
      </c>
      <c r="D264" s="1" t="s">
        <v>15</v>
      </c>
      <c r="E264" s="1" t="s">
        <v>61</v>
      </c>
      <c r="F264" s="1">
        <v>2603</v>
      </c>
      <c r="G264" s="1">
        <v>690</v>
      </c>
      <c r="H264" s="1">
        <v>205</v>
      </c>
      <c r="I264" s="1">
        <v>13015</v>
      </c>
      <c r="J264" s="1">
        <v>12130</v>
      </c>
      <c r="K264" s="1">
        <v>20</v>
      </c>
      <c r="L264" s="1" t="s">
        <v>48</v>
      </c>
      <c r="M264" s="1" t="s">
        <v>359</v>
      </c>
      <c r="N264" s="1" t="s">
        <v>359</v>
      </c>
      <c r="O264" s="8" t="s">
        <v>21</v>
      </c>
    </row>
    <row r="265" spans="1:15" x14ac:dyDescent="0.3">
      <c r="A265" s="6" t="s">
        <v>317</v>
      </c>
      <c r="B265" s="1" t="s">
        <v>14</v>
      </c>
      <c r="C265" s="7">
        <v>45687</v>
      </c>
      <c r="D265" s="1" t="s">
        <v>41</v>
      </c>
      <c r="E265" s="1" t="s">
        <v>88</v>
      </c>
      <c r="F265" s="1">
        <v>59</v>
      </c>
      <c r="G265" s="1">
        <v>163</v>
      </c>
      <c r="H265" s="1">
        <v>93</v>
      </c>
      <c r="I265" s="1">
        <v>590</v>
      </c>
      <c r="J265" s="1">
        <v>475</v>
      </c>
      <c r="K265" s="1">
        <v>293</v>
      </c>
      <c r="L265" s="1" t="s">
        <v>25</v>
      </c>
      <c r="M265" s="1" t="s">
        <v>359</v>
      </c>
      <c r="N265" s="1" t="s">
        <v>359</v>
      </c>
      <c r="O265" s="8" t="s">
        <v>21</v>
      </c>
    </row>
    <row r="266" spans="1:15" x14ac:dyDescent="0.3">
      <c r="A266" s="6" t="s">
        <v>318</v>
      </c>
      <c r="B266" s="1" t="s">
        <v>14</v>
      </c>
      <c r="C266" s="7">
        <v>45708</v>
      </c>
      <c r="D266" s="1" t="s">
        <v>36</v>
      </c>
      <c r="E266" s="1" t="s">
        <v>39</v>
      </c>
      <c r="F266" s="1">
        <v>1877</v>
      </c>
      <c r="G266" s="1">
        <v>745</v>
      </c>
      <c r="H266" s="1">
        <v>225</v>
      </c>
      <c r="I266" s="1">
        <v>11262</v>
      </c>
      <c r="J266" s="1">
        <v>10967</v>
      </c>
      <c r="K266" s="1">
        <v>41</v>
      </c>
      <c r="L266" s="1" t="s">
        <v>31</v>
      </c>
      <c r="M266" s="1" t="s">
        <v>359</v>
      </c>
      <c r="N266" s="1" t="s">
        <v>359</v>
      </c>
      <c r="O266" s="8" t="s">
        <v>32</v>
      </c>
    </row>
    <row r="267" spans="1:15" x14ac:dyDescent="0.3">
      <c r="A267" s="6" t="s">
        <v>319</v>
      </c>
      <c r="B267" s="1" t="s">
        <v>35</v>
      </c>
      <c r="C267" s="7">
        <v>45621</v>
      </c>
      <c r="D267" s="1" t="s">
        <v>29</v>
      </c>
      <c r="E267" s="1" t="s">
        <v>54</v>
      </c>
      <c r="F267" s="1">
        <v>4182</v>
      </c>
      <c r="G267" s="1">
        <v>640</v>
      </c>
      <c r="H267" s="1">
        <v>240</v>
      </c>
      <c r="I267" s="1">
        <v>50184</v>
      </c>
      <c r="J267" s="1">
        <v>49351</v>
      </c>
      <c r="K267" s="1">
        <v>10</v>
      </c>
      <c r="L267" s="1" t="s">
        <v>25</v>
      </c>
      <c r="M267" s="1" t="s">
        <v>359</v>
      </c>
      <c r="N267" s="1" t="s">
        <v>359</v>
      </c>
      <c r="O267" s="8" t="s">
        <v>26</v>
      </c>
    </row>
    <row r="268" spans="1:15" x14ac:dyDescent="0.3">
      <c r="A268" s="6" t="s">
        <v>320</v>
      </c>
      <c r="B268" s="1" t="s">
        <v>14</v>
      </c>
      <c r="C268" s="7">
        <v>45569</v>
      </c>
      <c r="D268" s="1" t="s">
        <v>15</v>
      </c>
      <c r="E268" s="1" t="s">
        <v>16</v>
      </c>
      <c r="F268" s="1">
        <v>4187</v>
      </c>
      <c r="G268" s="1">
        <v>66</v>
      </c>
      <c r="H268" s="1">
        <v>31</v>
      </c>
      <c r="I268" s="1">
        <v>66992</v>
      </c>
      <c r="J268" s="1">
        <v>66614</v>
      </c>
      <c r="K268" s="1">
        <v>62</v>
      </c>
      <c r="L268" s="1" t="s">
        <v>48</v>
      </c>
      <c r="M268" s="1" t="s">
        <v>359</v>
      </c>
      <c r="N268" s="1" t="s">
        <v>359</v>
      </c>
      <c r="O268" s="8" t="s">
        <v>360</v>
      </c>
    </row>
    <row r="269" spans="1:15" x14ac:dyDescent="0.3">
      <c r="A269" s="6" t="s">
        <v>321</v>
      </c>
      <c r="B269" s="1" t="s">
        <v>28</v>
      </c>
      <c r="C269" s="7">
        <v>45760</v>
      </c>
      <c r="D269" s="1" t="s">
        <v>15</v>
      </c>
      <c r="E269" s="1" t="s">
        <v>61</v>
      </c>
      <c r="F269" s="1">
        <v>4579</v>
      </c>
      <c r="G269" s="1">
        <v>125</v>
      </c>
      <c r="H269" s="1">
        <v>300</v>
      </c>
      <c r="I269" s="1">
        <v>59527</v>
      </c>
      <c r="J269" s="1">
        <v>59400</v>
      </c>
      <c r="K269" s="1">
        <v>269</v>
      </c>
      <c r="L269" s="1" t="s">
        <v>31</v>
      </c>
      <c r="M269" s="1" t="s">
        <v>359</v>
      </c>
      <c r="N269" s="1" t="s">
        <v>359</v>
      </c>
      <c r="O269" s="8" t="s">
        <v>17</v>
      </c>
    </row>
    <row r="270" spans="1:15" x14ac:dyDescent="0.3">
      <c r="A270" s="6" t="s">
        <v>322</v>
      </c>
      <c r="B270" s="1" t="s">
        <v>28</v>
      </c>
      <c r="C270" s="7">
        <v>45601</v>
      </c>
      <c r="D270" s="1" t="s">
        <v>56</v>
      </c>
      <c r="E270" s="1" t="s">
        <v>63</v>
      </c>
      <c r="F270" s="1">
        <v>4561</v>
      </c>
      <c r="G270" s="1">
        <v>51</v>
      </c>
      <c r="H270" s="1">
        <v>441</v>
      </c>
      <c r="I270" s="1">
        <v>22805</v>
      </c>
      <c r="J270" s="1">
        <v>21890</v>
      </c>
      <c r="K270" s="1">
        <v>45</v>
      </c>
      <c r="L270" s="1" t="s">
        <v>25</v>
      </c>
      <c r="M270" s="1" t="s">
        <v>359</v>
      </c>
      <c r="N270" s="1" t="s">
        <v>359</v>
      </c>
      <c r="O270" s="8" t="s">
        <v>21</v>
      </c>
    </row>
    <row r="271" spans="1:15" x14ac:dyDescent="0.3">
      <c r="A271" s="6" t="s">
        <v>323</v>
      </c>
      <c r="B271" s="1" t="s">
        <v>23</v>
      </c>
      <c r="C271" s="7">
        <v>45672</v>
      </c>
      <c r="D271" s="1" t="s">
        <v>15</v>
      </c>
      <c r="E271" s="1" t="s">
        <v>24</v>
      </c>
      <c r="F271" s="1">
        <v>3774</v>
      </c>
      <c r="G271" s="1">
        <v>239</v>
      </c>
      <c r="H271" s="1">
        <v>39</v>
      </c>
      <c r="I271" s="1">
        <v>60384</v>
      </c>
      <c r="J271" s="1">
        <v>59490</v>
      </c>
      <c r="K271" s="1">
        <v>241</v>
      </c>
      <c r="L271" s="1" t="s">
        <v>25</v>
      </c>
      <c r="M271" s="1" t="s">
        <v>359</v>
      </c>
      <c r="N271" s="1" t="s">
        <v>359</v>
      </c>
      <c r="O271" s="8" t="s">
        <v>26</v>
      </c>
    </row>
    <row r="272" spans="1:15" x14ac:dyDescent="0.3">
      <c r="A272" s="6" t="s">
        <v>324</v>
      </c>
      <c r="B272" s="1" t="s">
        <v>28</v>
      </c>
      <c r="C272" s="7">
        <v>45582</v>
      </c>
      <c r="D272" s="1" t="s">
        <v>56</v>
      </c>
      <c r="E272" s="1" t="s">
        <v>63</v>
      </c>
      <c r="F272" s="1">
        <v>3575</v>
      </c>
      <c r="G272" s="1">
        <v>749</v>
      </c>
      <c r="H272" s="1">
        <v>111</v>
      </c>
      <c r="I272" s="1">
        <v>21450</v>
      </c>
      <c r="J272" s="1">
        <v>20785</v>
      </c>
      <c r="K272" s="1">
        <v>195</v>
      </c>
      <c r="L272" s="1" t="s">
        <v>31</v>
      </c>
      <c r="M272" s="1" t="s">
        <v>359</v>
      </c>
      <c r="N272" s="1" t="s">
        <v>359</v>
      </c>
      <c r="O272" s="8" t="s">
        <v>21</v>
      </c>
    </row>
    <row r="273" spans="1:15" x14ac:dyDescent="0.3">
      <c r="A273" s="6" t="s">
        <v>325</v>
      </c>
      <c r="B273" s="1" t="s">
        <v>28</v>
      </c>
      <c r="C273" s="7">
        <v>45743</v>
      </c>
      <c r="D273" s="1" t="s">
        <v>19</v>
      </c>
      <c r="E273" s="1" t="s">
        <v>78</v>
      </c>
      <c r="F273" s="1">
        <v>4941</v>
      </c>
      <c r="G273" s="1">
        <v>414</v>
      </c>
      <c r="H273" s="1">
        <v>266</v>
      </c>
      <c r="I273" s="1">
        <v>39528</v>
      </c>
      <c r="J273" s="1">
        <v>39154</v>
      </c>
      <c r="K273" s="1">
        <v>217</v>
      </c>
      <c r="L273" s="1" t="s">
        <v>25</v>
      </c>
      <c r="M273" s="1" t="s">
        <v>359</v>
      </c>
      <c r="N273" s="1" t="s">
        <v>359</v>
      </c>
      <c r="O273" s="8" t="s">
        <v>26</v>
      </c>
    </row>
    <row r="274" spans="1:15" x14ac:dyDescent="0.3">
      <c r="A274" s="6" t="s">
        <v>326</v>
      </c>
      <c r="B274" s="1" t="s">
        <v>23</v>
      </c>
      <c r="C274" s="7">
        <v>45577</v>
      </c>
      <c r="D274" s="1" t="s">
        <v>29</v>
      </c>
      <c r="E274" s="1" t="s">
        <v>101</v>
      </c>
      <c r="F274" s="1">
        <v>3641</v>
      </c>
      <c r="G274" s="1">
        <v>226</v>
      </c>
      <c r="H274" s="1">
        <v>46</v>
      </c>
      <c r="I274" s="1">
        <v>40051</v>
      </c>
      <c r="J274" s="1">
        <v>39319</v>
      </c>
      <c r="K274" s="1">
        <v>296</v>
      </c>
      <c r="L274" s="1" t="s">
        <v>31</v>
      </c>
      <c r="M274" s="1" t="s">
        <v>359</v>
      </c>
      <c r="N274" s="1" t="s">
        <v>359</v>
      </c>
      <c r="O274" s="8" t="s">
        <v>32</v>
      </c>
    </row>
    <row r="275" spans="1:15" x14ac:dyDescent="0.3">
      <c r="A275" s="6" t="s">
        <v>327</v>
      </c>
      <c r="B275" s="1" t="s">
        <v>14</v>
      </c>
      <c r="C275" s="7">
        <v>45658</v>
      </c>
      <c r="D275" s="1" t="s">
        <v>36</v>
      </c>
      <c r="E275" s="1" t="s">
        <v>39</v>
      </c>
      <c r="F275" s="1">
        <v>3535</v>
      </c>
      <c r="G275" s="1">
        <v>494</v>
      </c>
      <c r="H275" s="1">
        <v>152</v>
      </c>
      <c r="I275" s="1">
        <v>53025</v>
      </c>
      <c r="J275" s="1">
        <v>52791</v>
      </c>
      <c r="K275" s="1">
        <v>44</v>
      </c>
      <c r="L275" s="1" t="s">
        <v>25</v>
      </c>
      <c r="M275" s="1" t="s">
        <v>359</v>
      </c>
      <c r="N275" s="1" t="s">
        <v>359</v>
      </c>
      <c r="O275" s="8" t="s">
        <v>32</v>
      </c>
    </row>
    <row r="276" spans="1:15" x14ac:dyDescent="0.3">
      <c r="A276" s="6" t="s">
        <v>328</v>
      </c>
      <c r="B276" s="1" t="s">
        <v>35</v>
      </c>
      <c r="C276" s="7">
        <v>45509</v>
      </c>
      <c r="D276" s="1" t="s">
        <v>15</v>
      </c>
      <c r="E276" s="1" t="s">
        <v>50</v>
      </c>
      <c r="F276" s="1">
        <v>1741</v>
      </c>
      <c r="G276" s="1">
        <v>831</v>
      </c>
      <c r="H276" s="1">
        <v>345</v>
      </c>
      <c r="I276" s="1">
        <v>17410</v>
      </c>
      <c r="J276" s="1">
        <v>16844</v>
      </c>
      <c r="K276" s="1">
        <v>58</v>
      </c>
      <c r="L276" s="1" t="s">
        <v>31</v>
      </c>
      <c r="M276" s="1" t="s">
        <v>359</v>
      </c>
      <c r="N276" s="1" t="s">
        <v>359</v>
      </c>
      <c r="O276" s="8" t="s">
        <v>26</v>
      </c>
    </row>
    <row r="277" spans="1:15" x14ac:dyDescent="0.3">
      <c r="A277" s="6" t="s">
        <v>329</v>
      </c>
      <c r="B277" s="1" t="s">
        <v>14</v>
      </c>
      <c r="C277" s="7">
        <v>45450</v>
      </c>
      <c r="D277" s="1" t="s">
        <v>36</v>
      </c>
      <c r="E277" s="1" t="s">
        <v>39</v>
      </c>
      <c r="F277" s="1">
        <v>1556</v>
      </c>
      <c r="G277" s="1">
        <v>195</v>
      </c>
      <c r="H277" s="1">
        <v>131</v>
      </c>
      <c r="I277" s="1">
        <v>9336</v>
      </c>
      <c r="J277" s="1">
        <v>8875</v>
      </c>
      <c r="K277" s="1">
        <v>137</v>
      </c>
      <c r="L277" s="1" t="s">
        <v>25</v>
      </c>
      <c r="M277" s="1" t="s">
        <v>359</v>
      </c>
      <c r="N277" s="1" t="s">
        <v>359</v>
      </c>
      <c r="O277" s="8" t="s">
        <v>21</v>
      </c>
    </row>
    <row r="278" spans="1:15" x14ac:dyDescent="0.3">
      <c r="A278" s="6" t="s">
        <v>330</v>
      </c>
      <c r="B278" s="1" t="s">
        <v>35</v>
      </c>
      <c r="C278" s="7">
        <v>45753</v>
      </c>
      <c r="D278" s="1" t="s">
        <v>41</v>
      </c>
      <c r="E278" s="1" t="s">
        <v>46</v>
      </c>
      <c r="F278" s="1">
        <v>4236</v>
      </c>
      <c r="G278" s="1">
        <v>711</v>
      </c>
      <c r="H278" s="1">
        <v>298</v>
      </c>
      <c r="I278" s="1">
        <v>21180</v>
      </c>
      <c r="J278" s="1">
        <v>20516</v>
      </c>
      <c r="K278" s="1">
        <v>238</v>
      </c>
      <c r="L278" s="1" t="s">
        <v>48</v>
      </c>
      <c r="M278" s="1" t="s">
        <v>359</v>
      </c>
      <c r="N278" s="1" t="s">
        <v>359</v>
      </c>
      <c r="O278" s="8" t="s">
        <v>17</v>
      </c>
    </row>
    <row r="279" spans="1:15" x14ac:dyDescent="0.3">
      <c r="A279" s="6" t="s">
        <v>331</v>
      </c>
      <c r="B279" s="1" t="s">
        <v>14</v>
      </c>
      <c r="C279" s="7">
        <v>45622</v>
      </c>
      <c r="D279" s="1" t="s">
        <v>19</v>
      </c>
      <c r="E279" s="1" t="s">
        <v>20</v>
      </c>
      <c r="F279" s="1">
        <v>4516</v>
      </c>
      <c r="G279" s="1">
        <v>836</v>
      </c>
      <c r="H279" s="1">
        <v>169</v>
      </c>
      <c r="I279" s="1">
        <v>49676</v>
      </c>
      <c r="J279" s="1">
        <v>49257</v>
      </c>
      <c r="K279" s="1">
        <v>282</v>
      </c>
      <c r="L279" s="1" t="s">
        <v>31</v>
      </c>
      <c r="M279" s="1" t="s">
        <v>359</v>
      </c>
      <c r="N279" s="1" t="s">
        <v>359</v>
      </c>
      <c r="O279" s="8" t="s">
        <v>32</v>
      </c>
    </row>
    <row r="280" spans="1:15" x14ac:dyDescent="0.3">
      <c r="A280" s="6" t="s">
        <v>332</v>
      </c>
      <c r="B280" s="1" t="s">
        <v>23</v>
      </c>
      <c r="C280" s="7">
        <v>45537</v>
      </c>
      <c r="D280" s="1" t="s">
        <v>41</v>
      </c>
      <c r="E280" s="1" t="s">
        <v>42</v>
      </c>
      <c r="F280" s="1">
        <v>4905</v>
      </c>
      <c r="G280" s="1">
        <v>845</v>
      </c>
      <c r="H280" s="1">
        <v>129</v>
      </c>
      <c r="I280" s="1">
        <v>98100</v>
      </c>
      <c r="J280" s="1">
        <v>97772</v>
      </c>
      <c r="K280" s="1">
        <v>279</v>
      </c>
      <c r="L280" s="1" t="s">
        <v>25</v>
      </c>
      <c r="M280" s="1" t="s">
        <v>359</v>
      </c>
      <c r="N280" s="1" t="s">
        <v>359</v>
      </c>
      <c r="O280" s="8" t="s">
        <v>21</v>
      </c>
    </row>
    <row r="281" spans="1:15" x14ac:dyDescent="0.3">
      <c r="A281" s="6" t="s">
        <v>333</v>
      </c>
      <c r="B281" s="1" t="s">
        <v>23</v>
      </c>
      <c r="C281" s="7">
        <v>45586</v>
      </c>
      <c r="D281" s="1" t="s">
        <v>56</v>
      </c>
      <c r="E281" s="1" t="s">
        <v>136</v>
      </c>
      <c r="F281" s="1">
        <v>4275</v>
      </c>
      <c r="G281" s="1">
        <v>680</v>
      </c>
      <c r="H281" s="1">
        <v>385</v>
      </c>
      <c r="I281" s="1">
        <v>64125</v>
      </c>
      <c r="J281" s="1">
        <v>63650</v>
      </c>
      <c r="K281" s="1">
        <v>104</v>
      </c>
      <c r="L281" s="1" t="s">
        <v>31</v>
      </c>
      <c r="M281" s="1" t="s">
        <v>25</v>
      </c>
      <c r="N281" s="1" t="s">
        <v>354</v>
      </c>
      <c r="O281" s="8" t="s">
        <v>32</v>
      </c>
    </row>
    <row r="282" spans="1:15" x14ac:dyDescent="0.3">
      <c r="A282" s="6" t="s">
        <v>334</v>
      </c>
      <c r="B282" s="1" t="s">
        <v>23</v>
      </c>
      <c r="C282" s="7">
        <v>45738</v>
      </c>
      <c r="D282" s="1" t="s">
        <v>41</v>
      </c>
      <c r="E282" s="1" t="s">
        <v>42</v>
      </c>
      <c r="F282" s="1">
        <v>3166</v>
      </c>
      <c r="G282" s="1">
        <v>90</v>
      </c>
      <c r="H282" s="1">
        <v>341</v>
      </c>
      <c r="I282" s="1">
        <v>56988</v>
      </c>
      <c r="J282" s="1">
        <v>56125</v>
      </c>
      <c r="K282" s="1">
        <v>135</v>
      </c>
      <c r="L282" s="1" t="s">
        <v>31</v>
      </c>
      <c r="M282" s="1" t="s">
        <v>359</v>
      </c>
      <c r="N282" s="1" t="s">
        <v>359</v>
      </c>
      <c r="O282" s="8" t="s">
        <v>21</v>
      </c>
    </row>
    <row r="283" spans="1:15" x14ac:dyDescent="0.3">
      <c r="A283" s="6" t="s">
        <v>335</v>
      </c>
      <c r="B283" s="1" t="s">
        <v>28</v>
      </c>
      <c r="C283" s="7">
        <v>45568</v>
      </c>
      <c r="D283" s="1" t="s">
        <v>56</v>
      </c>
      <c r="E283" s="1" t="s">
        <v>63</v>
      </c>
      <c r="F283" s="1">
        <v>1488</v>
      </c>
      <c r="G283" s="1">
        <v>417</v>
      </c>
      <c r="H283" s="1">
        <v>168</v>
      </c>
      <c r="I283" s="1">
        <v>19344</v>
      </c>
      <c r="J283" s="1">
        <v>18395</v>
      </c>
      <c r="K283" s="1">
        <v>30</v>
      </c>
      <c r="L283" s="1" t="s">
        <v>48</v>
      </c>
      <c r="M283" s="1" t="s">
        <v>359</v>
      </c>
      <c r="N283" s="1" t="s">
        <v>359</v>
      </c>
      <c r="O283" s="8" t="s">
        <v>26</v>
      </c>
    </row>
    <row r="284" spans="1:15" x14ac:dyDescent="0.3">
      <c r="A284" s="6" t="s">
        <v>336</v>
      </c>
      <c r="B284" s="1" t="s">
        <v>14</v>
      </c>
      <c r="C284" s="7">
        <v>45786</v>
      </c>
      <c r="D284" s="1" t="s">
        <v>15</v>
      </c>
      <c r="E284" s="1" t="s">
        <v>16</v>
      </c>
      <c r="F284" s="1">
        <v>3367</v>
      </c>
      <c r="G284" s="1">
        <v>302</v>
      </c>
      <c r="H284" s="1">
        <v>57</v>
      </c>
      <c r="I284" s="1">
        <v>63973</v>
      </c>
      <c r="J284" s="1">
        <v>63789</v>
      </c>
      <c r="K284" s="1">
        <v>157</v>
      </c>
      <c r="L284" s="1" t="s">
        <v>48</v>
      </c>
      <c r="M284" s="1" t="s">
        <v>359</v>
      </c>
      <c r="N284" s="1" t="s">
        <v>359</v>
      </c>
      <c r="O284" s="8" t="s">
        <v>21</v>
      </c>
    </row>
    <row r="285" spans="1:15" x14ac:dyDescent="0.3">
      <c r="A285" s="6" t="s">
        <v>337</v>
      </c>
      <c r="B285" s="1" t="s">
        <v>14</v>
      </c>
      <c r="C285" s="7">
        <v>45552</v>
      </c>
      <c r="D285" s="1" t="s">
        <v>19</v>
      </c>
      <c r="E285" s="1" t="s">
        <v>20</v>
      </c>
      <c r="F285" s="1">
        <v>571</v>
      </c>
      <c r="G285" s="1">
        <v>190</v>
      </c>
      <c r="H285" s="1">
        <v>352</v>
      </c>
      <c r="I285" s="1">
        <v>9707</v>
      </c>
      <c r="J285" s="1">
        <v>9418</v>
      </c>
      <c r="K285" s="1">
        <v>231</v>
      </c>
      <c r="L285" s="1" t="s">
        <v>25</v>
      </c>
      <c r="M285" s="1" t="s">
        <v>359</v>
      </c>
      <c r="N285" s="1" t="s">
        <v>359</v>
      </c>
      <c r="O285" s="8" t="s">
        <v>32</v>
      </c>
    </row>
    <row r="286" spans="1:15" x14ac:dyDescent="0.3">
      <c r="A286" s="6" t="s">
        <v>338</v>
      </c>
      <c r="B286" s="1" t="s">
        <v>23</v>
      </c>
      <c r="C286" s="7">
        <v>45491</v>
      </c>
      <c r="D286" s="1" t="s">
        <v>19</v>
      </c>
      <c r="E286" s="1" t="s">
        <v>73</v>
      </c>
      <c r="F286" s="1">
        <v>4021</v>
      </c>
      <c r="G286" s="1">
        <v>794</v>
      </c>
      <c r="H286" s="1">
        <v>77</v>
      </c>
      <c r="I286" s="1">
        <v>36189</v>
      </c>
      <c r="J286" s="1">
        <v>35505</v>
      </c>
      <c r="K286" s="1">
        <v>174</v>
      </c>
      <c r="L286" s="1" t="s">
        <v>31</v>
      </c>
      <c r="M286" s="1" t="s">
        <v>359</v>
      </c>
      <c r="N286" s="1" t="s">
        <v>359</v>
      </c>
      <c r="O286" s="8" t="s">
        <v>360</v>
      </c>
    </row>
    <row r="287" spans="1:15" x14ac:dyDescent="0.3">
      <c r="A287" s="6" t="s">
        <v>339</v>
      </c>
      <c r="B287" s="1" t="s">
        <v>23</v>
      </c>
      <c r="C287" s="7">
        <v>45560</v>
      </c>
      <c r="D287" s="1" t="s">
        <v>56</v>
      </c>
      <c r="E287" s="1" t="s">
        <v>136</v>
      </c>
      <c r="F287" s="1">
        <v>3389</v>
      </c>
      <c r="G287" s="1">
        <v>344</v>
      </c>
      <c r="H287" s="1">
        <v>229</v>
      </c>
      <c r="I287" s="1">
        <v>20334</v>
      </c>
      <c r="J287" s="1">
        <v>19443</v>
      </c>
      <c r="K287" s="1">
        <v>228</v>
      </c>
      <c r="L287" s="1" t="s">
        <v>48</v>
      </c>
      <c r="M287" s="1" t="s">
        <v>359</v>
      </c>
      <c r="N287" s="1" t="s">
        <v>359</v>
      </c>
      <c r="O287" s="8" t="s">
        <v>26</v>
      </c>
    </row>
    <row r="288" spans="1:15" x14ac:dyDescent="0.3">
      <c r="A288" s="6" t="s">
        <v>340</v>
      </c>
      <c r="B288" s="1" t="s">
        <v>28</v>
      </c>
      <c r="C288" s="7">
        <v>45519</v>
      </c>
      <c r="D288" s="1" t="s">
        <v>15</v>
      </c>
      <c r="E288" s="1" t="s">
        <v>61</v>
      </c>
      <c r="F288" s="1">
        <v>1164</v>
      </c>
      <c r="G288" s="1">
        <v>616</v>
      </c>
      <c r="H288" s="1">
        <v>324</v>
      </c>
      <c r="I288" s="1">
        <v>6984</v>
      </c>
      <c r="J288" s="1">
        <v>6636</v>
      </c>
      <c r="K288" s="1">
        <v>82</v>
      </c>
      <c r="L288" s="1" t="s">
        <v>31</v>
      </c>
      <c r="M288" s="1" t="s">
        <v>359</v>
      </c>
      <c r="N288" s="1" t="s">
        <v>359</v>
      </c>
      <c r="O288" s="8" t="s">
        <v>17</v>
      </c>
    </row>
    <row r="289" spans="1:15" x14ac:dyDescent="0.3">
      <c r="A289" s="6" t="s">
        <v>341</v>
      </c>
      <c r="B289" s="1" t="s">
        <v>23</v>
      </c>
      <c r="C289" s="7">
        <v>45764</v>
      </c>
      <c r="D289" s="1" t="s">
        <v>36</v>
      </c>
      <c r="E289" s="1" t="s">
        <v>52</v>
      </c>
      <c r="F289" s="1">
        <v>4780</v>
      </c>
      <c r="G289" s="1">
        <v>691</v>
      </c>
      <c r="H289" s="1">
        <v>380</v>
      </c>
      <c r="I289" s="1">
        <v>86040</v>
      </c>
      <c r="J289" s="1">
        <v>85743</v>
      </c>
      <c r="K289" s="1">
        <v>262</v>
      </c>
      <c r="L289" s="1" t="s">
        <v>48</v>
      </c>
      <c r="M289" s="1" t="s">
        <v>359</v>
      </c>
      <c r="N289" s="1" t="s">
        <v>359</v>
      </c>
      <c r="O289" s="8" t="s">
        <v>26</v>
      </c>
    </row>
    <row r="290" spans="1:15" x14ac:dyDescent="0.3">
      <c r="A290" s="6" t="s">
        <v>342</v>
      </c>
      <c r="B290" s="1" t="s">
        <v>35</v>
      </c>
      <c r="C290" s="7">
        <v>45624</v>
      </c>
      <c r="D290" s="1" t="s">
        <v>36</v>
      </c>
      <c r="E290" s="1" t="s">
        <v>37</v>
      </c>
      <c r="F290" s="1">
        <v>2751</v>
      </c>
      <c r="G290" s="1">
        <v>33</v>
      </c>
      <c r="H290" s="1">
        <v>430</v>
      </c>
      <c r="I290" s="1">
        <v>44016</v>
      </c>
      <c r="J290" s="1">
        <v>43415</v>
      </c>
      <c r="K290" s="1">
        <v>129</v>
      </c>
      <c r="L290" s="1" t="s">
        <v>48</v>
      </c>
      <c r="M290" s="1" t="s">
        <v>359</v>
      </c>
      <c r="N290" s="1" t="s">
        <v>359</v>
      </c>
      <c r="O290" s="8" t="s">
        <v>360</v>
      </c>
    </row>
    <row r="291" spans="1:15" x14ac:dyDescent="0.3">
      <c r="A291" s="6" t="s">
        <v>343</v>
      </c>
      <c r="B291" s="1" t="s">
        <v>28</v>
      </c>
      <c r="C291" s="7">
        <v>45646</v>
      </c>
      <c r="D291" s="1" t="s">
        <v>36</v>
      </c>
      <c r="E291" s="1" t="s">
        <v>65</v>
      </c>
      <c r="F291" s="1">
        <v>2107</v>
      </c>
      <c r="G291" s="1">
        <v>550</v>
      </c>
      <c r="H291" s="1">
        <v>349</v>
      </c>
      <c r="I291" s="1">
        <v>35819</v>
      </c>
      <c r="J291" s="1">
        <v>35340</v>
      </c>
      <c r="K291" s="1">
        <v>191</v>
      </c>
      <c r="L291" s="1" t="s">
        <v>31</v>
      </c>
      <c r="M291" s="1" t="s">
        <v>359</v>
      </c>
      <c r="N291" s="1" t="s">
        <v>359</v>
      </c>
      <c r="O291" s="8" t="s">
        <v>32</v>
      </c>
    </row>
    <row r="292" spans="1:15" x14ac:dyDescent="0.3">
      <c r="A292" s="6" t="s">
        <v>344</v>
      </c>
      <c r="B292" s="1" t="s">
        <v>35</v>
      </c>
      <c r="C292" s="7">
        <v>45602</v>
      </c>
      <c r="D292" s="1" t="s">
        <v>56</v>
      </c>
      <c r="E292" s="1" t="s">
        <v>57</v>
      </c>
      <c r="F292" s="1">
        <v>4663</v>
      </c>
      <c r="G292" s="1">
        <v>145</v>
      </c>
      <c r="H292" s="1">
        <v>225</v>
      </c>
      <c r="I292" s="1">
        <v>69945</v>
      </c>
      <c r="J292" s="1">
        <v>69596</v>
      </c>
      <c r="K292" s="1">
        <v>35</v>
      </c>
      <c r="L292" s="1" t="s">
        <v>31</v>
      </c>
      <c r="M292" s="1" t="s">
        <v>359</v>
      </c>
      <c r="N292" s="1" t="s">
        <v>359</v>
      </c>
      <c r="O292" s="8" t="s">
        <v>32</v>
      </c>
    </row>
    <row r="293" spans="1:15" x14ac:dyDescent="0.3">
      <c r="A293" s="6" t="s">
        <v>345</v>
      </c>
      <c r="B293" s="1" t="s">
        <v>35</v>
      </c>
      <c r="C293" s="7">
        <v>45613</v>
      </c>
      <c r="D293" s="1" t="s">
        <v>19</v>
      </c>
      <c r="E293" s="1" t="s">
        <v>44</v>
      </c>
      <c r="F293" s="1">
        <v>880</v>
      </c>
      <c r="G293" s="1">
        <v>297</v>
      </c>
      <c r="H293" s="1">
        <v>345</v>
      </c>
      <c r="I293" s="1">
        <v>12320</v>
      </c>
      <c r="J293" s="1">
        <v>11978</v>
      </c>
      <c r="K293" s="1">
        <v>238</v>
      </c>
      <c r="L293" s="1" t="s">
        <v>25</v>
      </c>
      <c r="M293" s="1" t="s">
        <v>354</v>
      </c>
      <c r="N293" s="1" t="s">
        <v>359</v>
      </c>
      <c r="O293" s="8" t="s">
        <v>360</v>
      </c>
    </row>
    <row r="294" spans="1:15" x14ac:dyDescent="0.3">
      <c r="A294" s="6" t="s">
        <v>346</v>
      </c>
      <c r="B294" s="1" t="s">
        <v>35</v>
      </c>
      <c r="C294" s="7">
        <v>45791</v>
      </c>
      <c r="D294" s="1" t="s">
        <v>19</v>
      </c>
      <c r="E294" s="1" t="s">
        <v>44</v>
      </c>
      <c r="F294" s="1">
        <v>2634</v>
      </c>
      <c r="G294" s="1">
        <v>726</v>
      </c>
      <c r="H294" s="1">
        <v>241</v>
      </c>
      <c r="I294" s="1">
        <v>28974</v>
      </c>
      <c r="J294" s="1">
        <v>28102</v>
      </c>
      <c r="K294" s="1">
        <v>277</v>
      </c>
      <c r="L294" s="1" t="s">
        <v>31</v>
      </c>
      <c r="M294" s="1" t="s">
        <v>359</v>
      </c>
      <c r="N294" s="1" t="s">
        <v>359</v>
      </c>
      <c r="O294" s="8" t="s">
        <v>17</v>
      </c>
    </row>
    <row r="295" spans="1:15" x14ac:dyDescent="0.3">
      <c r="A295" s="6" t="s">
        <v>347</v>
      </c>
      <c r="B295" s="1" t="s">
        <v>35</v>
      </c>
      <c r="C295" s="7">
        <v>45462</v>
      </c>
      <c r="D295" s="1" t="s">
        <v>36</v>
      </c>
      <c r="E295" s="1" t="s">
        <v>37</v>
      </c>
      <c r="F295" s="1">
        <v>4731</v>
      </c>
      <c r="G295" s="1">
        <v>173</v>
      </c>
      <c r="H295" s="1">
        <v>276</v>
      </c>
      <c r="I295" s="1">
        <v>28386</v>
      </c>
      <c r="J295" s="1">
        <v>28185</v>
      </c>
      <c r="K295" s="1">
        <v>89</v>
      </c>
      <c r="L295" s="1" t="s">
        <v>31</v>
      </c>
      <c r="M295" s="1" t="s">
        <v>359</v>
      </c>
      <c r="N295" s="1" t="s">
        <v>359</v>
      </c>
      <c r="O295" s="8" t="s">
        <v>26</v>
      </c>
    </row>
    <row r="296" spans="1:15" x14ac:dyDescent="0.3">
      <c r="A296" s="6" t="s">
        <v>348</v>
      </c>
      <c r="B296" s="1" t="s">
        <v>14</v>
      </c>
      <c r="C296" s="7">
        <v>45783</v>
      </c>
      <c r="D296" s="1" t="s">
        <v>41</v>
      </c>
      <c r="E296" s="1" t="s">
        <v>88</v>
      </c>
      <c r="F296" s="1">
        <v>1952</v>
      </c>
      <c r="G296" s="1">
        <v>344</v>
      </c>
      <c r="H296" s="1">
        <v>287</v>
      </c>
      <c r="I296" s="1">
        <v>15616</v>
      </c>
      <c r="J296" s="1">
        <v>15403</v>
      </c>
      <c r="K296" s="1">
        <v>235</v>
      </c>
      <c r="L296" s="1" t="s">
        <v>48</v>
      </c>
      <c r="M296" s="1" t="s">
        <v>25</v>
      </c>
      <c r="N296" s="1" t="s">
        <v>354</v>
      </c>
      <c r="O296" s="8" t="s">
        <v>21</v>
      </c>
    </row>
    <row r="297" spans="1:15" x14ac:dyDescent="0.3">
      <c r="A297" s="6" t="s">
        <v>349</v>
      </c>
      <c r="B297" s="1" t="s">
        <v>14</v>
      </c>
      <c r="C297" s="7">
        <v>45699</v>
      </c>
      <c r="D297" s="1" t="s">
        <v>56</v>
      </c>
      <c r="E297" s="1" t="s">
        <v>95</v>
      </c>
      <c r="F297" s="1">
        <v>3440</v>
      </c>
      <c r="G297" s="1">
        <v>13</v>
      </c>
      <c r="H297" s="1">
        <v>20</v>
      </c>
      <c r="I297" s="1">
        <v>58480</v>
      </c>
      <c r="J297" s="1">
        <v>58146</v>
      </c>
      <c r="K297" s="1">
        <v>210</v>
      </c>
      <c r="L297" s="1" t="s">
        <v>25</v>
      </c>
      <c r="M297" s="1" t="s">
        <v>356</v>
      </c>
      <c r="N297" s="1" t="s">
        <v>359</v>
      </c>
      <c r="O297" s="8" t="s">
        <v>32</v>
      </c>
    </row>
    <row r="298" spans="1:15" x14ac:dyDescent="0.3">
      <c r="A298" s="6" t="s">
        <v>350</v>
      </c>
      <c r="B298" s="1" t="s">
        <v>14</v>
      </c>
      <c r="C298" s="7">
        <v>45650</v>
      </c>
      <c r="D298" s="1" t="s">
        <v>19</v>
      </c>
      <c r="E298" s="1" t="s">
        <v>20</v>
      </c>
      <c r="F298" s="1">
        <v>2166</v>
      </c>
      <c r="G298" s="1">
        <v>354</v>
      </c>
      <c r="H298" s="1">
        <v>117</v>
      </c>
      <c r="I298" s="1">
        <v>10830</v>
      </c>
      <c r="J298" s="1">
        <v>10245</v>
      </c>
      <c r="K298" s="1">
        <v>24</v>
      </c>
      <c r="L298" s="1" t="s">
        <v>31</v>
      </c>
      <c r="M298" s="1" t="s">
        <v>359</v>
      </c>
      <c r="N298" s="1" t="s">
        <v>359</v>
      </c>
      <c r="O298" s="8" t="s">
        <v>32</v>
      </c>
    </row>
    <row r="299" spans="1:15" x14ac:dyDescent="0.3">
      <c r="A299" s="6" t="s">
        <v>351</v>
      </c>
      <c r="B299" s="1" t="s">
        <v>35</v>
      </c>
      <c r="C299" s="7">
        <v>45589</v>
      </c>
      <c r="D299" s="1" t="s">
        <v>41</v>
      </c>
      <c r="E299" s="1" t="s">
        <v>46</v>
      </c>
      <c r="F299" s="1">
        <v>4303</v>
      </c>
      <c r="G299" s="1">
        <v>451</v>
      </c>
      <c r="H299" s="1">
        <v>286</v>
      </c>
      <c r="I299" s="1">
        <v>86060</v>
      </c>
      <c r="J299" s="1">
        <v>85823</v>
      </c>
      <c r="K299" s="1">
        <v>14</v>
      </c>
      <c r="L299" s="1" t="s">
        <v>25</v>
      </c>
      <c r="M299" s="1" t="s">
        <v>359</v>
      </c>
      <c r="N299" s="1" t="s">
        <v>359</v>
      </c>
      <c r="O299" s="8" t="s">
        <v>26</v>
      </c>
    </row>
    <row r="300" spans="1:15" x14ac:dyDescent="0.3">
      <c r="A300" s="6" t="s">
        <v>352</v>
      </c>
      <c r="B300" s="1" t="s">
        <v>35</v>
      </c>
      <c r="C300" s="7">
        <v>45530</v>
      </c>
      <c r="D300" s="1" t="s">
        <v>41</v>
      </c>
      <c r="E300" s="1" t="s">
        <v>46</v>
      </c>
      <c r="F300" s="1">
        <v>2581</v>
      </c>
      <c r="G300" s="1">
        <v>517</v>
      </c>
      <c r="H300" s="1">
        <v>117</v>
      </c>
      <c r="I300" s="1">
        <v>23229</v>
      </c>
      <c r="J300" s="1">
        <v>22331</v>
      </c>
      <c r="K300" s="1">
        <v>70</v>
      </c>
      <c r="L300" s="1" t="s">
        <v>48</v>
      </c>
      <c r="M300" s="1" t="s">
        <v>359</v>
      </c>
      <c r="N300" s="1" t="s">
        <v>359</v>
      </c>
      <c r="O300" s="8" t="s">
        <v>26</v>
      </c>
    </row>
    <row r="301" spans="1:15" x14ac:dyDescent="0.3">
      <c r="A301" s="9" t="s">
        <v>353</v>
      </c>
      <c r="B301" s="10" t="s">
        <v>14</v>
      </c>
      <c r="C301" s="11">
        <v>45535</v>
      </c>
      <c r="D301" s="10" t="s">
        <v>36</v>
      </c>
      <c r="E301" s="10" t="s">
        <v>39</v>
      </c>
      <c r="F301" s="10">
        <v>4494</v>
      </c>
      <c r="G301" s="10">
        <v>717</v>
      </c>
      <c r="H301" s="10">
        <v>45</v>
      </c>
      <c r="I301" s="10">
        <v>62916</v>
      </c>
      <c r="J301" s="10">
        <v>62688</v>
      </c>
      <c r="K301" s="10">
        <v>191</v>
      </c>
      <c r="L301" s="10" t="s">
        <v>25</v>
      </c>
      <c r="M301" s="10" t="s">
        <v>31</v>
      </c>
      <c r="N301" s="10" t="s">
        <v>355</v>
      </c>
      <c r="O301" s="12"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B00FB-2CD2-4B07-B7F0-B5AF8A7E76ED}">
  <sheetPr codeName="Sheet2"/>
  <dimension ref="A1:T301"/>
  <sheetViews>
    <sheetView topLeftCell="N1" workbookViewId="0">
      <pane ySplit="1" topLeftCell="A2" activePane="bottomLeft" state="frozen"/>
      <selection activeCell="E1" sqref="E1"/>
      <selection pane="bottomLeft" activeCell="Q20" sqref="Q20"/>
    </sheetView>
  </sheetViews>
  <sheetFormatPr defaultRowHeight="14.4" x14ac:dyDescent="0.3"/>
  <cols>
    <col min="1" max="1" width="6.88671875" bestFit="1" customWidth="1"/>
    <col min="2" max="2" width="9.109375" bestFit="1" customWidth="1"/>
    <col min="3" max="3" width="10.33203125" bestFit="1" customWidth="1"/>
    <col min="4" max="4" width="12.33203125" bestFit="1" customWidth="1"/>
    <col min="5" max="5" width="37" bestFit="1" customWidth="1"/>
    <col min="6" max="6" width="5.109375" bestFit="1" customWidth="1"/>
    <col min="7" max="7" width="6.5546875" bestFit="1" customWidth="1"/>
    <col min="8" max="8" width="10.109375" bestFit="1" customWidth="1"/>
    <col min="9" max="9" width="11" bestFit="1" customWidth="1"/>
    <col min="10" max="10" width="6.109375" bestFit="1" customWidth="1"/>
    <col min="11" max="11" width="5.6640625" bestFit="1" customWidth="1"/>
    <col min="12" max="12" width="17.44140625" bestFit="1" customWidth="1"/>
    <col min="13" max="13" width="20.21875" bestFit="1" customWidth="1"/>
    <col min="14" max="14" width="18.44140625" bestFit="1" customWidth="1"/>
    <col min="15" max="15" width="16" bestFit="1" customWidth="1"/>
    <col min="16" max="16" width="14.88671875" customWidth="1"/>
    <col min="18" max="18" width="12.5546875" bestFit="1" customWidth="1"/>
    <col min="19" max="19" width="25.21875" bestFit="1" customWidth="1"/>
  </cols>
  <sheetData>
    <row r="1" spans="1:20" x14ac:dyDescent="0.3">
      <c r="A1" s="3" t="s">
        <v>0</v>
      </c>
      <c r="B1" s="4" t="s">
        <v>1</v>
      </c>
      <c r="C1" s="4" t="s">
        <v>2</v>
      </c>
      <c r="D1" s="4" t="s">
        <v>3</v>
      </c>
      <c r="E1" s="4" t="s">
        <v>4</v>
      </c>
      <c r="F1" s="4" t="s">
        <v>5</v>
      </c>
      <c r="G1" s="4" t="s">
        <v>6</v>
      </c>
      <c r="H1" s="4" t="s">
        <v>7</v>
      </c>
      <c r="I1" s="4" t="s">
        <v>8</v>
      </c>
      <c r="J1" s="4" t="s">
        <v>9</v>
      </c>
      <c r="K1" s="4" t="s">
        <v>10</v>
      </c>
      <c r="L1" s="4" t="s">
        <v>11</v>
      </c>
      <c r="M1" s="4" t="s">
        <v>357</v>
      </c>
      <c r="N1" s="4" t="s">
        <v>358</v>
      </c>
      <c r="O1" s="5" t="s">
        <v>12</v>
      </c>
      <c r="P1" s="4" t="s">
        <v>361</v>
      </c>
    </row>
    <row r="2" spans="1:20" x14ac:dyDescent="0.3">
      <c r="A2" s="6" t="s">
        <v>13</v>
      </c>
      <c r="B2" s="1" t="s">
        <v>14</v>
      </c>
      <c r="C2" s="7">
        <v>45649</v>
      </c>
      <c r="D2" s="1" t="s">
        <v>15</v>
      </c>
      <c r="E2" s="1" t="s">
        <v>16</v>
      </c>
      <c r="F2" s="1">
        <v>1461</v>
      </c>
      <c r="G2" s="1">
        <v>184</v>
      </c>
      <c r="H2" s="1">
        <v>344</v>
      </c>
      <c r="I2" s="1">
        <v>21915</v>
      </c>
      <c r="J2" s="1">
        <v>21675</v>
      </c>
      <c r="K2" s="1">
        <v>15</v>
      </c>
      <c r="L2" s="1" t="s">
        <v>48</v>
      </c>
      <c r="M2" s="1" t="s">
        <v>354</v>
      </c>
      <c r="N2" s="1" t="s">
        <v>359</v>
      </c>
      <c r="O2" s="8" t="s">
        <v>17</v>
      </c>
      <c r="P2" s="14">
        <f>(Table1_14[[#This Row],[Likes]]+Table1_14[[#This Row],[Shares]]+Table1_14[[#This Row],[Comments]])/Table1_14[[#This Row],[Impressions]]</f>
        <v>9.0759753593429152E-2</v>
      </c>
    </row>
    <row r="3" spans="1:20" x14ac:dyDescent="0.3">
      <c r="A3" s="6" t="s">
        <v>18</v>
      </c>
      <c r="B3" s="1" t="s">
        <v>14</v>
      </c>
      <c r="C3" s="7">
        <v>45750</v>
      </c>
      <c r="D3" s="1" t="s">
        <v>19</v>
      </c>
      <c r="E3" s="1" t="s">
        <v>20</v>
      </c>
      <c r="F3" s="1">
        <v>4054</v>
      </c>
      <c r="G3" s="1">
        <v>389</v>
      </c>
      <c r="H3" s="1">
        <v>493</v>
      </c>
      <c r="I3" s="1">
        <v>64864</v>
      </c>
      <c r="J3" s="1">
        <v>64383</v>
      </c>
      <c r="K3" s="1">
        <v>117</v>
      </c>
      <c r="L3" s="1" t="s">
        <v>25</v>
      </c>
      <c r="M3" s="1" t="s">
        <v>355</v>
      </c>
      <c r="N3" s="1" t="s">
        <v>359</v>
      </c>
      <c r="O3" s="8" t="s">
        <v>21</v>
      </c>
      <c r="P3" s="15">
        <f>(Table1_14[[#This Row],[Likes]]+Table1_14[[#This Row],[Shares]]+Table1_14[[#This Row],[Comments]])/Table1_14[[#This Row],[Impressions]]</f>
        <v>7.6097681302417369E-2</v>
      </c>
    </row>
    <row r="4" spans="1:20" x14ac:dyDescent="0.3">
      <c r="A4" s="6" t="s">
        <v>22</v>
      </c>
      <c r="B4" s="1" t="s">
        <v>23</v>
      </c>
      <c r="C4" s="7">
        <v>45789</v>
      </c>
      <c r="D4" s="1" t="s">
        <v>15</v>
      </c>
      <c r="E4" s="1" t="s">
        <v>24</v>
      </c>
      <c r="F4" s="1">
        <v>2795</v>
      </c>
      <c r="G4" s="1">
        <v>105</v>
      </c>
      <c r="H4" s="1">
        <v>49</v>
      </c>
      <c r="I4" s="1">
        <v>53105</v>
      </c>
      <c r="J4" s="1">
        <v>52307</v>
      </c>
      <c r="K4" s="1">
        <v>204</v>
      </c>
      <c r="L4" s="1" t="s">
        <v>25</v>
      </c>
      <c r="M4" s="1" t="s">
        <v>359</v>
      </c>
      <c r="N4" s="1" t="s">
        <v>359</v>
      </c>
      <c r="O4" s="8" t="s">
        <v>26</v>
      </c>
      <c r="P4" s="15">
        <f>(Table1_14[[#This Row],[Likes]]+Table1_14[[#This Row],[Shares]]+Table1_14[[#This Row],[Comments]])/Table1_14[[#This Row],[Impressions]]</f>
        <v>5.5531494209584788E-2</v>
      </c>
    </row>
    <row r="5" spans="1:20" x14ac:dyDescent="0.3">
      <c r="A5" s="6" t="s">
        <v>27</v>
      </c>
      <c r="B5" s="1" t="s">
        <v>28</v>
      </c>
      <c r="C5" s="7">
        <v>45516</v>
      </c>
      <c r="D5" s="1" t="s">
        <v>29</v>
      </c>
      <c r="E5" s="1" t="s">
        <v>30</v>
      </c>
      <c r="F5" s="1">
        <v>2404</v>
      </c>
      <c r="G5" s="1">
        <v>363</v>
      </c>
      <c r="H5" s="1">
        <v>138</v>
      </c>
      <c r="I5" s="1">
        <v>19232</v>
      </c>
      <c r="J5" s="1">
        <v>18636</v>
      </c>
      <c r="K5" s="1">
        <v>128</v>
      </c>
      <c r="L5" s="1" t="s">
        <v>31</v>
      </c>
      <c r="M5" s="1" t="s">
        <v>359</v>
      </c>
      <c r="N5" s="1" t="s">
        <v>359</v>
      </c>
      <c r="O5" s="8" t="s">
        <v>32</v>
      </c>
      <c r="P5" s="15">
        <f>(Table1_14[[#This Row],[Likes]]+Table1_14[[#This Row],[Shares]]+Table1_14[[#This Row],[Comments]])/Table1_14[[#This Row],[Impressions]]</f>
        <v>0.15105033277870217</v>
      </c>
    </row>
    <row r="6" spans="1:20" ht="18" x14ac:dyDescent="0.35">
      <c r="A6" s="6" t="s">
        <v>33</v>
      </c>
      <c r="B6" s="1" t="s">
        <v>23</v>
      </c>
      <c r="C6" s="7">
        <v>45469</v>
      </c>
      <c r="D6" s="1" t="s">
        <v>15</v>
      </c>
      <c r="E6" s="1" t="s">
        <v>24</v>
      </c>
      <c r="F6" s="1">
        <v>3557</v>
      </c>
      <c r="G6" s="1">
        <v>687</v>
      </c>
      <c r="H6" s="1">
        <v>424</v>
      </c>
      <c r="I6" s="1">
        <v>71140</v>
      </c>
      <c r="J6" s="1">
        <v>70701</v>
      </c>
      <c r="K6" s="1">
        <v>224</v>
      </c>
      <c r="L6" s="1" t="s">
        <v>31</v>
      </c>
      <c r="M6" s="1" t="s">
        <v>25</v>
      </c>
      <c r="N6" s="1" t="s">
        <v>359</v>
      </c>
      <c r="O6" s="8" t="s">
        <v>17</v>
      </c>
      <c r="P6" s="15">
        <f>(Table1_14[[#This Row],[Likes]]+Table1_14[[#This Row],[Shares]]+Table1_14[[#This Row],[Comments]])/Table1_14[[#This Row],[Impressions]]</f>
        <v>6.5617093055946027E-2</v>
      </c>
      <c r="R6" s="21" t="s">
        <v>365</v>
      </c>
      <c r="S6" s="21"/>
      <c r="T6" s="21"/>
    </row>
    <row r="7" spans="1:20" x14ac:dyDescent="0.3">
      <c r="A7" s="6" t="s">
        <v>34</v>
      </c>
      <c r="B7" s="1" t="s">
        <v>35</v>
      </c>
      <c r="C7" s="7">
        <v>45596</v>
      </c>
      <c r="D7" s="1" t="s">
        <v>36</v>
      </c>
      <c r="E7" s="1" t="s">
        <v>37</v>
      </c>
      <c r="F7" s="1">
        <v>2945</v>
      </c>
      <c r="G7" s="1">
        <v>930</v>
      </c>
      <c r="H7" s="1">
        <v>355</v>
      </c>
      <c r="I7" s="1">
        <v>23560</v>
      </c>
      <c r="J7" s="1">
        <v>23275</v>
      </c>
      <c r="K7" s="1">
        <v>256</v>
      </c>
      <c r="L7" s="1" t="s">
        <v>25</v>
      </c>
      <c r="M7" s="1" t="s">
        <v>359</v>
      </c>
      <c r="N7" s="1" t="s">
        <v>359</v>
      </c>
      <c r="O7" s="8" t="s">
        <v>21</v>
      </c>
      <c r="P7" s="15">
        <f>(Table1_14[[#This Row],[Likes]]+Table1_14[[#This Row],[Shares]]+Table1_14[[#This Row],[Comments]])/Table1_14[[#This Row],[Impressions]]</f>
        <v>0.17954159592529711</v>
      </c>
    </row>
    <row r="8" spans="1:20" x14ac:dyDescent="0.3">
      <c r="A8" s="6" t="s">
        <v>38</v>
      </c>
      <c r="B8" s="1" t="s">
        <v>14</v>
      </c>
      <c r="C8" s="7">
        <v>45467</v>
      </c>
      <c r="D8" s="1" t="s">
        <v>36</v>
      </c>
      <c r="E8" s="1" t="s">
        <v>39</v>
      </c>
      <c r="F8" s="1">
        <v>3860</v>
      </c>
      <c r="G8" s="1">
        <v>201</v>
      </c>
      <c r="H8" s="1">
        <v>279</v>
      </c>
      <c r="I8" s="1">
        <v>61760</v>
      </c>
      <c r="J8" s="1">
        <v>61660</v>
      </c>
      <c r="K8" s="1">
        <v>235</v>
      </c>
      <c r="L8" s="1" t="s">
        <v>25</v>
      </c>
      <c r="M8" s="1" t="s">
        <v>359</v>
      </c>
      <c r="N8" s="1" t="s">
        <v>359</v>
      </c>
      <c r="O8" s="8" t="s">
        <v>21</v>
      </c>
      <c r="P8" s="15">
        <f>(Table1_14[[#This Row],[Likes]]+Table1_14[[#This Row],[Shares]]+Table1_14[[#This Row],[Comments]])/Table1_14[[#This Row],[Impressions]]</f>
        <v>7.0272020725388601E-2</v>
      </c>
    </row>
    <row r="9" spans="1:20" x14ac:dyDescent="0.3">
      <c r="A9" s="6" t="s">
        <v>40</v>
      </c>
      <c r="B9" s="1" t="s">
        <v>23</v>
      </c>
      <c r="C9" s="7">
        <v>45486</v>
      </c>
      <c r="D9" s="1" t="s">
        <v>41</v>
      </c>
      <c r="E9" s="1" t="s">
        <v>42</v>
      </c>
      <c r="F9" s="1">
        <v>3929</v>
      </c>
      <c r="G9" s="1">
        <v>262</v>
      </c>
      <c r="H9" s="1">
        <v>278</v>
      </c>
      <c r="I9" s="1">
        <v>43219</v>
      </c>
      <c r="J9" s="1">
        <v>42841</v>
      </c>
      <c r="K9" s="1">
        <v>39</v>
      </c>
      <c r="L9" s="1" t="s">
        <v>31</v>
      </c>
      <c r="M9" s="1" t="s">
        <v>359</v>
      </c>
      <c r="N9" s="1" t="s">
        <v>359</v>
      </c>
      <c r="O9" s="8" t="s">
        <v>32</v>
      </c>
      <c r="P9" s="15">
        <f>(Table1_14[[#This Row],[Likes]]+Table1_14[[#This Row],[Shares]]+Table1_14[[#This Row],[Comments]])/Table1_14[[#This Row],[Impressions]]</f>
        <v>0.10340359564080613</v>
      </c>
      <c r="R9" s="17" t="s">
        <v>362</v>
      </c>
      <c r="S9" s="1" t="s">
        <v>364</v>
      </c>
    </row>
    <row r="10" spans="1:20" x14ac:dyDescent="0.3">
      <c r="A10" s="6" t="s">
        <v>43</v>
      </c>
      <c r="B10" s="1" t="s">
        <v>35</v>
      </c>
      <c r="C10" s="7">
        <v>45534</v>
      </c>
      <c r="D10" s="1" t="s">
        <v>19</v>
      </c>
      <c r="E10" s="1" t="s">
        <v>44</v>
      </c>
      <c r="F10" s="1">
        <v>3784</v>
      </c>
      <c r="G10" s="1">
        <v>808</v>
      </c>
      <c r="H10" s="1">
        <v>404</v>
      </c>
      <c r="I10" s="1">
        <v>56760</v>
      </c>
      <c r="J10" s="1">
        <v>56343</v>
      </c>
      <c r="K10" s="1">
        <v>131</v>
      </c>
      <c r="L10" s="1" t="s">
        <v>25</v>
      </c>
      <c r="M10" s="1" t="s">
        <v>359</v>
      </c>
      <c r="N10" s="1" t="s">
        <v>359</v>
      </c>
      <c r="O10" s="8" t="s">
        <v>21</v>
      </c>
      <c r="P10" s="15">
        <f>(Table1_14[[#This Row],[Likes]]+Table1_14[[#This Row],[Shares]]+Table1_14[[#This Row],[Comments]])/Table1_14[[#This Row],[Impressions]]</f>
        <v>8.8019732205778717E-2</v>
      </c>
      <c r="R10" s="18" t="s">
        <v>28</v>
      </c>
      <c r="S10" s="19">
        <v>0.19329257693923488</v>
      </c>
    </row>
    <row r="11" spans="1:20" x14ac:dyDescent="0.3">
      <c r="A11" s="6" t="s">
        <v>45</v>
      </c>
      <c r="B11" s="1" t="s">
        <v>35</v>
      </c>
      <c r="C11" s="7">
        <v>45727</v>
      </c>
      <c r="D11" s="1" t="s">
        <v>41</v>
      </c>
      <c r="E11" s="1" t="s">
        <v>46</v>
      </c>
      <c r="F11" s="1">
        <v>4241</v>
      </c>
      <c r="G11" s="1">
        <v>902</v>
      </c>
      <c r="H11" s="1">
        <v>47</v>
      </c>
      <c r="I11" s="1">
        <v>72097</v>
      </c>
      <c r="J11" s="1">
        <v>71598</v>
      </c>
      <c r="K11" s="1">
        <v>167</v>
      </c>
      <c r="L11" s="1" t="s">
        <v>25</v>
      </c>
      <c r="M11" s="1" t="s">
        <v>359</v>
      </c>
      <c r="N11" s="1" t="s">
        <v>359</v>
      </c>
      <c r="O11" s="8" t="s">
        <v>21</v>
      </c>
      <c r="P11" s="15">
        <f>(Table1_14[[#This Row],[Likes]]+Table1_14[[#This Row],[Shares]]+Table1_14[[#This Row],[Comments]])/Table1_14[[#This Row],[Impressions]]</f>
        <v>7.198635172059864E-2</v>
      </c>
      <c r="R11" s="20" t="s">
        <v>14</v>
      </c>
      <c r="S11" s="13">
        <v>0.14368407434207892</v>
      </c>
    </row>
    <row r="12" spans="1:20" x14ac:dyDescent="0.3">
      <c r="A12" s="6" t="s">
        <v>47</v>
      </c>
      <c r="B12" s="1" t="s">
        <v>28</v>
      </c>
      <c r="C12" s="7">
        <v>45690</v>
      </c>
      <c r="D12" s="1" t="s">
        <v>29</v>
      </c>
      <c r="E12" s="1" t="s">
        <v>30</v>
      </c>
      <c r="F12" s="1">
        <v>1792</v>
      </c>
      <c r="G12" s="1">
        <v>614</v>
      </c>
      <c r="H12" s="1">
        <v>497</v>
      </c>
      <c r="I12" s="1">
        <v>25088</v>
      </c>
      <c r="J12" s="1">
        <v>24675</v>
      </c>
      <c r="K12" s="1">
        <v>65</v>
      </c>
      <c r="L12" s="1" t="s">
        <v>48</v>
      </c>
      <c r="M12" s="1" t="s">
        <v>359</v>
      </c>
      <c r="N12" s="1" t="s">
        <v>359</v>
      </c>
      <c r="O12" s="8" t="s">
        <v>32</v>
      </c>
      <c r="P12" s="15">
        <f>(Table1_14[[#This Row],[Likes]]+Table1_14[[#This Row],[Shares]]+Table1_14[[#This Row],[Comments]])/Table1_14[[#This Row],[Impressions]]</f>
        <v>0.11571269132653061</v>
      </c>
      <c r="R12" s="20" t="s">
        <v>23</v>
      </c>
      <c r="S12" s="13">
        <v>0.13118493770753806</v>
      </c>
    </row>
    <row r="13" spans="1:20" x14ac:dyDescent="0.3">
      <c r="A13" s="6" t="s">
        <v>49</v>
      </c>
      <c r="B13" s="1" t="s">
        <v>35</v>
      </c>
      <c r="C13" s="7">
        <v>45494</v>
      </c>
      <c r="D13" s="1" t="s">
        <v>15</v>
      </c>
      <c r="E13" s="1" t="s">
        <v>50</v>
      </c>
      <c r="F13" s="1">
        <v>1946</v>
      </c>
      <c r="G13" s="1">
        <v>686</v>
      </c>
      <c r="H13" s="1">
        <v>377</v>
      </c>
      <c r="I13" s="1">
        <v>23352</v>
      </c>
      <c r="J13" s="1">
        <v>22982</v>
      </c>
      <c r="K13" s="1">
        <v>213</v>
      </c>
      <c r="L13" s="1" t="s">
        <v>48</v>
      </c>
      <c r="M13" s="1" t="s">
        <v>359</v>
      </c>
      <c r="N13" s="1" t="s">
        <v>359</v>
      </c>
      <c r="O13" s="8" t="s">
        <v>26</v>
      </c>
      <c r="P13" s="15">
        <f>(Table1_14[[#This Row],[Likes]]+Table1_14[[#This Row],[Shares]]+Table1_14[[#This Row],[Comments]])/Table1_14[[#This Row],[Impressions]]</f>
        <v>0.12885405960945528</v>
      </c>
      <c r="R13" s="20" t="s">
        <v>35</v>
      </c>
      <c r="S13" s="13">
        <v>0.12197289956132547</v>
      </c>
    </row>
    <row r="14" spans="1:20" x14ac:dyDescent="0.3">
      <c r="A14" s="6" t="s">
        <v>51</v>
      </c>
      <c r="B14" s="1" t="s">
        <v>23</v>
      </c>
      <c r="C14" s="7">
        <v>45614</v>
      </c>
      <c r="D14" s="1" t="s">
        <v>36</v>
      </c>
      <c r="E14" s="1" t="s">
        <v>52</v>
      </c>
      <c r="F14" s="1">
        <v>1171</v>
      </c>
      <c r="G14" s="1">
        <v>286</v>
      </c>
      <c r="H14" s="1">
        <v>231</v>
      </c>
      <c r="I14" s="1">
        <v>22249</v>
      </c>
      <c r="J14" s="1">
        <v>21282</v>
      </c>
      <c r="K14" s="1">
        <v>114</v>
      </c>
      <c r="L14" s="1" t="s">
        <v>31</v>
      </c>
      <c r="M14" s="1" t="s">
        <v>359</v>
      </c>
      <c r="N14" s="1" t="s">
        <v>359</v>
      </c>
      <c r="O14" s="8" t="s">
        <v>17</v>
      </c>
      <c r="P14" s="15">
        <f>(Table1_14[[#This Row],[Likes]]+Table1_14[[#This Row],[Shares]]+Table1_14[[#This Row],[Comments]])/Table1_14[[#This Row],[Impressions]]</f>
        <v>7.5868578363072495E-2</v>
      </c>
      <c r="R14" s="20" t="s">
        <v>363</v>
      </c>
      <c r="S14" s="1">
        <v>0.14828272479852853</v>
      </c>
    </row>
    <row r="15" spans="1:20" x14ac:dyDescent="0.3">
      <c r="A15" s="6" t="s">
        <v>53</v>
      </c>
      <c r="B15" s="1" t="s">
        <v>35</v>
      </c>
      <c r="C15" s="7">
        <v>45704</v>
      </c>
      <c r="D15" s="1" t="s">
        <v>29</v>
      </c>
      <c r="E15" s="1" t="s">
        <v>54</v>
      </c>
      <c r="F15" s="1">
        <v>4242</v>
      </c>
      <c r="G15" s="1">
        <v>555</v>
      </c>
      <c r="H15" s="1">
        <v>131</v>
      </c>
      <c r="I15" s="1">
        <v>33936</v>
      </c>
      <c r="J15" s="1">
        <v>33802</v>
      </c>
      <c r="K15" s="1">
        <v>265</v>
      </c>
      <c r="L15" s="1" t="s">
        <v>48</v>
      </c>
      <c r="M15" s="1" t="s">
        <v>359</v>
      </c>
      <c r="N15" s="1" t="s">
        <v>359</v>
      </c>
      <c r="O15" s="8" t="s">
        <v>360</v>
      </c>
      <c r="P15" s="15">
        <f>(Table1_14[[#This Row],[Likes]]+Table1_14[[#This Row],[Shares]]+Table1_14[[#This Row],[Comments]])/Table1_14[[#This Row],[Impressions]]</f>
        <v>0.14521452145214522</v>
      </c>
    </row>
    <row r="16" spans="1:20" x14ac:dyDescent="0.3">
      <c r="A16" s="6" t="s">
        <v>55</v>
      </c>
      <c r="B16" s="1" t="s">
        <v>35</v>
      </c>
      <c r="C16" s="7">
        <v>45589</v>
      </c>
      <c r="D16" s="1" t="s">
        <v>56</v>
      </c>
      <c r="E16" s="1" t="s">
        <v>57</v>
      </c>
      <c r="F16" s="1">
        <v>3888</v>
      </c>
      <c r="G16" s="1">
        <v>604</v>
      </c>
      <c r="H16" s="1">
        <v>128</v>
      </c>
      <c r="I16" s="1">
        <v>77760</v>
      </c>
      <c r="J16" s="1">
        <v>77167</v>
      </c>
      <c r="K16" s="1">
        <v>20</v>
      </c>
      <c r="L16" s="1" t="s">
        <v>48</v>
      </c>
      <c r="M16" s="1" t="s">
        <v>359</v>
      </c>
      <c r="N16" s="1" t="s">
        <v>359</v>
      </c>
      <c r="O16" s="8" t="s">
        <v>17</v>
      </c>
      <c r="P16" s="15">
        <f>(Table1_14[[#This Row],[Likes]]+Table1_14[[#This Row],[Shares]]+Table1_14[[#This Row],[Comments]])/Table1_14[[#This Row],[Impressions]]</f>
        <v>5.941358024691358E-2</v>
      </c>
    </row>
    <row r="17" spans="1:16" x14ac:dyDescent="0.3">
      <c r="A17" s="6" t="s">
        <v>58</v>
      </c>
      <c r="B17" s="1" t="s">
        <v>35</v>
      </c>
      <c r="C17" s="7">
        <v>45530</v>
      </c>
      <c r="D17" s="1" t="s">
        <v>19</v>
      </c>
      <c r="E17" s="1" t="s">
        <v>44</v>
      </c>
      <c r="F17" s="1">
        <v>3452</v>
      </c>
      <c r="G17" s="1">
        <v>377</v>
      </c>
      <c r="H17" s="1">
        <v>360</v>
      </c>
      <c r="I17" s="1">
        <v>55232</v>
      </c>
      <c r="J17" s="1">
        <v>55075</v>
      </c>
      <c r="K17" s="1">
        <v>87</v>
      </c>
      <c r="L17" s="1" t="s">
        <v>48</v>
      </c>
      <c r="M17" s="1" t="s">
        <v>359</v>
      </c>
      <c r="N17" s="1" t="s">
        <v>359</v>
      </c>
      <c r="O17" s="8" t="s">
        <v>26</v>
      </c>
      <c r="P17" s="15">
        <f>(Table1_14[[#This Row],[Likes]]+Table1_14[[#This Row],[Shares]]+Table1_14[[#This Row],[Comments]])/Table1_14[[#This Row],[Impressions]]</f>
        <v>7.5843713789107758E-2</v>
      </c>
    </row>
    <row r="18" spans="1:16" x14ac:dyDescent="0.3">
      <c r="A18" s="6" t="s">
        <v>59</v>
      </c>
      <c r="B18" s="1" t="s">
        <v>35</v>
      </c>
      <c r="C18" s="7">
        <v>45782</v>
      </c>
      <c r="D18" s="1" t="s">
        <v>19</v>
      </c>
      <c r="E18" s="1" t="s">
        <v>44</v>
      </c>
      <c r="F18" s="1">
        <v>4441</v>
      </c>
      <c r="G18" s="1">
        <v>511</v>
      </c>
      <c r="H18" s="1">
        <v>70</v>
      </c>
      <c r="I18" s="1">
        <v>53292</v>
      </c>
      <c r="J18" s="1">
        <v>53082</v>
      </c>
      <c r="K18" s="1">
        <v>159</v>
      </c>
      <c r="L18" s="1" t="s">
        <v>31</v>
      </c>
      <c r="M18" s="1" t="s">
        <v>359</v>
      </c>
      <c r="N18" s="1" t="s">
        <v>359</v>
      </c>
      <c r="O18" s="8" t="s">
        <v>32</v>
      </c>
      <c r="P18" s="15">
        <f>(Table1_14[[#This Row],[Likes]]+Table1_14[[#This Row],[Shares]]+Table1_14[[#This Row],[Comments]])/Table1_14[[#This Row],[Impressions]]</f>
        <v>9.4235532537716729E-2</v>
      </c>
    </row>
    <row r="19" spans="1:16" x14ac:dyDescent="0.3">
      <c r="A19" s="6" t="s">
        <v>60</v>
      </c>
      <c r="B19" s="1" t="s">
        <v>28</v>
      </c>
      <c r="C19" s="7">
        <v>45523</v>
      </c>
      <c r="D19" s="1" t="s">
        <v>15</v>
      </c>
      <c r="E19" s="1" t="s">
        <v>61</v>
      </c>
      <c r="F19" s="1">
        <v>3000</v>
      </c>
      <c r="G19" s="1">
        <v>382</v>
      </c>
      <c r="H19" s="1">
        <v>325</v>
      </c>
      <c r="I19" s="1">
        <v>36000</v>
      </c>
      <c r="J19" s="1">
        <v>35819</v>
      </c>
      <c r="K19" s="1">
        <v>19</v>
      </c>
      <c r="L19" s="1" t="s">
        <v>48</v>
      </c>
      <c r="M19" s="1" t="s">
        <v>359</v>
      </c>
      <c r="N19" s="1" t="s">
        <v>359</v>
      </c>
      <c r="O19" s="8" t="s">
        <v>17</v>
      </c>
      <c r="P19" s="15">
        <f>(Table1_14[[#This Row],[Likes]]+Table1_14[[#This Row],[Shares]]+Table1_14[[#This Row],[Comments]])/Table1_14[[#This Row],[Impressions]]</f>
        <v>0.10297222222222223</v>
      </c>
    </row>
    <row r="20" spans="1:16" x14ac:dyDescent="0.3">
      <c r="A20" s="6" t="s">
        <v>62</v>
      </c>
      <c r="B20" s="1" t="s">
        <v>28</v>
      </c>
      <c r="C20" s="7">
        <v>45466</v>
      </c>
      <c r="D20" s="1" t="s">
        <v>56</v>
      </c>
      <c r="E20" s="1" t="s">
        <v>63</v>
      </c>
      <c r="F20" s="1">
        <v>1071</v>
      </c>
      <c r="G20" s="1">
        <v>519</v>
      </c>
      <c r="H20" s="1">
        <v>22</v>
      </c>
      <c r="I20" s="1">
        <v>16065</v>
      </c>
      <c r="J20" s="1">
        <v>15865</v>
      </c>
      <c r="K20" s="1">
        <v>103</v>
      </c>
      <c r="L20" s="1" t="s">
        <v>25</v>
      </c>
      <c r="M20" s="1" t="s">
        <v>359</v>
      </c>
      <c r="N20" s="1" t="s">
        <v>359</v>
      </c>
      <c r="O20" s="8" t="s">
        <v>32</v>
      </c>
      <c r="P20" s="15">
        <f>(Table1_14[[#This Row],[Likes]]+Table1_14[[#This Row],[Shares]]+Table1_14[[#This Row],[Comments]])/Table1_14[[#This Row],[Impressions]]</f>
        <v>0.10034235916588857</v>
      </c>
    </row>
    <row r="21" spans="1:16" x14ac:dyDescent="0.3">
      <c r="A21" s="6" t="s">
        <v>64</v>
      </c>
      <c r="B21" s="1" t="s">
        <v>28</v>
      </c>
      <c r="C21" s="7">
        <v>45544</v>
      </c>
      <c r="D21" s="1" t="s">
        <v>36</v>
      </c>
      <c r="E21" s="1" t="s">
        <v>65</v>
      </c>
      <c r="F21" s="1">
        <v>4054</v>
      </c>
      <c r="G21" s="1">
        <v>488</v>
      </c>
      <c r="H21" s="1">
        <v>373</v>
      </c>
      <c r="I21" s="1">
        <v>77026</v>
      </c>
      <c r="J21" s="1">
        <v>76881</v>
      </c>
      <c r="K21" s="1">
        <v>25</v>
      </c>
      <c r="L21" s="1" t="s">
        <v>25</v>
      </c>
      <c r="M21" s="1" t="s">
        <v>359</v>
      </c>
      <c r="N21" s="1" t="s">
        <v>359</v>
      </c>
      <c r="O21" s="8" t="s">
        <v>17</v>
      </c>
      <c r="P21" s="15">
        <f>(Table1_14[[#This Row],[Likes]]+Table1_14[[#This Row],[Shares]]+Table1_14[[#This Row],[Comments]])/Table1_14[[#This Row],[Impressions]]</f>
        <v>6.3809622724794221E-2</v>
      </c>
    </row>
    <row r="22" spans="1:16" x14ac:dyDescent="0.3">
      <c r="A22" s="6" t="s">
        <v>66</v>
      </c>
      <c r="B22" s="1" t="s">
        <v>28</v>
      </c>
      <c r="C22" s="7">
        <v>45661</v>
      </c>
      <c r="D22" s="1" t="s">
        <v>15</v>
      </c>
      <c r="E22" s="1" t="s">
        <v>61</v>
      </c>
      <c r="F22" s="1">
        <v>4838</v>
      </c>
      <c r="G22" s="1">
        <v>640</v>
      </c>
      <c r="H22" s="1">
        <v>128</v>
      </c>
      <c r="I22" s="1">
        <v>72570</v>
      </c>
      <c r="J22" s="1">
        <v>72396</v>
      </c>
      <c r="K22" s="1">
        <v>83</v>
      </c>
      <c r="L22" s="1" t="s">
        <v>48</v>
      </c>
      <c r="M22" s="1" t="s">
        <v>359</v>
      </c>
      <c r="N22" s="1" t="s">
        <v>359</v>
      </c>
      <c r="O22" s="8" t="s">
        <v>32</v>
      </c>
      <c r="P22" s="15">
        <f>(Table1_14[[#This Row],[Likes]]+Table1_14[[#This Row],[Shares]]+Table1_14[[#This Row],[Comments]])/Table1_14[[#This Row],[Impressions]]</f>
        <v>7.7249552156538517E-2</v>
      </c>
    </row>
    <row r="23" spans="1:16" x14ac:dyDescent="0.3">
      <c r="A23" s="6" t="s">
        <v>67</v>
      </c>
      <c r="B23" s="1" t="s">
        <v>35</v>
      </c>
      <c r="C23" s="7">
        <v>45715</v>
      </c>
      <c r="D23" s="1" t="s">
        <v>19</v>
      </c>
      <c r="E23" s="1" t="s">
        <v>44</v>
      </c>
      <c r="F23" s="1">
        <v>1570</v>
      </c>
      <c r="G23" s="1">
        <v>187</v>
      </c>
      <c r="H23" s="1">
        <v>260</v>
      </c>
      <c r="I23" s="1">
        <v>25120</v>
      </c>
      <c r="J23" s="1">
        <v>24613</v>
      </c>
      <c r="K23" s="1">
        <v>133</v>
      </c>
      <c r="L23" s="1" t="s">
        <v>25</v>
      </c>
      <c r="M23" s="1" t="s">
        <v>359</v>
      </c>
      <c r="N23" s="1" t="s">
        <v>359</v>
      </c>
      <c r="O23" s="8" t="s">
        <v>32</v>
      </c>
      <c r="P23" s="15">
        <f>(Table1_14[[#This Row],[Likes]]+Table1_14[[#This Row],[Shares]]+Table1_14[[#This Row],[Comments]])/Table1_14[[#This Row],[Impressions]]</f>
        <v>8.0294585987261149E-2</v>
      </c>
    </row>
    <row r="24" spans="1:16" x14ac:dyDescent="0.3">
      <c r="A24" s="6" t="s">
        <v>68</v>
      </c>
      <c r="B24" s="1" t="s">
        <v>35</v>
      </c>
      <c r="C24" s="7">
        <v>45602</v>
      </c>
      <c r="D24" s="1" t="s">
        <v>56</v>
      </c>
      <c r="E24" s="1" t="s">
        <v>57</v>
      </c>
      <c r="F24" s="1">
        <v>1606</v>
      </c>
      <c r="G24" s="1">
        <v>547</v>
      </c>
      <c r="H24" s="1">
        <v>316</v>
      </c>
      <c r="I24" s="1">
        <v>32120</v>
      </c>
      <c r="J24" s="1">
        <v>31736</v>
      </c>
      <c r="K24" s="1">
        <v>225</v>
      </c>
      <c r="L24" s="1" t="s">
        <v>25</v>
      </c>
      <c r="M24" s="1" t="s">
        <v>354</v>
      </c>
      <c r="N24" s="1" t="s">
        <v>359</v>
      </c>
      <c r="O24" s="8" t="s">
        <v>21</v>
      </c>
      <c r="P24" s="15">
        <f>(Table1_14[[#This Row],[Likes]]+Table1_14[[#This Row],[Shares]]+Table1_14[[#This Row],[Comments]])/Table1_14[[#This Row],[Impressions]]</f>
        <v>7.6867995018679955E-2</v>
      </c>
    </row>
    <row r="25" spans="1:16" x14ac:dyDescent="0.3">
      <c r="A25" s="6" t="s">
        <v>69</v>
      </c>
      <c r="B25" s="1" t="s">
        <v>35</v>
      </c>
      <c r="C25" s="7">
        <v>45680</v>
      </c>
      <c r="D25" s="1" t="s">
        <v>56</v>
      </c>
      <c r="E25" s="1" t="s">
        <v>57</v>
      </c>
      <c r="F25" s="1">
        <v>3961</v>
      </c>
      <c r="G25" s="1">
        <v>761</v>
      </c>
      <c r="H25" s="1">
        <v>131</v>
      </c>
      <c r="I25" s="1">
        <v>67337</v>
      </c>
      <c r="J25" s="1">
        <v>66615</v>
      </c>
      <c r="K25" s="1">
        <v>161</v>
      </c>
      <c r="L25" s="1" t="s">
        <v>48</v>
      </c>
      <c r="M25" s="1" t="s">
        <v>359</v>
      </c>
      <c r="N25" s="1" t="s">
        <v>359</v>
      </c>
      <c r="O25" s="8" t="s">
        <v>26</v>
      </c>
      <c r="P25" s="15">
        <f>(Table1_14[[#This Row],[Likes]]+Table1_14[[#This Row],[Shares]]+Table1_14[[#This Row],[Comments]])/Table1_14[[#This Row],[Impressions]]</f>
        <v>7.2070332803659209E-2</v>
      </c>
    </row>
    <row r="26" spans="1:16" x14ac:dyDescent="0.3">
      <c r="A26" s="6" t="s">
        <v>70</v>
      </c>
      <c r="B26" s="1" t="s">
        <v>14</v>
      </c>
      <c r="C26" s="7">
        <v>45757</v>
      </c>
      <c r="D26" s="1" t="s">
        <v>36</v>
      </c>
      <c r="E26" s="1" t="s">
        <v>39</v>
      </c>
      <c r="F26" s="1">
        <v>3128</v>
      </c>
      <c r="G26" s="1">
        <v>211</v>
      </c>
      <c r="H26" s="1">
        <v>197</v>
      </c>
      <c r="I26" s="1">
        <v>59432</v>
      </c>
      <c r="J26" s="1">
        <v>59182</v>
      </c>
      <c r="K26" s="1">
        <v>238</v>
      </c>
      <c r="L26" s="1" t="s">
        <v>31</v>
      </c>
      <c r="M26" s="1" t="s">
        <v>359</v>
      </c>
      <c r="N26" s="1" t="s">
        <v>359</v>
      </c>
      <c r="O26" s="8" t="s">
        <v>360</v>
      </c>
      <c r="P26" s="15">
        <f>(Table1_14[[#This Row],[Likes]]+Table1_14[[#This Row],[Shares]]+Table1_14[[#This Row],[Comments]])/Table1_14[[#This Row],[Impressions]]</f>
        <v>5.9496567505720827E-2</v>
      </c>
    </row>
    <row r="27" spans="1:16" x14ac:dyDescent="0.3">
      <c r="A27" s="6" t="s">
        <v>71</v>
      </c>
      <c r="B27" s="1" t="s">
        <v>23</v>
      </c>
      <c r="C27" s="7">
        <v>45752</v>
      </c>
      <c r="D27" s="1" t="s">
        <v>15</v>
      </c>
      <c r="E27" s="1" t="s">
        <v>24</v>
      </c>
      <c r="F27" s="1">
        <v>3009</v>
      </c>
      <c r="G27" s="1">
        <v>413</v>
      </c>
      <c r="H27" s="1">
        <v>358</v>
      </c>
      <c r="I27" s="1">
        <v>42126</v>
      </c>
      <c r="J27" s="1">
        <v>41309</v>
      </c>
      <c r="K27" s="1">
        <v>211</v>
      </c>
      <c r="L27" s="1" t="s">
        <v>48</v>
      </c>
      <c r="M27" s="1" t="s">
        <v>359</v>
      </c>
      <c r="N27" s="1" t="s">
        <v>359</v>
      </c>
      <c r="O27" s="8" t="s">
        <v>21</v>
      </c>
      <c r="P27" s="15">
        <f>(Table1_14[[#This Row],[Likes]]+Table1_14[[#This Row],[Shares]]+Table1_14[[#This Row],[Comments]])/Table1_14[[#This Row],[Impressions]]</f>
        <v>8.9730807577268201E-2</v>
      </c>
    </row>
    <row r="28" spans="1:16" x14ac:dyDescent="0.3">
      <c r="A28" s="6" t="s">
        <v>72</v>
      </c>
      <c r="B28" s="1" t="s">
        <v>23</v>
      </c>
      <c r="C28" s="7">
        <v>45552</v>
      </c>
      <c r="D28" s="1" t="s">
        <v>19</v>
      </c>
      <c r="E28" s="1" t="s">
        <v>73</v>
      </c>
      <c r="F28" s="1">
        <v>2076</v>
      </c>
      <c r="G28" s="1">
        <v>195</v>
      </c>
      <c r="H28" s="1">
        <v>104</v>
      </c>
      <c r="I28" s="1">
        <v>33216</v>
      </c>
      <c r="J28" s="1">
        <v>32244</v>
      </c>
      <c r="K28" s="1">
        <v>51</v>
      </c>
      <c r="L28" s="1" t="s">
        <v>48</v>
      </c>
      <c r="M28" s="1" t="s">
        <v>359</v>
      </c>
      <c r="N28" s="1" t="s">
        <v>359</v>
      </c>
      <c r="O28" s="8" t="s">
        <v>32</v>
      </c>
      <c r="P28" s="15">
        <f>(Table1_14[[#This Row],[Likes]]+Table1_14[[#This Row],[Shares]]+Table1_14[[#This Row],[Comments]])/Table1_14[[#This Row],[Impressions]]</f>
        <v>7.1501685934489398E-2</v>
      </c>
    </row>
    <row r="29" spans="1:16" x14ac:dyDescent="0.3">
      <c r="A29" s="6" t="s">
        <v>74</v>
      </c>
      <c r="B29" s="1" t="s">
        <v>28</v>
      </c>
      <c r="C29" s="7">
        <v>45720</v>
      </c>
      <c r="D29" s="1" t="s">
        <v>56</v>
      </c>
      <c r="E29" s="1" t="s">
        <v>63</v>
      </c>
      <c r="F29" s="1">
        <v>432</v>
      </c>
      <c r="G29" s="1">
        <v>624</v>
      </c>
      <c r="H29" s="1">
        <v>123</v>
      </c>
      <c r="I29" s="1">
        <v>6912</v>
      </c>
      <c r="J29" s="1">
        <v>6259</v>
      </c>
      <c r="K29" s="1">
        <v>79</v>
      </c>
      <c r="L29" s="1" t="s">
        <v>48</v>
      </c>
      <c r="M29" s="1" t="s">
        <v>359</v>
      </c>
      <c r="N29" s="1" t="s">
        <v>359</v>
      </c>
      <c r="O29" s="8" t="s">
        <v>32</v>
      </c>
      <c r="P29" s="15">
        <f>(Table1_14[[#This Row],[Likes]]+Table1_14[[#This Row],[Shares]]+Table1_14[[#This Row],[Comments]])/Table1_14[[#This Row],[Impressions]]</f>
        <v>0.17057291666666666</v>
      </c>
    </row>
    <row r="30" spans="1:16" x14ac:dyDescent="0.3">
      <c r="A30" s="6" t="s">
        <v>75</v>
      </c>
      <c r="B30" s="1" t="s">
        <v>28</v>
      </c>
      <c r="C30" s="7">
        <v>45688</v>
      </c>
      <c r="D30" s="1" t="s">
        <v>36</v>
      </c>
      <c r="E30" s="1" t="s">
        <v>65</v>
      </c>
      <c r="F30" s="1">
        <v>2566</v>
      </c>
      <c r="G30" s="1">
        <v>118</v>
      </c>
      <c r="H30" s="1">
        <v>37</v>
      </c>
      <c r="I30" s="1">
        <v>12830</v>
      </c>
      <c r="J30" s="1">
        <v>12264</v>
      </c>
      <c r="K30" s="1">
        <v>221</v>
      </c>
      <c r="L30" s="1" t="s">
        <v>48</v>
      </c>
      <c r="M30" s="1" t="s">
        <v>359</v>
      </c>
      <c r="N30" s="1" t="s">
        <v>359</v>
      </c>
      <c r="O30" s="8" t="s">
        <v>26</v>
      </c>
      <c r="P30" s="15">
        <f>(Table1_14[[#This Row],[Likes]]+Table1_14[[#This Row],[Shares]]+Table1_14[[#This Row],[Comments]])/Table1_14[[#This Row],[Impressions]]</f>
        <v>0.21208106001558846</v>
      </c>
    </row>
    <row r="31" spans="1:16" x14ac:dyDescent="0.3">
      <c r="A31" s="6" t="s">
        <v>76</v>
      </c>
      <c r="B31" s="1" t="s">
        <v>28</v>
      </c>
      <c r="C31" s="7">
        <v>45713</v>
      </c>
      <c r="D31" s="1" t="s">
        <v>56</v>
      </c>
      <c r="E31" s="1" t="s">
        <v>63</v>
      </c>
      <c r="F31" s="1">
        <v>3095</v>
      </c>
      <c r="G31" s="1">
        <v>39</v>
      </c>
      <c r="H31" s="1">
        <v>78</v>
      </c>
      <c r="I31" s="1">
        <v>55710</v>
      </c>
      <c r="J31" s="1">
        <v>54808</v>
      </c>
      <c r="K31" s="1">
        <v>93</v>
      </c>
      <c r="L31" s="1" t="s">
        <v>31</v>
      </c>
      <c r="M31" s="1" t="s">
        <v>359</v>
      </c>
      <c r="N31" s="1" t="s">
        <v>359</v>
      </c>
      <c r="O31" s="8" t="s">
        <v>360</v>
      </c>
      <c r="P31" s="15">
        <f>(Table1_14[[#This Row],[Likes]]+Table1_14[[#This Row],[Shares]]+Table1_14[[#This Row],[Comments]])/Table1_14[[#This Row],[Impressions]]</f>
        <v>5.7655717106444085E-2</v>
      </c>
    </row>
    <row r="32" spans="1:16" x14ac:dyDescent="0.3">
      <c r="A32" s="6" t="s">
        <v>77</v>
      </c>
      <c r="B32" s="1" t="s">
        <v>28</v>
      </c>
      <c r="C32" s="7">
        <v>45642</v>
      </c>
      <c r="D32" s="1" t="s">
        <v>19</v>
      </c>
      <c r="E32" s="1" t="s">
        <v>78</v>
      </c>
      <c r="F32" s="1">
        <v>438</v>
      </c>
      <c r="G32" s="1">
        <v>153</v>
      </c>
      <c r="H32" s="1">
        <v>275</v>
      </c>
      <c r="I32" s="1">
        <v>3066</v>
      </c>
      <c r="J32" s="1">
        <v>2701</v>
      </c>
      <c r="K32" s="1">
        <v>282</v>
      </c>
      <c r="L32" s="1" t="s">
        <v>25</v>
      </c>
      <c r="M32" s="1" t="s">
        <v>359</v>
      </c>
      <c r="N32" s="1" t="s">
        <v>359</v>
      </c>
      <c r="O32" s="8" t="s">
        <v>21</v>
      </c>
      <c r="P32" s="15">
        <f>(Table1_14[[#This Row],[Likes]]+Table1_14[[#This Row],[Shares]]+Table1_14[[#This Row],[Comments]])/Table1_14[[#This Row],[Impressions]]</f>
        <v>0.28245270711024134</v>
      </c>
    </row>
    <row r="33" spans="1:16" x14ac:dyDescent="0.3">
      <c r="A33" s="6" t="s">
        <v>79</v>
      </c>
      <c r="B33" s="1" t="s">
        <v>14</v>
      </c>
      <c r="C33" s="7">
        <v>45504</v>
      </c>
      <c r="D33" s="1" t="s">
        <v>36</v>
      </c>
      <c r="E33" s="1" t="s">
        <v>39</v>
      </c>
      <c r="F33" s="1">
        <v>2278</v>
      </c>
      <c r="G33" s="1">
        <v>10</v>
      </c>
      <c r="H33" s="1">
        <v>321</v>
      </c>
      <c r="I33" s="1">
        <v>13668</v>
      </c>
      <c r="J33" s="1">
        <v>12676</v>
      </c>
      <c r="K33" s="1">
        <v>275</v>
      </c>
      <c r="L33" s="1" t="s">
        <v>31</v>
      </c>
      <c r="M33" s="1" t="s">
        <v>359</v>
      </c>
      <c r="N33" s="1" t="s">
        <v>359</v>
      </c>
      <c r="O33" s="8" t="s">
        <v>17</v>
      </c>
      <c r="P33" s="15">
        <f>(Table1_14[[#This Row],[Likes]]+Table1_14[[#This Row],[Shares]]+Table1_14[[#This Row],[Comments]])/Table1_14[[#This Row],[Impressions]]</f>
        <v>0.19088381621305239</v>
      </c>
    </row>
    <row r="34" spans="1:16" x14ac:dyDescent="0.3">
      <c r="A34" s="6" t="s">
        <v>80</v>
      </c>
      <c r="B34" s="1" t="s">
        <v>35</v>
      </c>
      <c r="C34" s="7">
        <v>45525</v>
      </c>
      <c r="D34" s="1" t="s">
        <v>41</v>
      </c>
      <c r="E34" s="1" t="s">
        <v>46</v>
      </c>
      <c r="F34" s="1">
        <v>1407</v>
      </c>
      <c r="G34" s="1">
        <v>400</v>
      </c>
      <c r="H34" s="1">
        <v>351</v>
      </c>
      <c r="I34" s="1">
        <v>16884</v>
      </c>
      <c r="J34" s="1">
        <v>15954</v>
      </c>
      <c r="K34" s="1">
        <v>113</v>
      </c>
      <c r="L34" s="1" t="s">
        <v>25</v>
      </c>
      <c r="M34" s="1" t="s">
        <v>359</v>
      </c>
      <c r="N34" s="1" t="s">
        <v>359</v>
      </c>
      <c r="O34" s="8" t="s">
        <v>17</v>
      </c>
      <c r="P34" s="15">
        <f>(Table1_14[[#This Row],[Likes]]+Table1_14[[#This Row],[Shares]]+Table1_14[[#This Row],[Comments]])/Table1_14[[#This Row],[Impressions]]</f>
        <v>0.12781331438047855</v>
      </c>
    </row>
    <row r="35" spans="1:16" x14ac:dyDescent="0.3">
      <c r="A35" s="6" t="s">
        <v>81</v>
      </c>
      <c r="B35" s="1" t="s">
        <v>35</v>
      </c>
      <c r="C35" s="7">
        <v>45742</v>
      </c>
      <c r="D35" s="1" t="s">
        <v>19</v>
      </c>
      <c r="E35" s="1" t="s">
        <v>44</v>
      </c>
      <c r="F35" s="1">
        <v>1652</v>
      </c>
      <c r="G35" s="1">
        <v>89</v>
      </c>
      <c r="H35" s="1">
        <v>357</v>
      </c>
      <c r="I35" s="1">
        <v>29736</v>
      </c>
      <c r="J35" s="1">
        <v>28771</v>
      </c>
      <c r="K35" s="1">
        <v>215</v>
      </c>
      <c r="L35" s="1" t="s">
        <v>25</v>
      </c>
      <c r="M35" s="1" t="s">
        <v>359</v>
      </c>
      <c r="N35" s="1" t="s">
        <v>359</v>
      </c>
      <c r="O35" s="8" t="s">
        <v>26</v>
      </c>
      <c r="P35" s="15">
        <f>(Table1_14[[#This Row],[Likes]]+Table1_14[[#This Row],[Shares]]+Table1_14[[#This Row],[Comments]])/Table1_14[[#This Row],[Impressions]]</f>
        <v>7.055421038471886E-2</v>
      </c>
    </row>
    <row r="36" spans="1:16" x14ac:dyDescent="0.3">
      <c r="A36" s="6" t="s">
        <v>82</v>
      </c>
      <c r="B36" s="1" t="s">
        <v>28</v>
      </c>
      <c r="C36" s="7">
        <v>45626</v>
      </c>
      <c r="D36" s="1" t="s">
        <v>56</v>
      </c>
      <c r="E36" s="1" t="s">
        <v>63</v>
      </c>
      <c r="F36" s="1">
        <v>3775</v>
      </c>
      <c r="G36" s="1">
        <v>16</v>
      </c>
      <c r="H36" s="1">
        <v>239</v>
      </c>
      <c r="I36" s="1">
        <v>33975</v>
      </c>
      <c r="J36" s="1">
        <v>33310</v>
      </c>
      <c r="K36" s="1">
        <v>271</v>
      </c>
      <c r="L36" s="1" t="s">
        <v>48</v>
      </c>
      <c r="M36" s="1" t="s">
        <v>359</v>
      </c>
      <c r="N36" s="1" t="s">
        <v>359</v>
      </c>
      <c r="O36" s="8" t="s">
        <v>21</v>
      </c>
      <c r="P36" s="15">
        <f>(Table1_14[[#This Row],[Likes]]+Table1_14[[#This Row],[Shares]]+Table1_14[[#This Row],[Comments]])/Table1_14[[#This Row],[Impressions]]</f>
        <v>0.11861662987490802</v>
      </c>
    </row>
    <row r="37" spans="1:16" x14ac:dyDescent="0.3">
      <c r="A37" s="6" t="s">
        <v>83</v>
      </c>
      <c r="B37" s="1" t="s">
        <v>28</v>
      </c>
      <c r="C37" s="7">
        <v>45766</v>
      </c>
      <c r="D37" s="1" t="s">
        <v>29</v>
      </c>
      <c r="E37" s="1" t="s">
        <v>30</v>
      </c>
      <c r="F37" s="1">
        <v>4518</v>
      </c>
      <c r="G37" s="1">
        <v>285</v>
      </c>
      <c r="H37" s="1">
        <v>383</v>
      </c>
      <c r="I37" s="1">
        <v>67770</v>
      </c>
      <c r="J37" s="1">
        <v>67621</v>
      </c>
      <c r="K37" s="1">
        <v>31</v>
      </c>
      <c r="L37" s="1" t="s">
        <v>31</v>
      </c>
      <c r="M37" s="1" t="s">
        <v>359</v>
      </c>
      <c r="N37" s="1" t="s">
        <v>359</v>
      </c>
      <c r="O37" s="8" t="s">
        <v>21</v>
      </c>
      <c r="P37" s="15">
        <f>(Table1_14[[#This Row],[Likes]]+Table1_14[[#This Row],[Shares]]+Table1_14[[#This Row],[Comments]])/Table1_14[[#This Row],[Impressions]]</f>
        <v>7.6523535487678915E-2</v>
      </c>
    </row>
    <row r="38" spans="1:16" x14ac:dyDescent="0.3">
      <c r="A38" s="6" t="s">
        <v>84</v>
      </c>
      <c r="B38" s="1" t="s">
        <v>35</v>
      </c>
      <c r="C38" s="7">
        <v>45663</v>
      </c>
      <c r="D38" s="1" t="s">
        <v>36</v>
      </c>
      <c r="E38" s="1" t="s">
        <v>37</v>
      </c>
      <c r="F38" s="1">
        <v>3024</v>
      </c>
      <c r="G38" s="1">
        <v>925</v>
      </c>
      <c r="H38" s="1">
        <v>350</v>
      </c>
      <c r="I38" s="1">
        <v>24192</v>
      </c>
      <c r="J38" s="1">
        <v>23518</v>
      </c>
      <c r="K38" s="1">
        <v>36</v>
      </c>
      <c r="L38" s="1" t="s">
        <v>31</v>
      </c>
      <c r="M38" s="1" t="s">
        <v>359</v>
      </c>
      <c r="N38" s="1" t="s">
        <v>359</v>
      </c>
      <c r="O38" s="8" t="s">
        <v>21</v>
      </c>
      <c r="P38" s="15">
        <f>(Table1_14[[#This Row],[Likes]]+Table1_14[[#This Row],[Shares]]+Table1_14[[#This Row],[Comments]])/Table1_14[[#This Row],[Impressions]]</f>
        <v>0.17770337301587302</v>
      </c>
    </row>
    <row r="39" spans="1:16" x14ac:dyDescent="0.3">
      <c r="A39" s="6" t="s">
        <v>85</v>
      </c>
      <c r="B39" s="1" t="s">
        <v>23</v>
      </c>
      <c r="C39" s="7">
        <v>45705</v>
      </c>
      <c r="D39" s="1" t="s">
        <v>15</v>
      </c>
      <c r="E39" s="1" t="s">
        <v>24</v>
      </c>
      <c r="F39" s="1">
        <v>3138</v>
      </c>
      <c r="G39" s="1">
        <v>123</v>
      </c>
      <c r="H39" s="1">
        <v>291</v>
      </c>
      <c r="I39" s="1">
        <v>28242</v>
      </c>
      <c r="J39" s="1">
        <v>27550</v>
      </c>
      <c r="K39" s="1">
        <v>87</v>
      </c>
      <c r="L39" s="1" t="s">
        <v>25</v>
      </c>
      <c r="M39" s="1" t="s">
        <v>359</v>
      </c>
      <c r="N39" s="1" t="s">
        <v>359</v>
      </c>
      <c r="O39" s="8" t="s">
        <v>32</v>
      </c>
      <c r="P39" s="15">
        <f>(Table1_14[[#This Row],[Likes]]+Table1_14[[#This Row],[Shares]]+Table1_14[[#This Row],[Comments]])/Table1_14[[#This Row],[Impressions]]</f>
        <v>0.12577012959422137</v>
      </c>
    </row>
    <row r="40" spans="1:16" x14ac:dyDescent="0.3">
      <c r="A40" s="6" t="s">
        <v>86</v>
      </c>
      <c r="B40" s="1" t="s">
        <v>35</v>
      </c>
      <c r="C40" s="7">
        <v>45621</v>
      </c>
      <c r="D40" s="1" t="s">
        <v>41</v>
      </c>
      <c r="E40" s="1" t="s">
        <v>46</v>
      </c>
      <c r="F40" s="1">
        <v>3564</v>
      </c>
      <c r="G40" s="1">
        <v>629</v>
      </c>
      <c r="H40" s="1">
        <v>177</v>
      </c>
      <c r="I40" s="1">
        <v>60588</v>
      </c>
      <c r="J40" s="1">
        <v>59627</v>
      </c>
      <c r="K40" s="1">
        <v>92</v>
      </c>
      <c r="L40" s="1" t="s">
        <v>25</v>
      </c>
      <c r="M40" s="1" t="s">
        <v>359</v>
      </c>
      <c r="N40" s="1" t="s">
        <v>359</v>
      </c>
      <c r="O40" s="8" t="s">
        <v>360</v>
      </c>
      <c r="P40" s="15">
        <f>(Table1_14[[#This Row],[Likes]]+Table1_14[[#This Row],[Shares]]+Table1_14[[#This Row],[Comments]])/Table1_14[[#This Row],[Impressions]]</f>
        <v>7.2126493695121141E-2</v>
      </c>
    </row>
    <row r="41" spans="1:16" x14ac:dyDescent="0.3">
      <c r="A41" s="6" t="s">
        <v>87</v>
      </c>
      <c r="B41" s="1" t="s">
        <v>14</v>
      </c>
      <c r="C41" s="7">
        <v>45723</v>
      </c>
      <c r="D41" s="1" t="s">
        <v>41</v>
      </c>
      <c r="E41" s="1" t="s">
        <v>88</v>
      </c>
      <c r="F41" s="1">
        <v>4750</v>
      </c>
      <c r="G41" s="1">
        <v>151</v>
      </c>
      <c r="H41" s="1">
        <v>415</v>
      </c>
      <c r="I41" s="1">
        <v>38000</v>
      </c>
      <c r="J41" s="1">
        <v>37792</v>
      </c>
      <c r="K41" s="1">
        <v>299</v>
      </c>
      <c r="L41" s="1" t="s">
        <v>31</v>
      </c>
      <c r="M41" s="1" t="s">
        <v>359</v>
      </c>
      <c r="N41" s="1" t="s">
        <v>359</v>
      </c>
      <c r="O41" s="8" t="s">
        <v>32</v>
      </c>
      <c r="P41" s="15">
        <f>(Table1_14[[#This Row],[Likes]]+Table1_14[[#This Row],[Shares]]+Table1_14[[#This Row],[Comments]])/Table1_14[[#This Row],[Impressions]]</f>
        <v>0.13989473684210527</v>
      </c>
    </row>
    <row r="42" spans="1:16" x14ac:dyDescent="0.3">
      <c r="A42" s="6" t="s">
        <v>89</v>
      </c>
      <c r="B42" s="1" t="s">
        <v>28</v>
      </c>
      <c r="C42" s="7">
        <v>45724</v>
      </c>
      <c r="D42" s="1" t="s">
        <v>15</v>
      </c>
      <c r="E42" s="1" t="s">
        <v>61</v>
      </c>
      <c r="F42" s="1">
        <v>456</v>
      </c>
      <c r="G42" s="1">
        <v>629</v>
      </c>
      <c r="H42" s="1">
        <v>428</v>
      </c>
      <c r="I42" s="1">
        <v>8208</v>
      </c>
      <c r="J42" s="1">
        <v>7377</v>
      </c>
      <c r="K42" s="1">
        <v>205</v>
      </c>
      <c r="L42" s="1" t="s">
        <v>48</v>
      </c>
      <c r="M42" s="1" t="s">
        <v>359</v>
      </c>
      <c r="N42" s="1" t="s">
        <v>359</v>
      </c>
      <c r="O42" s="8" t="s">
        <v>32</v>
      </c>
      <c r="P42" s="15">
        <f>(Table1_14[[#This Row],[Likes]]+Table1_14[[#This Row],[Shares]]+Table1_14[[#This Row],[Comments]])/Table1_14[[#This Row],[Impressions]]</f>
        <v>0.18433235867446393</v>
      </c>
    </row>
    <row r="43" spans="1:16" x14ac:dyDescent="0.3">
      <c r="A43" s="6" t="s">
        <v>90</v>
      </c>
      <c r="B43" s="1" t="s">
        <v>23</v>
      </c>
      <c r="C43" s="7">
        <v>45721</v>
      </c>
      <c r="D43" s="1" t="s">
        <v>15</v>
      </c>
      <c r="E43" s="1" t="s">
        <v>24</v>
      </c>
      <c r="F43" s="1">
        <v>1543</v>
      </c>
      <c r="G43" s="1">
        <v>820</v>
      </c>
      <c r="H43" s="1">
        <v>333</v>
      </c>
      <c r="I43" s="1">
        <v>12344</v>
      </c>
      <c r="J43" s="1">
        <v>11496</v>
      </c>
      <c r="K43" s="1">
        <v>241</v>
      </c>
      <c r="L43" s="1" t="s">
        <v>31</v>
      </c>
      <c r="M43" s="1" t="s">
        <v>359</v>
      </c>
      <c r="N43" s="1" t="s">
        <v>359</v>
      </c>
      <c r="O43" s="8" t="s">
        <v>360</v>
      </c>
      <c r="P43" s="15">
        <f>(Table1_14[[#This Row],[Likes]]+Table1_14[[#This Row],[Shares]]+Table1_14[[#This Row],[Comments]])/Table1_14[[#This Row],[Impressions]]</f>
        <v>0.21840570317563188</v>
      </c>
    </row>
    <row r="44" spans="1:16" x14ac:dyDescent="0.3">
      <c r="A44" s="6" t="s">
        <v>91</v>
      </c>
      <c r="B44" s="1" t="s">
        <v>28</v>
      </c>
      <c r="C44" s="7">
        <v>45640</v>
      </c>
      <c r="D44" s="1" t="s">
        <v>36</v>
      </c>
      <c r="E44" s="1" t="s">
        <v>65</v>
      </c>
      <c r="F44" s="1">
        <v>2174</v>
      </c>
      <c r="G44" s="1">
        <v>658</v>
      </c>
      <c r="H44" s="1">
        <v>15</v>
      </c>
      <c r="I44" s="1">
        <v>13044</v>
      </c>
      <c r="J44" s="1">
        <v>12206</v>
      </c>
      <c r="K44" s="1">
        <v>137</v>
      </c>
      <c r="L44" s="1" t="s">
        <v>25</v>
      </c>
      <c r="M44" s="1" t="s">
        <v>359</v>
      </c>
      <c r="N44" s="1" t="s">
        <v>359</v>
      </c>
      <c r="O44" s="8" t="s">
        <v>26</v>
      </c>
      <c r="P44" s="15">
        <f>(Table1_14[[#This Row],[Likes]]+Table1_14[[#This Row],[Shares]]+Table1_14[[#This Row],[Comments]])/Table1_14[[#This Row],[Impressions]]</f>
        <v>0.21826126954921804</v>
      </c>
    </row>
    <row r="45" spans="1:16" x14ac:dyDescent="0.3">
      <c r="A45" s="6" t="s">
        <v>92</v>
      </c>
      <c r="B45" s="1" t="s">
        <v>14</v>
      </c>
      <c r="C45" s="7">
        <v>45718</v>
      </c>
      <c r="D45" s="1" t="s">
        <v>41</v>
      </c>
      <c r="E45" s="1" t="s">
        <v>88</v>
      </c>
      <c r="F45" s="1">
        <v>2358</v>
      </c>
      <c r="G45" s="1">
        <v>784</v>
      </c>
      <c r="H45" s="1">
        <v>344</v>
      </c>
      <c r="I45" s="1">
        <v>35370</v>
      </c>
      <c r="J45" s="1">
        <v>34475</v>
      </c>
      <c r="K45" s="1">
        <v>216</v>
      </c>
      <c r="L45" s="1" t="s">
        <v>25</v>
      </c>
      <c r="M45" s="1" t="s">
        <v>359</v>
      </c>
      <c r="N45" s="1" t="s">
        <v>359</v>
      </c>
      <c r="O45" s="8" t="s">
        <v>360</v>
      </c>
      <c r="P45" s="15">
        <f>(Table1_14[[#This Row],[Likes]]+Table1_14[[#This Row],[Shares]]+Table1_14[[#This Row],[Comments]])/Table1_14[[#This Row],[Impressions]]</f>
        <v>9.8558100084817649E-2</v>
      </c>
    </row>
    <row r="46" spans="1:16" x14ac:dyDescent="0.3">
      <c r="A46" s="6" t="s">
        <v>93</v>
      </c>
      <c r="B46" s="1" t="s">
        <v>35</v>
      </c>
      <c r="C46" s="7">
        <v>45597</v>
      </c>
      <c r="D46" s="1" t="s">
        <v>56</v>
      </c>
      <c r="E46" s="1" t="s">
        <v>57</v>
      </c>
      <c r="F46" s="1">
        <v>3371</v>
      </c>
      <c r="G46" s="1">
        <v>106</v>
      </c>
      <c r="H46" s="1">
        <v>327</v>
      </c>
      <c r="I46" s="1">
        <v>50565</v>
      </c>
      <c r="J46" s="1">
        <v>49816</v>
      </c>
      <c r="K46" s="1">
        <v>176</v>
      </c>
      <c r="L46" s="1" t="s">
        <v>48</v>
      </c>
      <c r="M46" s="1" t="s">
        <v>359</v>
      </c>
      <c r="N46" s="1" t="s">
        <v>359</v>
      </c>
      <c r="O46" s="8" t="s">
        <v>17</v>
      </c>
      <c r="P46" s="15">
        <f>(Table1_14[[#This Row],[Likes]]+Table1_14[[#This Row],[Shares]]+Table1_14[[#This Row],[Comments]])/Table1_14[[#This Row],[Impressions]]</f>
        <v>7.5229902106199939E-2</v>
      </c>
    </row>
    <row r="47" spans="1:16" x14ac:dyDescent="0.3">
      <c r="A47" s="6" t="s">
        <v>94</v>
      </c>
      <c r="B47" s="1" t="s">
        <v>14</v>
      </c>
      <c r="C47" s="7">
        <v>45779</v>
      </c>
      <c r="D47" s="1" t="s">
        <v>56</v>
      </c>
      <c r="E47" s="1" t="s">
        <v>95</v>
      </c>
      <c r="F47" s="1">
        <v>1108</v>
      </c>
      <c r="G47" s="1">
        <v>177</v>
      </c>
      <c r="H47" s="1">
        <v>212</v>
      </c>
      <c r="I47" s="1">
        <v>8864</v>
      </c>
      <c r="J47" s="1">
        <v>8710</v>
      </c>
      <c r="K47" s="1">
        <v>97</v>
      </c>
      <c r="L47" s="1" t="s">
        <v>25</v>
      </c>
      <c r="M47" s="1" t="s">
        <v>359</v>
      </c>
      <c r="N47" s="1" t="s">
        <v>359</v>
      </c>
      <c r="O47" s="8" t="s">
        <v>32</v>
      </c>
      <c r="P47" s="15">
        <f>(Table1_14[[#This Row],[Likes]]+Table1_14[[#This Row],[Shares]]+Table1_14[[#This Row],[Comments]])/Table1_14[[#This Row],[Impressions]]</f>
        <v>0.16888537906137185</v>
      </c>
    </row>
    <row r="48" spans="1:16" x14ac:dyDescent="0.3">
      <c r="A48" s="6" t="s">
        <v>96</v>
      </c>
      <c r="B48" s="1" t="s">
        <v>14</v>
      </c>
      <c r="C48" s="7">
        <v>45712</v>
      </c>
      <c r="D48" s="1" t="s">
        <v>36</v>
      </c>
      <c r="E48" s="1" t="s">
        <v>39</v>
      </c>
      <c r="F48" s="1">
        <v>2704</v>
      </c>
      <c r="G48" s="1">
        <v>752</v>
      </c>
      <c r="H48" s="1">
        <v>153</v>
      </c>
      <c r="I48" s="1">
        <v>21632</v>
      </c>
      <c r="J48" s="1">
        <v>20792</v>
      </c>
      <c r="K48" s="1">
        <v>127</v>
      </c>
      <c r="L48" s="1" t="s">
        <v>48</v>
      </c>
      <c r="M48" s="1" t="s">
        <v>359</v>
      </c>
      <c r="N48" s="1" t="s">
        <v>359</v>
      </c>
      <c r="O48" s="8" t="s">
        <v>360</v>
      </c>
      <c r="P48" s="15">
        <f>(Table1_14[[#This Row],[Likes]]+Table1_14[[#This Row],[Shares]]+Table1_14[[#This Row],[Comments]])/Table1_14[[#This Row],[Impressions]]</f>
        <v>0.16683616863905326</v>
      </c>
    </row>
    <row r="49" spans="1:16" x14ac:dyDescent="0.3">
      <c r="A49" s="6" t="s">
        <v>97</v>
      </c>
      <c r="B49" s="1" t="s">
        <v>14</v>
      </c>
      <c r="C49" s="7">
        <v>45727</v>
      </c>
      <c r="D49" s="1" t="s">
        <v>29</v>
      </c>
      <c r="E49" s="1" t="s">
        <v>98</v>
      </c>
      <c r="F49" s="1">
        <v>1950</v>
      </c>
      <c r="G49" s="1">
        <v>295</v>
      </c>
      <c r="H49" s="1">
        <v>478</v>
      </c>
      <c r="I49" s="1">
        <v>37050</v>
      </c>
      <c r="J49" s="1">
        <v>36272</v>
      </c>
      <c r="K49" s="1">
        <v>119</v>
      </c>
      <c r="L49" s="1" t="s">
        <v>25</v>
      </c>
      <c r="M49" s="1" t="s">
        <v>359</v>
      </c>
      <c r="N49" s="1" t="s">
        <v>359</v>
      </c>
      <c r="O49" s="8" t="s">
        <v>360</v>
      </c>
      <c r="P49" s="15">
        <f>(Table1_14[[#This Row],[Likes]]+Table1_14[[#This Row],[Shares]]+Table1_14[[#This Row],[Comments]])/Table1_14[[#This Row],[Impressions]]</f>
        <v>7.349527665317139E-2</v>
      </c>
    </row>
    <row r="50" spans="1:16" x14ac:dyDescent="0.3">
      <c r="A50" s="6" t="s">
        <v>99</v>
      </c>
      <c r="B50" s="1" t="s">
        <v>14</v>
      </c>
      <c r="C50" s="7">
        <v>45453</v>
      </c>
      <c r="D50" s="1" t="s">
        <v>29</v>
      </c>
      <c r="E50" s="1" t="s">
        <v>98</v>
      </c>
      <c r="F50" s="1">
        <v>2164</v>
      </c>
      <c r="G50" s="1">
        <v>549</v>
      </c>
      <c r="H50" s="1">
        <v>274</v>
      </c>
      <c r="I50" s="1">
        <v>28132</v>
      </c>
      <c r="J50" s="1">
        <v>27361</v>
      </c>
      <c r="K50" s="1">
        <v>177</v>
      </c>
      <c r="L50" s="1" t="s">
        <v>25</v>
      </c>
      <c r="M50" s="1" t="s">
        <v>359</v>
      </c>
      <c r="N50" s="1" t="s">
        <v>359</v>
      </c>
      <c r="O50" s="8" t="s">
        <v>32</v>
      </c>
      <c r="P50" s="15">
        <f>(Table1_14[[#This Row],[Likes]]+Table1_14[[#This Row],[Shares]]+Table1_14[[#This Row],[Comments]])/Table1_14[[#This Row],[Impressions]]</f>
        <v>0.10617801791554102</v>
      </c>
    </row>
    <row r="51" spans="1:16" x14ac:dyDescent="0.3">
      <c r="A51" s="6" t="s">
        <v>100</v>
      </c>
      <c r="B51" s="1" t="s">
        <v>23</v>
      </c>
      <c r="C51" s="7">
        <v>45476</v>
      </c>
      <c r="D51" s="1" t="s">
        <v>29</v>
      </c>
      <c r="E51" s="1" t="s">
        <v>101</v>
      </c>
      <c r="F51" s="1">
        <v>2754</v>
      </c>
      <c r="G51" s="1">
        <v>130</v>
      </c>
      <c r="H51" s="1">
        <v>90</v>
      </c>
      <c r="I51" s="1">
        <v>22032</v>
      </c>
      <c r="J51" s="1">
        <v>21288</v>
      </c>
      <c r="K51" s="1">
        <v>112</v>
      </c>
      <c r="L51" s="1" t="s">
        <v>25</v>
      </c>
      <c r="M51" s="1" t="s">
        <v>359</v>
      </c>
      <c r="N51" s="1" t="s">
        <v>359</v>
      </c>
      <c r="O51" s="8" t="s">
        <v>26</v>
      </c>
      <c r="P51" s="15">
        <f>(Table1_14[[#This Row],[Likes]]+Table1_14[[#This Row],[Shares]]+Table1_14[[#This Row],[Comments]])/Table1_14[[#This Row],[Impressions]]</f>
        <v>0.13498547567175018</v>
      </c>
    </row>
    <row r="52" spans="1:16" x14ac:dyDescent="0.3">
      <c r="A52" s="6" t="s">
        <v>102</v>
      </c>
      <c r="B52" s="1" t="s">
        <v>35</v>
      </c>
      <c r="C52" s="7">
        <v>45456</v>
      </c>
      <c r="D52" s="1" t="s">
        <v>36</v>
      </c>
      <c r="E52" s="1" t="s">
        <v>37</v>
      </c>
      <c r="F52" s="1">
        <v>2200</v>
      </c>
      <c r="G52" s="1">
        <v>504</v>
      </c>
      <c r="H52" s="1">
        <v>239</v>
      </c>
      <c r="I52" s="1">
        <v>37400</v>
      </c>
      <c r="J52" s="1">
        <v>36938</v>
      </c>
      <c r="K52" s="1">
        <v>225</v>
      </c>
      <c r="L52" s="1" t="s">
        <v>48</v>
      </c>
      <c r="M52" s="1" t="s">
        <v>359</v>
      </c>
      <c r="N52" s="1" t="s">
        <v>359</v>
      </c>
      <c r="O52" s="8" t="s">
        <v>21</v>
      </c>
      <c r="P52" s="15">
        <f>(Table1_14[[#This Row],[Likes]]+Table1_14[[#This Row],[Shares]]+Table1_14[[#This Row],[Comments]])/Table1_14[[#This Row],[Impressions]]</f>
        <v>7.8689839572192513E-2</v>
      </c>
    </row>
    <row r="53" spans="1:16" x14ac:dyDescent="0.3">
      <c r="A53" s="6" t="s">
        <v>103</v>
      </c>
      <c r="B53" s="1" t="s">
        <v>35</v>
      </c>
      <c r="C53" s="7">
        <v>45660</v>
      </c>
      <c r="D53" s="1" t="s">
        <v>41</v>
      </c>
      <c r="E53" s="1" t="s">
        <v>46</v>
      </c>
      <c r="F53" s="1">
        <v>947</v>
      </c>
      <c r="G53" s="1">
        <v>338</v>
      </c>
      <c r="H53" s="1">
        <v>350</v>
      </c>
      <c r="I53" s="1">
        <v>10417</v>
      </c>
      <c r="J53" s="1">
        <v>9730</v>
      </c>
      <c r="K53" s="1">
        <v>34</v>
      </c>
      <c r="L53" s="1" t="s">
        <v>25</v>
      </c>
      <c r="M53" s="1" t="s">
        <v>359</v>
      </c>
      <c r="N53" s="1" t="s">
        <v>359</v>
      </c>
      <c r="O53" s="8" t="s">
        <v>32</v>
      </c>
      <c r="P53" s="15">
        <f>(Table1_14[[#This Row],[Likes]]+Table1_14[[#This Row],[Shares]]+Table1_14[[#This Row],[Comments]])/Table1_14[[#This Row],[Impressions]]</f>
        <v>0.1569549774407219</v>
      </c>
    </row>
    <row r="54" spans="1:16" x14ac:dyDescent="0.3">
      <c r="A54" s="6" t="s">
        <v>104</v>
      </c>
      <c r="B54" s="1" t="s">
        <v>23</v>
      </c>
      <c r="C54" s="7">
        <v>45712</v>
      </c>
      <c r="D54" s="1" t="s">
        <v>36</v>
      </c>
      <c r="E54" s="1" t="s">
        <v>52</v>
      </c>
      <c r="F54" s="1">
        <v>804</v>
      </c>
      <c r="G54" s="1">
        <v>639</v>
      </c>
      <c r="H54" s="1">
        <v>43</v>
      </c>
      <c r="I54" s="1">
        <v>4020</v>
      </c>
      <c r="J54" s="1">
        <v>3144</v>
      </c>
      <c r="K54" s="1">
        <v>11</v>
      </c>
      <c r="L54" s="1" t="s">
        <v>31</v>
      </c>
      <c r="M54" s="1" t="s">
        <v>355</v>
      </c>
      <c r="N54" s="1" t="s">
        <v>359</v>
      </c>
      <c r="O54" s="8" t="s">
        <v>360</v>
      </c>
      <c r="P54" s="15">
        <f>(Table1_14[[#This Row],[Likes]]+Table1_14[[#This Row],[Shares]]+Table1_14[[#This Row],[Comments]])/Table1_14[[#This Row],[Impressions]]</f>
        <v>0.36965174129353234</v>
      </c>
    </row>
    <row r="55" spans="1:16" x14ac:dyDescent="0.3">
      <c r="A55" s="6" t="s">
        <v>105</v>
      </c>
      <c r="B55" s="1" t="s">
        <v>23</v>
      </c>
      <c r="C55" s="7">
        <v>45729</v>
      </c>
      <c r="D55" s="1" t="s">
        <v>36</v>
      </c>
      <c r="E55" s="1" t="s">
        <v>52</v>
      </c>
      <c r="F55" s="1">
        <v>1686</v>
      </c>
      <c r="G55" s="1">
        <v>904</v>
      </c>
      <c r="H55" s="1">
        <v>472</v>
      </c>
      <c r="I55" s="1">
        <v>18546</v>
      </c>
      <c r="J55" s="1">
        <v>18171</v>
      </c>
      <c r="K55" s="1">
        <v>52</v>
      </c>
      <c r="L55" s="1" t="s">
        <v>48</v>
      </c>
      <c r="M55" s="1" t="s">
        <v>359</v>
      </c>
      <c r="N55" s="1" t="s">
        <v>359</v>
      </c>
      <c r="O55" s="8" t="s">
        <v>21</v>
      </c>
      <c r="P55" s="15">
        <f>(Table1_14[[#This Row],[Likes]]+Table1_14[[#This Row],[Shares]]+Table1_14[[#This Row],[Comments]])/Table1_14[[#This Row],[Impressions]]</f>
        <v>0.16510298716704411</v>
      </c>
    </row>
    <row r="56" spans="1:16" x14ac:dyDescent="0.3">
      <c r="A56" s="6" t="s">
        <v>106</v>
      </c>
      <c r="B56" s="1" t="s">
        <v>35</v>
      </c>
      <c r="C56" s="7">
        <v>45460</v>
      </c>
      <c r="D56" s="1" t="s">
        <v>41</v>
      </c>
      <c r="E56" s="1" t="s">
        <v>46</v>
      </c>
      <c r="F56" s="1">
        <v>1226</v>
      </c>
      <c r="G56" s="1">
        <v>119</v>
      </c>
      <c r="H56" s="1">
        <v>7</v>
      </c>
      <c r="I56" s="1">
        <v>14712</v>
      </c>
      <c r="J56" s="1">
        <v>14049</v>
      </c>
      <c r="K56" s="1">
        <v>123</v>
      </c>
      <c r="L56" s="1" t="s">
        <v>31</v>
      </c>
      <c r="M56" s="1" t="s">
        <v>359</v>
      </c>
      <c r="N56" s="1" t="s">
        <v>359</v>
      </c>
      <c r="O56" s="8" t="s">
        <v>32</v>
      </c>
      <c r="P56" s="15">
        <f>(Table1_14[[#This Row],[Likes]]+Table1_14[[#This Row],[Shares]]+Table1_14[[#This Row],[Comments]])/Table1_14[[#This Row],[Impressions]]</f>
        <v>9.1897770527460579E-2</v>
      </c>
    </row>
    <row r="57" spans="1:16" x14ac:dyDescent="0.3">
      <c r="A57" s="6" t="s">
        <v>107</v>
      </c>
      <c r="B57" s="1" t="s">
        <v>35</v>
      </c>
      <c r="C57" s="7">
        <v>45644</v>
      </c>
      <c r="D57" s="1" t="s">
        <v>36</v>
      </c>
      <c r="E57" s="1" t="s">
        <v>37</v>
      </c>
      <c r="F57" s="1">
        <v>2946</v>
      </c>
      <c r="G57" s="1">
        <v>498</v>
      </c>
      <c r="H57" s="1">
        <v>367</v>
      </c>
      <c r="I57" s="1">
        <v>29460</v>
      </c>
      <c r="J57" s="1">
        <v>28527</v>
      </c>
      <c r="K57" s="1">
        <v>60</v>
      </c>
      <c r="L57" s="1" t="s">
        <v>48</v>
      </c>
      <c r="M57" s="1" t="s">
        <v>359</v>
      </c>
      <c r="N57" s="1" t="s">
        <v>359</v>
      </c>
      <c r="O57" s="8" t="s">
        <v>26</v>
      </c>
      <c r="P57" s="15">
        <f>(Table1_14[[#This Row],[Likes]]+Table1_14[[#This Row],[Shares]]+Table1_14[[#This Row],[Comments]])/Table1_14[[#This Row],[Impressions]]</f>
        <v>0.12936184657162253</v>
      </c>
    </row>
    <row r="58" spans="1:16" x14ac:dyDescent="0.3">
      <c r="A58" s="6" t="s">
        <v>108</v>
      </c>
      <c r="B58" s="1" t="s">
        <v>14</v>
      </c>
      <c r="C58" s="7">
        <v>45586</v>
      </c>
      <c r="D58" s="1" t="s">
        <v>56</v>
      </c>
      <c r="E58" s="1" t="s">
        <v>95</v>
      </c>
      <c r="F58" s="1">
        <v>2825</v>
      </c>
      <c r="G58" s="1">
        <v>535</v>
      </c>
      <c r="H58" s="1">
        <v>295</v>
      </c>
      <c r="I58" s="1">
        <v>45200</v>
      </c>
      <c r="J58" s="1">
        <v>44739</v>
      </c>
      <c r="K58" s="1">
        <v>169</v>
      </c>
      <c r="L58" s="1" t="s">
        <v>25</v>
      </c>
      <c r="M58" s="1" t="s">
        <v>359</v>
      </c>
      <c r="N58" s="1" t="s">
        <v>359</v>
      </c>
      <c r="O58" s="8" t="s">
        <v>17</v>
      </c>
      <c r="P58" s="15">
        <f>(Table1_14[[#This Row],[Likes]]+Table1_14[[#This Row],[Shares]]+Table1_14[[#This Row],[Comments]])/Table1_14[[#This Row],[Impressions]]</f>
        <v>8.0862831858407078E-2</v>
      </c>
    </row>
    <row r="59" spans="1:16" x14ac:dyDescent="0.3">
      <c r="A59" s="6" t="s">
        <v>109</v>
      </c>
      <c r="B59" s="1" t="s">
        <v>28</v>
      </c>
      <c r="C59" s="7">
        <v>45762</v>
      </c>
      <c r="D59" s="1" t="s">
        <v>15</v>
      </c>
      <c r="E59" s="1" t="s">
        <v>61</v>
      </c>
      <c r="F59" s="1">
        <v>103</v>
      </c>
      <c r="G59" s="1">
        <v>770</v>
      </c>
      <c r="H59" s="1">
        <v>19</v>
      </c>
      <c r="I59" s="1">
        <v>1030</v>
      </c>
      <c r="J59" s="1">
        <v>410</v>
      </c>
      <c r="K59" s="1">
        <v>262</v>
      </c>
      <c r="L59" s="1" t="s">
        <v>25</v>
      </c>
      <c r="M59" s="1" t="s">
        <v>359</v>
      </c>
      <c r="N59" s="1" t="s">
        <v>359</v>
      </c>
      <c r="O59" s="8" t="s">
        <v>32</v>
      </c>
      <c r="P59" s="15">
        <f>(Table1_14[[#This Row],[Likes]]+Table1_14[[#This Row],[Shares]]+Table1_14[[#This Row],[Comments]])/Table1_14[[#This Row],[Impressions]]</f>
        <v>0.86601941747572819</v>
      </c>
    </row>
    <row r="60" spans="1:16" x14ac:dyDescent="0.3">
      <c r="A60" s="6" t="s">
        <v>110</v>
      </c>
      <c r="B60" s="1" t="s">
        <v>28</v>
      </c>
      <c r="C60" s="7">
        <v>45465</v>
      </c>
      <c r="D60" s="1" t="s">
        <v>19</v>
      </c>
      <c r="E60" s="1" t="s">
        <v>78</v>
      </c>
      <c r="F60" s="1">
        <v>2180</v>
      </c>
      <c r="G60" s="1">
        <v>263</v>
      </c>
      <c r="H60" s="1">
        <v>387</v>
      </c>
      <c r="I60" s="1">
        <v>30520</v>
      </c>
      <c r="J60" s="1">
        <v>30059</v>
      </c>
      <c r="K60" s="1">
        <v>174</v>
      </c>
      <c r="L60" s="1" t="s">
        <v>31</v>
      </c>
      <c r="M60" s="1" t="s">
        <v>359</v>
      </c>
      <c r="N60" s="1" t="s">
        <v>359</v>
      </c>
      <c r="O60" s="8" t="s">
        <v>360</v>
      </c>
      <c r="P60" s="15">
        <f>(Table1_14[[#This Row],[Likes]]+Table1_14[[#This Row],[Shares]]+Table1_14[[#This Row],[Comments]])/Table1_14[[#This Row],[Impressions]]</f>
        <v>9.2726081258191345E-2</v>
      </c>
    </row>
    <row r="61" spans="1:16" x14ac:dyDescent="0.3">
      <c r="A61" s="6" t="s">
        <v>111</v>
      </c>
      <c r="B61" s="1" t="s">
        <v>28</v>
      </c>
      <c r="C61" s="7">
        <v>45685</v>
      </c>
      <c r="D61" s="1" t="s">
        <v>56</v>
      </c>
      <c r="E61" s="1" t="s">
        <v>63</v>
      </c>
      <c r="F61" s="1">
        <v>904</v>
      </c>
      <c r="G61" s="1">
        <v>973</v>
      </c>
      <c r="H61" s="1">
        <v>63</v>
      </c>
      <c r="I61" s="1">
        <v>11752</v>
      </c>
      <c r="J61" s="1">
        <v>11580</v>
      </c>
      <c r="K61" s="1">
        <v>84</v>
      </c>
      <c r="L61" s="1" t="s">
        <v>31</v>
      </c>
      <c r="M61" s="1" t="s">
        <v>25</v>
      </c>
      <c r="N61" s="1" t="s">
        <v>354</v>
      </c>
      <c r="O61" s="8" t="s">
        <v>26</v>
      </c>
      <c r="P61" s="15">
        <f>(Table1_14[[#This Row],[Likes]]+Table1_14[[#This Row],[Shares]]+Table1_14[[#This Row],[Comments]])/Table1_14[[#This Row],[Impressions]]</f>
        <v>0.1650782845473111</v>
      </c>
    </row>
    <row r="62" spans="1:16" x14ac:dyDescent="0.3">
      <c r="A62" s="6" t="s">
        <v>112</v>
      </c>
      <c r="B62" s="1" t="s">
        <v>14</v>
      </c>
      <c r="C62" s="7">
        <v>45540</v>
      </c>
      <c r="D62" s="1" t="s">
        <v>56</v>
      </c>
      <c r="E62" s="1" t="s">
        <v>95</v>
      </c>
      <c r="F62" s="1">
        <v>4886</v>
      </c>
      <c r="G62" s="1">
        <v>983</v>
      </c>
      <c r="H62" s="1">
        <v>409</v>
      </c>
      <c r="I62" s="1">
        <v>43974</v>
      </c>
      <c r="J62" s="1">
        <v>43239</v>
      </c>
      <c r="K62" s="1">
        <v>65</v>
      </c>
      <c r="L62" s="1" t="s">
        <v>25</v>
      </c>
      <c r="M62" s="1" t="s">
        <v>359</v>
      </c>
      <c r="N62" s="1" t="s">
        <v>359</v>
      </c>
      <c r="O62" s="8" t="s">
        <v>17</v>
      </c>
      <c r="P62" s="15">
        <f>(Table1_14[[#This Row],[Likes]]+Table1_14[[#This Row],[Shares]]+Table1_14[[#This Row],[Comments]])/Table1_14[[#This Row],[Impressions]]</f>
        <v>0.14276618001546368</v>
      </c>
    </row>
    <row r="63" spans="1:16" x14ac:dyDescent="0.3">
      <c r="A63" s="6" t="s">
        <v>113</v>
      </c>
      <c r="B63" s="1" t="s">
        <v>14</v>
      </c>
      <c r="C63" s="7">
        <v>45618</v>
      </c>
      <c r="D63" s="1" t="s">
        <v>36</v>
      </c>
      <c r="E63" s="1" t="s">
        <v>39</v>
      </c>
      <c r="F63" s="1">
        <v>53</v>
      </c>
      <c r="G63" s="1">
        <v>81</v>
      </c>
      <c r="H63" s="1">
        <v>379</v>
      </c>
      <c r="I63" s="1">
        <v>954</v>
      </c>
      <c r="J63" s="1">
        <v>7</v>
      </c>
      <c r="K63" s="1">
        <v>148</v>
      </c>
      <c r="L63" s="1" t="s">
        <v>25</v>
      </c>
      <c r="M63" s="1" t="s">
        <v>359</v>
      </c>
      <c r="N63" s="1" t="s">
        <v>359</v>
      </c>
      <c r="O63" s="8" t="s">
        <v>26</v>
      </c>
      <c r="P63" s="15">
        <f>(Table1_14[[#This Row],[Likes]]+Table1_14[[#This Row],[Shares]]+Table1_14[[#This Row],[Comments]])/Table1_14[[#This Row],[Impressions]]</f>
        <v>0.53773584905660377</v>
      </c>
    </row>
    <row r="64" spans="1:16" x14ac:dyDescent="0.3">
      <c r="A64" s="6" t="s">
        <v>114</v>
      </c>
      <c r="B64" s="1" t="s">
        <v>14</v>
      </c>
      <c r="C64" s="7">
        <v>45504</v>
      </c>
      <c r="D64" s="1" t="s">
        <v>36</v>
      </c>
      <c r="E64" s="1" t="s">
        <v>39</v>
      </c>
      <c r="F64" s="1">
        <v>4507</v>
      </c>
      <c r="G64" s="1">
        <v>217</v>
      </c>
      <c r="H64" s="1">
        <v>13</v>
      </c>
      <c r="I64" s="1">
        <v>90140</v>
      </c>
      <c r="J64" s="1">
        <v>89591</v>
      </c>
      <c r="K64" s="1">
        <v>125</v>
      </c>
      <c r="L64" s="1" t="s">
        <v>48</v>
      </c>
      <c r="M64" s="1" t="s">
        <v>359</v>
      </c>
      <c r="N64" s="1" t="s">
        <v>359</v>
      </c>
      <c r="O64" s="8" t="s">
        <v>26</v>
      </c>
      <c r="P64" s="15">
        <f>(Table1_14[[#This Row],[Likes]]+Table1_14[[#This Row],[Shares]]+Table1_14[[#This Row],[Comments]])/Table1_14[[#This Row],[Impressions]]</f>
        <v>5.2551586421122697E-2</v>
      </c>
    </row>
    <row r="65" spans="1:16" x14ac:dyDescent="0.3">
      <c r="A65" s="6" t="s">
        <v>115</v>
      </c>
      <c r="B65" s="1" t="s">
        <v>35</v>
      </c>
      <c r="C65" s="7">
        <v>45521</v>
      </c>
      <c r="D65" s="1" t="s">
        <v>41</v>
      </c>
      <c r="E65" s="1" t="s">
        <v>46</v>
      </c>
      <c r="F65" s="1">
        <v>2878</v>
      </c>
      <c r="G65" s="1">
        <v>248</v>
      </c>
      <c r="H65" s="1">
        <v>416</v>
      </c>
      <c r="I65" s="1">
        <v>43170</v>
      </c>
      <c r="J65" s="1">
        <v>42667</v>
      </c>
      <c r="K65" s="1">
        <v>75</v>
      </c>
      <c r="L65" s="1" t="s">
        <v>48</v>
      </c>
      <c r="M65" s="1" t="s">
        <v>359</v>
      </c>
      <c r="N65" s="1" t="s">
        <v>359</v>
      </c>
      <c r="O65" s="8" t="s">
        <v>26</v>
      </c>
      <c r="P65" s="15">
        <f>(Table1_14[[#This Row],[Likes]]+Table1_14[[#This Row],[Shares]]+Table1_14[[#This Row],[Comments]])/Table1_14[[#This Row],[Impressions]]</f>
        <v>8.2047718322909427E-2</v>
      </c>
    </row>
    <row r="66" spans="1:16" x14ac:dyDescent="0.3">
      <c r="A66" s="6" t="s">
        <v>116</v>
      </c>
      <c r="B66" s="1" t="s">
        <v>28</v>
      </c>
      <c r="C66" s="7">
        <v>45744</v>
      </c>
      <c r="D66" s="1" t="s">
        <v>29</v>
      </c>
      <c r="E66" s="1" t="s">
        <v>30</v>
      </c>
      <c r="F66" s="1">
        <v>1881</v>
      </c>
      <c r="G66" s="1">
        <v>501</v>
      </c>
      <c r="H66" s="1">
        <v>99</v>
      </c>
      <c r="I66" s="1">
        <v>20691</v>
      </c>
      <c r="J66" s="1">
        <v>19987</v>
      </c>
      <c r="K66" s="1">
        <v>289</v>
      </c>
      <c r="L66" s="1" t="s">
        <v>31</v>
      </c>
      <c r="M66" s="1" t="s">
        <v>359</v>
      </c>
      <c r="N66" s="1" t="s">
        <v>359</v>
      </c>
      <c r="O66" s="8" t="s">
        <v>360</v>
      </c>
      <c r="P66" s="15">
        <f>(Table1_14[[#This Row],[Likes]]+Table1_14[[#This Row],[Shares]]+Table1_14[[#This Row],[Comments]])/Table1_14[[#This Row],[Impressions]]</f>
        <v>0.11990720603160794</v>
      </c>
    </row>
    <row r="67" spans="1:16" x14ac:dyDescent="0.3">
      <c r="A67" s="6" t="s">
        <v>117</v>
      </c>
      <c r="B67" s="1" t="s">
        <v>14</v>
      </c>
      <c r="C67" s="7">
        <v>45499</v>
      </c>
      <c r="D67" s="1" t="s">
        <v>36</v>
      </c>
      <c r="E67" s="1" t="s">
        <v>39</v>
      </c>
      <c r="F67" s="1">
        <v>432</v>
      </c>
      <c r="G67" s="1">
        <v>171</v>
      </c>
      <c r="H67" s="1">
        <v>280</v>
      </c>
      <c r="I67" s="1">
        <v>3024</v>
      </c>
      <c r="J67" s="1">
        <v>2285</v>
      </c>
      <c r="K67" s="1">
        <v>184</v>
      </c>
      <c r="L67" s="1" t="s">
        <v>31</v>
      </c>
      <c r="M67" s="1" t="s">
        <v>359</v>
      </c>
      <c r="N67" s="1" t="s">
        <v>359</v>
      </c>
      <c r="O67" s="8" t="s">
        <v>17</v>
      </c>
      <c r="P67" s="15">
        <f>(Table1_14[[#This Row],[Likes]]+Table1_14[[#This Row],[Shares]]+Table1_14[[#This Row],[Comments]])/Table1_14[[#This Row],[Impressions]]</f>
        <v>0.29199735449735448</v>
      </c>
    </row>
    <row r="68" spans="1:16" x14ac:dyDescent="0.3">
      <c r="A68" s="6" t="s">
        <v>118</v>
      </c>
      <c r="B68" s="1" t="s">
        <v>35</v>
      </c>
      <c r="C68" s="7">
        <v>45745</v>
      </c>
      <c r="D68" s="1" t="s">
        <v>36</v>
      </c>
      <c r="E68" s="1" t="s">
        <v>37</v>
      </c>
      <c r="F68" s="1">
        <v>4712</v>
      </c>
      <c r="G68" s="1">
        <v>568</v>
      </c>
      <c r="H68" s="1">
        <v>127</v>
      </c>
      <c r="I68" s="1">
        <v>84816</v>
      </c>
      <c r="J68" s="1">
        <v>84691</v>
      </c>
      <c r="K68" s="1">
        <v>100</v>
      </c>
      <c r="L68" s="1" t="s">
        <v>31</v>
      </c>
      <c r="M68" s="1" t="s">
        <v>359</v>
      </c>
      <c r="N68" s="1" t="s">
        <v>359</v>
      </c>
      <c r="O68" s="8" t="s">
        <v>26</v>
      </c>
      <c r="P68" s="15">
        <f>(Table1_14[[#This Row],[Likes]]+Table1_14[[#This Row],[Shares]]+Table1_14[[#This Row],[Comments]])/Table1_14[[#This Row],[Impressions]]</f>
        <v>6.3749764195434822E-2</v>
      </c>
    </row>
    <row r="69" spans="1:16" x14ac:dyDescent="0.3">
      <c r="A69" s="6" t="s">
        <v>119</v>
      </c>
      <c r="B69" s="1" t="s">
        <v>28</v>
      </c>
      <c r="C69" s="7">
        <v>45634</v>
      </c>
      <c r="D69" s="1" t="s">
        <v>29</v>
      </c>
      <c r="E69" s="1" t="s">
        <v>30</v>
      </c>
      <c r="F69" s="1">
        <v>2610</v>
      </c>
      <c r="G69" s="1">
        <v>126</v>
      </c>
      <c r="H69" s="1">
        <v>288</v>
      </c>
      <c r="I69" s="1">
        <v>15660</v>
      </c>
      <c r="J69" s="1">
        <v>15145</v>
      </c>
      <c r="K69" s="1">
        <v>73</v>
      </c>
      <c r="L69" s="1" t="s">
        <v>31</v>
      </c>
      <c r="M69" s="1" t="s">
        <v>359</v>
      </c>
      <c r="N69" s="1" t="s">
        <v>359</v>
      </c>
      <c r="O69" s="8" t="s">
        <v>360</v>
      </c>
      <c r="P69" s="15">
        <f>(Table1_14[[#This Row],[Likes]]+Table1_14[[#This Row],[Shares]]+Table1_14[[#This Row],[Comments]])/Table1_14[[#This Row],[Impressions]]</f>
        <v>0.19310344827586207</v>
      </c>
    </row>
    <row r="70" spans="1:16" x14ac:dyDescent="0.3">
      <c r="A70" s="6" t="s">
        <v>120</v>
      </c>
      <c r="B70" s="1" t="s">
        <v>14</v>
      </c>
      <c r="C70" s="7">
        <v>45724</v>
      </c>
      <c r="D70" s="1" t="s">
        <v>19</v>
      </c>
      <c r="E70" s="1" t="s">
        <v>20</v>
      </c>
      <c r="F70" s="1">
        <v>1292</v>
      </c>
      <c r="G70" s="1">
        <v>626</v>
      </c>
      <c r="H70" s="1">
        <v>496</v>
      </c>
      <c r="I70" s="1">
        <v>25840</v>
      </c>
      <c r="J70" s="1">
        <v>24916</v>
      </c>
      <c r="K70" s="1">
        <v>149</v>
      </c>
      <c r="L70" s="1" t="s">
        <v>48</v>
      </c>
      <c r="M70" s="1" t="s">
        <v>359</v>
      </c>
      <c r="N70" s="1" t="s">
        <v>359</v>
      </c>
      <c r="O70" s="8" t="s">
        <v>26</v>
      </c>
      <c r="P70" s="15">
        <f>(Table1_14[[#This Row],[Likes]]+Table1_14[[#This Row],[Shares]]+Table1_14[[#This Row],[Comments]])/Table1_14[[#This Row],[Impressions]]</f>
        <v>9.3421052631578946E-2</v>
      </c>
    </row>
    <row r="71" spans="1:16" x14ac:dyDescent="0.3">
      <c r="A71" s="6" t="s">
        <v>121</v>
      </c>
      <c r="B71" s="1" t="s">
        <v>35</v>
      </c>
      <c r="C71" s="7">
        <v>45749</v>
      </c>
      <c r="D71" s="1" t="s">
        <v>56</v>
      </c>
      <c r="E71" s="1" t="s">
        <v>57</v>
      </c>
      <c r="F71" s="1">
        <v>199</v>
      </c>
      <c r="G71" s="1">
        <v>772</v>
      </c>
      <c r="H71" s="1">
        <v>400</v>
      </c>
      <c r="I71" s="1">
        <v>3582</v>
      </c>
      <c r="J71" s="1">
        <v>2988</v>
      </c>
      <c r="K71" s="1">
        <v>43</v>
      </c>
      <c r="L71" s="1" t="s">
        <v>25</v>
      </c>
      <c r="M71" s="1" t="s">
        <v>359</v>
      </c>
      <c r="N71" s="1" t="s">
        <v>359</v>
      </c>
      <c r="O71" s="8" t="s">
        <v>360</v>
      </c>
      <c r="P71" s="15">
        <f>(Table1_14[[#This Row],[Likes]]+Table1_14[[#This Row],[Shares]]+Table1_14[[#This Row],[Comments]])/Table1_14[[#This Row],[Impressions]]</f>
        <v>0.38274706867671693</v>
      </c>
    </row>
    <row r="72" spans="1:16" x14ac:dyDescent="0.3">
      <c r="A72" s="6" t="s">
        <v>122</v>
      </c>
      <c r="B72" s="1" t="s">
        <v>23</v>
      </c>
      <c r="C72" s="7">
        <v>45537</v>
      </c>
      <c r="D72" s="1" t="s">
        <v>36</v>
      </c>
      <c r="E72" s="1" t="s">
        <v>52</v>
      </c>
      <c r="F72" s="1">
        <v>2551</v>
      </c>
      <c r="G72" s="1">
        <v>915</v>
      </c>
      <c r="H72" s="1">
        <v>205</v>
      </c>
      <c r="I72" s="1">
        <v>30612</v>
      </c>
      <c r="J72" s="1">
        <v>30360</v>
      </c>
      <c r="K72" s="1">
        <v>227</v>
      </c>
      <c r="L72" s="1" t="s">
        <v>25</v>
      </c>
      <c r="M72" s="1" t="s">
        <v>359</v>
      </c>
      <c r="N72" s="1" t="s">
        <v>359</v>
      </c>
      <c r="O72" s="8" t="s">
        <v>21</v>
      </c>
      <c r="P72" s="15">
        <f>(Table1_14[[#This Row],[Likes]]+Table1_14[[#This Row],[Shares]]+Table1_14[[#This Row],[Comments]])/Table1_14[[#This Row],[Impressions]]</f>
        <v>0.1199202926956749</v>
      </c>
    </row>
    <row r="73" spans="1:16" x14ac:dyDescent="0.3">
      <c r="A73" s="6" t="s">
        <v>123</v>
      </c>
      <c r="B73" s="1" t="s">
        <v>23</v>
      </c>
      <c r="C73" s="7">
        <v>45719</v>
      </c>
      <c r="D73" s="1" t="s">
        <v>15</v>
      </c>
      <c r="E73" s="1" t="s">
        <v>24</v>
      </c>
      <c r="F73" s="1">
        <v>296</v>
      </c>
      <c r="G73" s="1">
        <v>60</v>
      </c>
      <c r="H73" s="1">
        <v>141</v>
      </c>
      <c r="I73" s="1">
        <v>5624</v>
      </c>
      <c r="J73" s="1">
        <v>5239</v>
      </c>
      <c r="K73" s="1">
        <v>88</v>
      </c>
      <c r="L73" s="1" t="s">
        <v>31</v>
      </c>
      <c r="M73" s="1" t="s">
        <v>359</v>
      </c>
      <c r="N73" s="1" t="s">
        <v>359</v>
      </c>
      <c r="O73" s="8" t="s">
        <v>21</v>
      </c>
      <c r="P73" s="15">
        <f>(Table1_14[[#This Row],[Likes]]+Table1_14[[#This Row],[Shares]]+Table1_14[[#This Row],[Comments]])/Table1_14[[#This Row],[Impressions]]</f>
        <v>8.837126600284495E-2</v>
      </c>
    </row>
    <row r="74" spans="1:16" x14ac:dyDescent="0.3">
      <c r="A74" s="6" t="s">
        <v>124</v>
      </c>
      <c r="B74" s="1" t="s">
        <v>35</v>
      </c>
      <c r="C74" s="7">
        <v>45583</v>
      </c>
      <c r="D74" s="1" t="s">
        <v>29</v>
      </c>
      <c r="E74" s="1" t="s">
        <v>54</v>
      </c>
      <c r="F74" s="1">
        <v>4126</v>
      </c>
      <c r="G74" s="1">
        <v>426</v>
      </c>
      <c r="H74" s="1">
        <v>486</v>
      </c>
      <c r="I74" s="1">
        <v>78394</v>
      </c>
      <c r="J74" s="1">
        <v>77798</v>
      </c>
      <c r="K74" s="1">
        <v>88</v>
      </c>
      <c r="L74" s="1" t="s">
        <v>48</v>
      </c>
      <c r="M74" s="1" t="s">
        <v>359</v>
      </c>
      <c r="N74" s="1" t="s">
        <v>359</v>
      </c>
      <c r="O74" s="8" t="s">
        <v>32</v>
      </c>
      <c r="P74" s="15">
        <f>(Table1_14[[#This Row],[Likes]]+Table1_14[[#This Row],[Shares]]+Table1_14[[#This Row],[Comments]])/Table1_14[[#This Row],[Impressions]]</f>
        <v>6.4265122330790625E-2</v>
      </c>
    </row>
    <row r="75" spans="1:16" x14ac:dyDescent="0.3">
      <c r="A75" s="6" t="s">
        <v>125</v>
      </c>
      <c r="B75" s="1" t="s">
        <v>23</v>
      </c>
      <c r="C75" s="7">
        <v>45593</v>
      </c>
      <c r="D75" s="1" t="s">
        <v>15</v>
      </c>
      <c r="E75" s="1" t="s">
        <v>24</v>
      </c>
      <c r="F75" s="1">
        <v>1855</v>
      </c>
      <c r="G75" s="1">
        <v>200</v>
      </c>
      <c r="H75" s="1">
        <v>174</v>
      </c>
      <c r="I75" s="1">
        <v>16695</v>
      </c>
      <c r="J75" s="1">
        <v>16330</v>
      </c>
      <c r="K75" s="1">
        <v>123</v>
      </c>
      <c r="L75" s="1" t="s">
        <v>25</v>
      </c>
      <c r="M75" s="1" t="s">
        <v>359</v>
      </c>
      <c r="N75" s="1" t="s">
        <v>359</v>
      </c>
      <c r="O75" s="8" t="s">
        <v>26</v>
      </c>
      <c r="P75" s="15">
        <f>(Table1_14[[#This Row],[Likes]]+Table1_14[[#This Row],[Shares]]+Table1_14[[#This Row],[Comments]])/Table1_14[[#This Row],[Impressions]]</f>
        <v>0.13351302785265048</v>
      </c>
    </row>
    <row r="76" spans="1:16" x14ac:dyDescent="0.3">
      <c r="A76" s="6" t="s">
        <v>126</v>
      </c>
      <c r="B76" s="1" t="s">
        <v>28</v>
      </c>
      <c r="C76" s="7">
        <v>45505</v>
      </c>
      <c r="D76" s="1" t="s">
        <v>15</v>
      </c>
      <c r="E76" s="1" t="s">
        <v>61</v>
      </c>
      <c r="F76" s="1">
        <v>1674</v>
      </c>
      <c r="G76" s="1">
        <v>929</v>
      </c>
      <c r="H76" s="1">
        <v>37</v>
      </c>
      <c r="I76" s="1">
        <v>21762</v>
      </c>
      <c r="J76" s="1">
        <v>20998</v>
      </c>
      <c r="K76" s="1">
        <v>255</v>
      </c>
      <c r="L76" s="1" t="s">
        <v>25</v>
      </c>
      <c r="M76" s="1" t="s">
        <v>359</v>
      </c>
      <c r="N76" s="1" t="s">
        <v>359</v>
      </c>
      <c r="O76" s="8" t="s">
        <v>32</v>
      </c>
      <c r="P76" s="15">
        <f>(Table1_14[[#This Row],[Likes]]+Table1_14[[#This Row],[Shares]]+Table1_14[[#This Row],[Comments]])/Table1_14[[#This Row],[Impressions]]</f>
        <v>0.12131237937689551</v>
      </c>
    </row>
    <row r="77" spans="1:16" x14ac:dyDescent="0.3">
      <c r="A77" s="6" t="s">
        <v>127</v>
      </c>
      <c r="B77" s="1" t="s">
        <v>14</v>
      </c>
      <c r="C77" s="7">
        <v>45603</v>
      </c>
      <c r="D77" s="1" t="s">
        <v>29</v>
      </c>
      <c r="E77" s="1" t="s">
        <v>98</v>
      </c>
      <c r="F77" s="1">
        <v>1121</v>
      </c>
      <c r="G77" s="1">
        <v>135</v>
      </c>
      <c r="H77" s="1">
        <v>18</v>
      </c>
      <c r="I77" s="1">
        <v>15694</v>
      </c>
      <c r="J77" s="1">
        <v>14957</v>
      </c>
      <c r="K77" s="1">
        <v>99</v>
      </c>
      <c r="L77" s="1" t="s">
        <v>25</v>
      </c>
      <c r="M77" s="1" t="s">
        <v>359</v>
      </c>
      <c r="N77" s="1" t="s">
        <v>359</v>
      </c>
      <c r="O77" s="8" t="s">
        <v>32</v>
      </c>
      <c r="P77" s="15">
        <f>(Table1_14[[#This Row],[Likes]]+Table1_14[[#This Row],[Shares]]+Table1_14[[#This Row],[Comments]])/Table1_14[[#This Row],[Impressions]]</f>
        <v>8.1177520071364848E-2</v>
      </c>
    </row>
    <row r="78" spans="1:16" x14ac:dyDescent="0.3">
      <c r="A78" s="6" t="s">
        <v>128</v>
      </c>
      <c r="B78" s="1" t="s">
        <v>35</v>
      </c>
      <c r="C78" s="7">
        <v>45720</v>
      </c>
      <c r="D78" s="1" t="s">
        <v>29</v>
      </c>
      <c r="E78" s="1" t="s">
        <v>54</v>
      </c>
      <c r="F78" s="1">
        <v>1249</v>
      </c>
      <c r="G78" s="1">
        <v>116</v>
      </c>
      <c r="H78" s="1">
        <v>420</v>
      </c>
      <c r="I78" s="1">
        <v>8743</v>
      </c>
      <c r="J78" s="1">
        <v>8538</v>
      </c>
      <c r="K78" s="1">
        <v>63</v>
      </c>
      <c r="L78" s="1" t="s">
        <v>25</v>
      </c>
      <c r="M78" s="1" t="s">
        <v>359</v>
      </c>
      <c r="N78" s="1" t="s">
        <v>359</v>
      </c>
      <c r="O78" s="8" t="s">
        <v>360</v>
      </c>
      <c r="P78" s="15">
        <f>(Table1_14[[#This Row],[Likes]]+Table1_14[[#This Row],[Shares]]+Table1_14[[#This Row],[Comments]])/Table1_14[[#This Row],[Impressions]]</f>
        <v>0.20416333066453163</v>
      </c>
    </row>
    <row r="79" spans="1:16" x14ac:dyDescent="0.3">
      <c r="A79" s="6" t="s">
        <v>129</v>
      </c>
      <c r="B79" s="1" t="s">
        <v>14</v>
      </c>
      <c r="C79" s="7">
        <v>45460</v>
      </c>
      <c r="D79" s="1" t="s">
        <v>41</v>
      </c>
      <c r="E79" s="1" t="s">
        <v>88</v>
      </c>
      <c r="F79" s="1">
        <v>954</v>
      </c>
      <c r="G79" s="1">
        <v>324</v>
      </c>
      <c r="H79" s="1">
        <v>288</v>
      </c>
      <c r="I79" s="1">
        <v>19080</v>
      </c>
      <c r="J79" s="1">
        <v>18859</v>
      </c>
      <c r="K79" s="1">
        <v>21</v>
      </c>
      <c r="L79" s="1" t="s">
        <v>48</v>
      </c>
      <c r="M79" s="1" t="s">
        <v>359</v>
      </c>
      <c r="N79" s="1" t="s">
        <v>359</v>
      </c>
      <c r="O79" s="8" t="s">
        <v>32</v>
      </c>
      <c r="P79" s="15">
        <f>(Table1_14[[#This Row],[Likes]]+Table1_14[[#This Row],[Shares]]+Table1_14[[#This Row],[Comments]])/Table1_14[[#This Row],[Impressions]]</f>
        <v>8.2075471698113203E-2</v>
      </c>
    </row>
    <row r="80" spans="1:16" x14ac:dyDescent="0.3">
      <c r="A80" s="6" t="s">
        <v>130</v>
      </c>
      <c r="B80" s="1" t="s">
        <v>28</v>
      </c>
      <c r="C80" s="7">
        <v>45574</v>
      </c>
      <c r="D80" s="1" t="s">
        <v>36</v>
      </c>
      <c r="E80" s="1" t="s">
        <v>65</v>
      </c>
      <c r="F80" s="1">
        <v>3068</v>
      </c>
      <c r="G80" s="1">
        <v>137</v>
      </c>
      <c r="H80" s="1">
        <v>329</v>
      </c>
      <c r="I80" s="1">
        <v>39884</v>
      </c>
      <c r="J80" s="1">
        <v>39404</v>
      </c>
      <c r="K80" s="1">
        <v>266</v>
      </c>
      <c r="L80" s="1" t="s">
        <v>31</v>
      </c>
      <c r="M80" s="1" t="s">
        <v>359</v>
      </c>
      <c r="N80" s="1" t="s">
        <v>359</v>
      </c>
      <c r="O80" s="8" t="s">
        <v>21</v>
      </c>
      <c r="P80" s="15">
        <f>(Table1_14[[#This Row],[Likes]]+Table1_14[[#This Row],[Shares]]+Table1_14[[#This Row],[Comments]])/Table1_14[[#This Row],[Impressions]]</f>
        <v>8.860696018453515E-2</v>
      </c>
    </row>
    <row r="81" spans="1:16" x14ac:dyDescent="0.3">
      <c r="A81" s="6" t="s">
        <v>131</v>
      </c>
      <c r="B81" s="1" t="s">
        <v>28</v>
      </c>
      <c r="C81" s="7">
        <v>45456</v>
      </c>
      <c r="D81" s="1" t="s">
        <v>29</v>
      </c>
      <c r="E81" s="1" t="s">
        <v>30</v>
      </c>
      <c r="F81" s="1">
        <v>2103</v>
      </c>
      <c r="G81" s="1">
        <v>892</v>
      </c>
      <c r="H81" s="1">
        <v>103</v>
      </c>
      <c r="I81" s="1">
        <v>39957</v>
      </c>
      <c r="J81" s="1">
        <v>39466</v>
      </c>
      <c r="K81" s="1">
        <v>28</v>
      </c>
      <c r="L81" s="1" t="s">
        <v>48</v>
      </c>
      <c r="M81" s="1" t="s">
        <v>359</v>
      </c>
      <c r="N81" s="1" t="s">
        <v>359</v>
      </c>
      <c r="O81" s="8" t="s">
        <v>360</v>
      </c>
      <c r="P81" s="15">
        <f>(Table1_14[[#This Row],[Likes]]+Table1_14[[#This Row],[Shares]]+Table1_14[[#This Row],[Comments]])/Table1_14[[#This Row],[Impressions]]</f>
        <v>7.7533348349475686E-2</v>
      </c>
    </row>
    <row r="82" spans="1:16" x14ac:dyDescent="0.3">
      <c r="A82" s="6" t="s">
        <v>132</v>
      </c>
      <c r="B82" s="1" t="s">
        <v>28</v>
      </c>
      <c r="C82" s="7">
        <v>45584</v>
      </c>
      <c r="D82" s="1" t="s">
        <v>29</v>
      </c>
      <c r="E82" s="1" t="s">
        <v>30</v>
      </c>
      <c r="F82" s="1">
        <v>1816</v>
      </c>
      <c r="G82" s="1">
        <v>29</v>
      </c>
      <c r="H82" s="1">
        <v>41</v>
      </c>
      <c r="I82" s="1">
        <v>19976</v>
      </c>
      <c r="J82" s="1">
        <v>19262</v>
      </c>
      <c r="K82" s="1">
        <v>283</v>
      </c>
      <c r="L82" s="1" t="s">
        <v>25</v>
      </c>
      <c r="M82" s="1" t="s">
        <v>359</v>
      </c>
      <c r="N82" s="1" t="s">
        <v>359</v>
      </c>
      <c r="O82" s="8" t="s">
        <v>26</v>
      </c>
      <c r="P82" s="15">
        <f>(Table1_14[[#This Row],[Likes]]+Table1_14[[#This Row],[Shares]]+Table1_14[[#This Row],[Comments]])/Table1_14[[#This Row],[Impressions]]</f>
        <v>9.4413295955146179E-2</v>
      </c>
    </row>
    <row r="83" spans="1:16" x14ac:dyDescent="0.3">
      <c r="A83" s="6" t="s">
        <v>133</v>
      </c>
      <c r="B83" s="1" t="s">
        <v>28</v>
      </c>
      <c r="C83" s="7">
        <v>45497</v>
      </c>
      <c r="D83" s="1" t="s">
        <v>41</v>
      </c>
      <c r="E83" s="1" t="s">
        <v>134</v>
      </c>
      <c r="F83" s="1">
        <v>725</v>
      </c>
      <c r="G83" s="1">
        <v>88</v>
      </c>
      <c r="H83" s="1">
        <v>428</v>
      </c>
      <c r="I83" s="1">
        <v>14500</v>
      </c>
      <c r="J83" s="1">
        <v>13637</v>
      </c>
      <c r="K83" s="1">
        <v>200</v>
      </c>
      <c r="L83" s="1" t="s">
        <v>48</v>
      </c>
      <c r="M83" s="1" t="s">
        <v>25</v>
      </c>
      <c r="N83" s="1" t="s">
        <v>354</v>
      </c>
      <c r="O83" s="8" t="s">
        <v>26</v>
      </c>
      <c r="P83" s="15">
        <f>(Table1_14[[#This Row],[Likes]]+Table1_14[[#This Row],[Shares]]+Table1_14[[#This Row],[Comments]])/Table1_14[[#This Row],[Impressions]]</f>
        <v>8.558620689655172E-2</v>
      </c>
    </row>
    <row r="84" spans="1:16" x14ac:dyDescent="0.3">
      <c r="A84" s="6" t="s">
        <v>135</v>
      </c>
      <c r="B84" s="1" t="s">
        <v>23</v>
      </c>
      <c r="C84" s="7">
        <v>45580</v>
      </c>
      <c r="D84" s="1" t="s">
        <v>56</v>
      </c>
      <c r="E84" s="1" t="s">
        <v>136</v>
      </c>
      <c r="F84" s="1">
        <v>1094</v>
      </c>
      <c r="G84" s="1">
        <v>472</v>
      </c>
      <c r="H84" s="1">
        <v>21</v>
      </c>
      <c r="I84" s="1">
        <v>9846</v>
      </c>
      <c r="J84" s="1">
        <v>9609</v>
      </c>
      <c r="K84" s="1">
        <v>112</v>
      </c>
      <c r="L84" s="1" t="s">
        <v>31</v>
      </c>
      <c r="M84" s="1" t="s">
        <v>359</v>
      </c>
      <c r="N84" s="1" t="s">
        <v>359</v>
      </c>
      <c r="O84" s="8" t="s">
        <v>360</v>
      </c>
      <c r="P84" s="15">
        <f>(Table1_14[[#This Row],[Likes]]+Table1_14[[#This Row],[Shares]]+Table1_14[[#This Row],[Comments]])/Table1_14[[#This Row],[Impressions]]</f>
        <v>0.16118220597196831</v>
      </c>
    </row>
    <row r="85" spans="1:16" x14ac:dyDescent="0.3">
      <c r="A85" s="6" t="s">
        <v>137</v>
      </c>
      <c r="B85" s="1" t="s">
        <v>35</v>
      </c>
      <c r="C85" s="7">
        <v>45635</v>
      </c>
      <c r="D85" s="1" t="s">
        <v>41</v>
      </c>
      <c r="E85" s="1" t="s">
        <v>46</v>
      </c>
      <c r="F85" s="1">
        <v>1841</v>
      </c>
      <c r="G85" s="1">
        <v>851</v>
      </c>
      <c r="H85" s="1">
        <v>342</v>
      </c>
      <c r="I85" s="1">
        <v>34979</v>
      </c>
      <c r="J85" s="1">
        <v>34154</v>
      </c>
      <c r="K85" s="1">
        <v>255</v>
      </c>
      <c r="L85" s="1" t="s">
        <v>48</v>
      </c>
      <c r="M85" s="1" t="s">
        <v>359</v>
      </c>
      <c r="N85" s="1" t="s">
        <v>359</v>
      </c>
      <c r="O85" s="8" t="s">
        <v>32</v>
      </c>
      <c r="P85" s="15">
        <f>(Table1_14[[#This Row],[Likes]]+Table1_14[[#This Row],[Shares]]+Table1_14[[#This Row],[Comments]])/Table1_14[[#This Row],[Impressions]]</f>
        <v>8.6737756939878216E-2</v>
      </c>
    </row>
    <row r="86" spans="1:16" x14ac:dyDescent="0.3">
      <c r="A86" s="6" t="s">
        <v>138</v>
      </c>
      <c r="B86" s="1" t="s">
        <v>28</v>
      </c>
      <c r="C86" s="7">
        <v>45766</v>
      </c>
      <c r="D86" s="1" t="s">
        <v>41</v>
      </c>
      <c r="E86" s="1" t="s">
        <v>134</v>
      </c>
      <c r="F86" s="1">
        <v>4177</v>
      </c>
      <c r="G86" s="1">
        <v>569</v>
      </c>
      <c r="H86" s="1">
        <v>55</v>
      </c>
      <c r="I86" s="1">
        <v>25062</v>
      </c>
      <c r="J86" s="1">
        <v>24847</v>
      </c>
      <c r="K86" s="1">
        <v>230</v>
      </c>
      <c r="L86" s="1" t="s">
        <v>48</v>
      </c>
      <c r="M86" s="1" t="s">
        <v>359</v>
      </c>
      <c r="N86" s="1" t="s">
        <v>359</v>
      </c>
      <c r="O86" s="8" t="s">
        <v>17</v>
      </c>
      <c r="P86" s="15">
        <f>(Table1_14[[#This Row],[Likes]]+Table1_14[[#This Row],[Shares]]+Table1_14[[#This Row],[Comments]])/Table1_14[[#This Row],[Impressions]]</f>
        <v>0.19156491900087783</v>
      </c>
    </row>
    <row r="87" spans="1:16" x14ac:dyDescent="0.3">
      <c r="A87" s="6" t="s">
        <v>139</v>
      </c>
      <c r="B87" s="1" t="s">
        <v>23</v>
      </c>
      <c r="C87" s="7">
        <v>45684</v>
      </c>
      <c r="D87" s="1" t="s">
        <v>19</v>
      </c>
      <c r="E87" s="1" t="s">
        <v>73</v>
      </c>
      <c r="F87" s="1">
        <v>3428</v>
      </c>
      <c r="G87" s="1">
        <v>305</v>
      </c>
      <c r="H87" s="1">
        <v>85</v>
      </c>
      <c r="I87" s="1">
        <v>58276</v>
      </c>
      <c r="J87" s="1">
        <v>58052</v>
      </c>
      <c r="K87" s="1">
        <v>242</v>
      </c>
      <c r="L87" s="1" t="s">
        <v>31</v>
      </c>
      <c r="M87" s="1" t="s">
        <v>355</v>
      </c>
      <c r="N87" s="1" t="s">
        <v>359</v>
      </c>
      <c r="O87" s="8" t="s">
        <v>32</v>
      </c>
      <c r="P87" s="15">
        <f>(Table1_14[[#This Row],[Likes]]+Table1_14[[#This Row],[Shares]]+Table1_14[[#This Row],[Comments]])/Table1_14[[#This Row],[Impressions]]</f>
        <v>6.5515821264328367E-2</v>
      </c>
    </row>
    <row r="88" spans="1:16" x14ac:dyDescent="0.3">
      <c r="A88" s="6" t="s">
        <v>140</v>
      </c>
      <c r="B88" s="1" t="s">
        <v>14</v>
      </c>
      <c r="C88" s="7">
        <v>45449</v>
      </c>
      <c r="D88" s="1" t="s">
        <v>56</v>
      </c>
      <c r="E88" s="1" t="s">
        <v>95</v>
      </c>
      <c r="F88" s="1">
        <v>1436</v>
      </c>
      <c r="G88" s="1">
        <v>765</v>
      </c>
      <c r="H88" s="1">
        <v>496</v>
      </c>
      <c r="I88" s="1">
        <v>12924</v>
      </c>
      <c r="J88" s="1">
        <v>12701</v>
      </c>
      <c r="K88" s="1">
        <v>197</v>
      </c>
      <c r="L88" s="1" t="s">
        <v>48</v>
      </c>
      <c r="M88" s="1" t="s">
        <v>359</v>
      </c>
      <c r="N88" s="1" t="s">
        <v>359</v>
      </c>
      <c r="O88" s="8" t="s">
        <v>26</v>
      </c>
      <c r="P88" s="15">
        <f>(Table1_14[[#This Row],[Likes]]+Table1_14[[#This Row],[Shares]]+Table1_14[[#This Row],[Comments]])/Table1_14[[#This Row],[Impressions]]</f>
        <v>0.20868152274837512</v>
      </c>
    </row>
    <row r="89" spans="1:16" x14ac:dyDescent="0.3">
      <c r="A89" s="6" t="s">
        <v>141</v>
      </c>
      <c r="B89" s="1" t="s">
        <v>35</v>
      </c>
      <c r="C89" s="7">
        <v>45480</v>
      </c>
      <c r="D89" s="1" t="s">
        <v>29</v>
      </c>
      <c r="E89" s="1" t="s">
        <v>54</v>
      </c>
      <c r="F89" s="1">
        <v>302</v>
      </c>
      <c r="G89" s="1">
        <v>47</v>
      </c>
      <c r="H89" s="1">
        <v>430</v>
      </c>
      <c r="I89" s="1">
        <v>5738</v>
      </c>
      <c r="J89" s="1">
        <v>4890</v>
      </c>
      <c r="K89" s="1">
        <v>25</v>
      </c>
      <c r="L89" s="1" t="s">
        <v>25</v>
      </c>
      <c r="M89" s="1" t="s">
        <v>359</v>
      </c>
      <c r="N89" s="1" t="s">
        <v>359</v>
      </c>
      <c r="O89" s="8" t="s">
        <v>32</v>
      </c>
      <c r="P89" s="15">
        <f>(Table1_14[[#This Row],[Likes]]+Table1_14[[#This Row],[Shares]]+Table1_14[[#This Row],[Comments]])/Table1_14[[#This Row],[Impressions]]</f>
        <v>0.13576158940397351</v>
      </c>
    </row>
    <row r="90" spans="1:16" x14ac:dyDescent="0.3">
      <c r="A90" s="6" t="s">
        <v>142</v>
      </c>
      <c r="B90" s="1" t="s">
        <v>14</v>
      </c>
      <c r="C90" s="7">
        <v>45667</v>
      </c>
      <c r="D90" s="1" t="s">
        <v>41</v>
      </c>
      <c r="E90" s="1" t="s">
        <v>88</v>
      </c>
      <c r="F90" s="1">
        <v>2214</v>
      </c>
      <c r="G90" s="1">
        <v>249</v>
      </c>
      <c r="H90" s="1">
        <v>152</v>
      </c>
      <c r="I90" s="1">
        <v>15498</v>
      </c>
      <c r="J90" s="1">
        <v>14800</v>
      </c>
      <c r="K90" s="1">
        <v>180</v>
      </c>
      <c r="L90" s="1" t="s">
        <v>31</v>
      </c>
      <c r="M90" s="1" t="s">
        <v>359</v>
      </c>
      <c r="N90" s="1" t="s">
        <v>359</v>
      </c>
      <c r="O90" s="8" t="s">
        <v>360</v>
      </c>
      <c r="P90" s="15">
        <f>(Table1_14[[#This Row],[Likes]]+Table1_14[[#This Row],[Shares]]+Table1_14[[#This Row],[Comments]])/Table1_14[[#This Row],[Impressions]]</f>
        <v>0.16873144921925409</v>
      </c>
    </row>
    <row r="91" spans="1:16" x14ac:dyDescent="0.3">
      <c r="A91" s="6" t="s">
        <v>143</v>
      </c>
      <c r="B91" s="1" t="s">
        <v>28</v>
      </c>
      <c r="C91" s="7">
        <v>45446</v>
      </c>
      <c r="D91" s="1" t="s">
        <v>41</v>
      </c>
      <c r="E91" s="1" t="s">
        <v>134</v>
      </c>
      <c r="F91" s="1">
        <v>3861</v>
      </c>
      <c r="G91" s="1">
        <v>960</v>
      </c>
      <c r="H91" s="1">
        <v>101</v>
      </c>
      <c r="I91" s="1">
        <v>69498</v>
      </c>
      <c r="J91" s="1">
        <v>68817</v>
      </c>
      <c r="K91" s="1">
        <v>297</v>
      </c>
      <c r="L91" s="1" t="s">
        <v>25</v>
      </c>
      <c r="M91" s="1" t="s">
        <v>359</v>
      </c>
      <c r="N91" s="1" t="s">
        <v>359</v>
      </c>
      <c r="O91" s="8" t="s">
        <v>32</v>
      </c>
      <c r="P91" s="15">
        <f>(Table1_14[[#This Row],[Likes]]+Table1_14[[#This Row],[Shares]]+Table1_14[[#This Row],[Comments]])/Table1_14[[#This Row],[Impressions]]</f>
        <v>7.0822181933293038E-2</v>
      </c>
    </row>
    <row r="92" spans="1:16" x14ac:dyDescent="0.3">
      <c r="A92" s="6" t="s">
        <v>144</v>
      </c>
      <c r="B92" s="1" t="s">
        <v>35</v>
      </c>
      <c r="C92" s="7">
        <v>45740</v>
      </c>
      <c r="D92" s="1" t="s">
        <v>41</v>
      </c>
      <c r="E92" s="1" t="s">
        <v>46</v>
      </c>
      <c r="F92" s="1">
        <v>1263</v>
      </c>
      <c r="G92" s="1">
        <v>397</v>
      </c>
      <c r="H92" s="1">
        <v>357</v>
      </c>
      <c r="I92" s="1">
        <v>25260</v>
      </c>
      <c r="J92" s="1">
        <v>24615</v>
      </c>
      <c r="K92" s="1">
        <v>137</v>
      </c>
      <c r="L92" s="1" t="s">
        <v>31</v>
      </c>
      <c r="M92" s="1" t="s">
        <v>359</v>
      </c>
      <c r="N92" s="1" t="s">
        <v>359</v>
      </c>
      <c r="O92" s="8" t="s">
        <v>32</v>
      </c>
      <c r="P92" s="15">
        <f>(Table1_14[[#This Row],[Likes]]+Table1_14[[#This Row],[Shares]]+Table1_14[[#This Row],[Comments]])/Table1_14[[#This Row],[Impressions]]</f>
        <v>7.984956452889945E-2</v>
      </c>
    </row>
    <row r="93" spans="1:16" x14ac:dyDescent="0.3">
      <c r="A93" s="6" t="s">
        <v>145</v>
      </c>
      <c r="B93" s="1" t="s">
        <v>14</v>
      </c>
      <c r="C93" s="7">
        <v>45586</v>
      </c>
      <c r="D93" s="1" t="s">
        <v>29</v>
      </c>
      <c r="E93" s="1" t="s">
        <v>98</v>
      </c>
      <c r="F93" s="1">
        <v>3801</v>
      </c>
      <c r="G93" s="1">
        <v>967</v>
      </c>
      <c r="H93" s="1">
        <v>401</v>
      </c>
      <c r="I93" s="1">
        <v>38010</v>
      </c>
      <c r="J93" s="1">
        <v>37625</v>
      </c>
      <c r="K93" s="1">
        <v>236</v>
      </c>
      <c r="L93" s="1" t="s">
        <v>48</v>
      </c>
      <c r="M93" s="1" t="s">
        <v>359</v>
      </c>
      <c r="N93" s="1" t="s">
        <v>359</v>
      </c>
      <c r="O93" s="8" t="s">
        <v>26</v>
      </c>
      <c r="P93" s="15">
        <f>(Table1_14[[#This Row],[Likes]]+Table1_14[[#This Row],[Shares]]+Table1_14[[#This Row],[Comments]])/Table1_14[[#This Row],[Impressions]]</f>
        <v>0.13599052880820836</v>
      </c>
    </row>
    <row r="94" spans="1:16" x14ac:dyDescent="0.3">
      <c r="A94" s="6" t="s">
        <v>146</v>
      </c>
      <c r="B94" s="1" t="s">
        <v>28</v>
      </c>
      <c r="C94" s="7">
        <v>45637</v>
      </c>
      <c r="D94" s="1" t="s">
        <v>56</v>
      </c>
      <c r="E94" s="1" t="s">
        <v>63</v>
      </c>
      <c r="F94" s="1">
        <v>1431</v>
      </c>
      <c r="G94" s="1">
        <v>951</v>
      </c>
      <c r="H94" s="1">
        <v>26</v>
      </c>
      <c r="I94" s="1">
        <v>8586</v>
      </c>
      <c r="J94" s="1">
        <v>8396</v>
      </c>
      <c r="K94" s="1">
        <v>150</v>
      </c>
      <c r="L94" s="1" t="s">
        <v>31</v>
      </c>
      <c r="M94" s="1" t="s">
        <v>359</v>
      </c>
      <c r="N94" s="1" t="s">
        <v>359</v>
      </c>
      <c r="O94" s="8" t="s">
        <v>26</v>
      </c>
      <c r="P94" s="15">
        <f>(Table1_14[[#This Row],[Likes]]+Table1_14[[#This Row],[Shares]]+Table1_14[[#This Row],[Comments]])/Table1_14[[#This Row],[Impressions]]</f>
        <v>0.28045655718611695</v>
      </c>
    </row>
    <row r="95" spans="1:16" x14ac:dyDescent="0.3">
      <c r="A95" s="6" t="s">
        <v>147</v>
      </c>
      <c r="B95" s="1" t="s">
        <v>28</v>
      </c>
      <c r="C95" s="7">
        <v>45603</v>
      </c>
      <c r="D95" s="1" t="s">
        <v>41</v>
      </c>
      <c r="E95" s="1" t="s">
        <v>134</v>
      </c>
      <c r="F95" s="1">
        <v>2647</v>
      </c>
      <c r="G95" s="1">
        <v>304</v>
      </c>
      <c r="H95" s="1">
        <v>170</v>
      </c>
      <c r="I95" s="1">
        <v>18529</v>
      </c>
      <c r="J95" s="1">
        <v>17841</v>
      </c>
      <c r="K95" s="1">
        <v>46</v>
      </c>
      <c r="L95" s="1" t="s">
        <v>48</v>
      </c>
      <c r="M95" s="1" t="s">
        <v>359</v>
      </c>
      <c r="N95" s="1" t="s">
        <v>359</v>
      </c>
      <c r="O95" s="8" t="s">
        <v>26</v>
      </c>
      <c r="P95" s="15">
        <f>(Table1_14[[#This Row],[Likes]]+Table1_14[[#This Row],[Shares]]+Table1_14[[#This Row],[Comments]])/Table1_14[[#This Row],[Impressions]]</f>
        <v>0.16843866371633656</v>
      </c>
    </row>
    <row r="96" spans="1:16" x14ac:dyDescent="0.3">
      <c r="A96" s="6" t="s">
        <v>148</v>
      </c>
      <c r="B96" s="1" t="s">
        <v>28</v>
      </c>
      <c r="C96" s="7">
        <v>45604</v>
      </c>
      <c r="D96" s="1" t="s">
        <v>19</v>
      </c>
      <c r="E96" s="1" t="s">
        <v>78</v>
      </c>
      <c r="F96" s="1">
        <v>3182</v>
      </c>
      <c r="G96" s="1">
        <v>559</v>
      </c>
      <c r="H96" s="1">
        <v>160</v>
      </c>
      <c r="I96" s="1">
        <v>57276</v>
      </c>
      <c r="J96" s="1">
        <v>56890</v>
      </c>
      <c r="K96" s="1">
        <v>163</v>
      </c>
      <c r="L96" s="1" t="s">
        <v>48</v>
      </c>
      <c r="M96" s="1" t="s">
        <v>359</v>
      </c>
      <c r="N96" s="1" t="s">
        <v>359</v>
      </c>
      <c r="O96" s="8" t="s">
        <v>32</v>
      </c>
      <c r="P96" s="15">
        <f>(Table1_14[[#This Row],[Likes]]+Table1_14[[#This Row],[Shares]]+Table1_14[[#This Row],[Comments]])/Table1_14[[#This Row],[Impressions]]</f>
        <v>6.8108806480899509E-2</v>
      </c>
    </row>
    <row r="97" spans="1:16" x14ac:dyDescent="0.3">
      <c r="A97" s="6" t="s">
        <v>149</v>
      </c>
      <c r="B97" s="1" t="s">
        <v>14</v>
      </c>
      <c r="C97" s="7">
        <v>45545</v>
      </c>
      <c r="D97" s="1" t="s">
        <v>41</v>
      </c>
      <c r="E97" s="1" t="s">
        <v>88</v>
      </c>
      <c r="F97" s="1">
        <v>1238</v>
      </c>
      <c r="G97" s="1">
        <v>366</v>
      </c>
      <c r="H97" s="1">
        <v>444</v>
      </c>
      <c r="I97" s="1">
        <v>19808</v>
      </c>
      <c r="J97" s="1">
        <v>19334</v>
      </c>
      <c r="K97" s="1">
        <v>123</v>
      </c>
      <c r="L97" s="1" t="s">
        <v>48</v>
      </c>
      <c r="M97" s="1" t="s">
        <v>359</v>
      </c>
      <c r="N97" s="1" t="s">
        <v>359</v>
      </c>
      <c r="O97" s="8" t="s">
        <v>360</v>
      </c>
      <c r="P97" s="15">
        <f>(Table1_14[[#This Row],[Likes]]+Table1_14[[#This Row],[Shares]]+Table1_14[[#This Row],[Comments]])/Table1_14[[#This Row],[Impressions]]</f>
        <v>0.10339256865912763</v>
      </c>
    </row>
    <row r="98" spans="1:16" x14ac:dyDescent="0.3">
      <c r="A98" s="6" t="s">
        <v>150</v>
      </c>
      <c r="B98" s="1" t="s">
        <v>28</v>
      </c>
      <c r="C98" s="7">
        <v>45517</v>
      </c>
      <c r="D98" s="1" t="s">
        <v>41</v>
      </c>
      <c r="E98" s="1" t="s">
        <v>134</v>
      </c>
      <c r="F98" s="1">
        <v>4739</v>
      </c>
      <c r="G98" s="1">
        <v>527</v>
      </c>
      <c r="H98" s="1">
        <v>135</v>
      </c>
      <c r="I98" s="1">
        <v>61607</v>
      </c>
      <c r="J98" s="1">
        <v>61333</v>
      </c>
      <c r="K98" s="1">
        <v>36</v>
      </c>
      <c r="L98" s="1" t="s">
        <v>25</v>
      </c>
      <c r="M98" s="1" t="s">
        <v>354</v>
      </c>
      <c r="N98" s="1" t="s">
        <v>359</v>
      </c>
      <c r="O98" s="8" t="s">
        <v>21</v>
      </c>
      <c r="P98" s="15">
        <f>(Table1_14[[#This Row],[Likes]]+Table1_14[[#This Row],[Shares]]+Table1_14[[#This Row],[Comments]])/Table1_14[[#This Row],[Impressions]]</f>
        <v>8.7668609086629767E-2</v>
      </c>
    </row>
    <row r="99" spans="1:16" x14ac:dyDescent="0.3">
      <c r="A99" s="6" t="s">
        <v>151</v>
      </c>
      <c r="B99" s="1" t="s">
        <v>14</v>
      </c>
      <c r="C99" s="7">
        <v>45453</v>
      </c>
      <c r="D99" s="1" t="s">
        <v>29</v>
      </c>
      <c r="E99" s="1" t="s">
        <v>98</v>
      </c>
      <c r="F99" s="1">
        <v>1575</v>
      </c>
      <c r="G99" s="1">
        <v>771</v>
      </c>
      <c r="H99" s="1">
        <v>486</v>
      </c>
      <c r="I99" s="1">
        <v>25200</v>
      </c>
      <c r="J99" s="1">
        <v>24826</v>
      </c>
      <c r="K99" s="1">
        <v>17</v>
      </c>
      <c r="L99" s="1" t="s">
        <v>48</v>
      </c>
      <c r="M99" s="1" t="s">
        <v>359</v>
      </c>
      <c r="N99" s="1" t="s">
        <v>359</v>
      </c>
      <c r="O99" s="8" t="s">
        <v>32</v>
      </c>
      <c r="P99" s="15">
        <f>(Table1_14[[#This Row],[Likes]]+Table1_14[[#This Row],[Shares]]+Table1_14[[#This Row],[Comments]])/Table1_14[[#This Row],[Impressions]]</f>
        <v>0.11238095238095239</v>
      </c>
    </row>
    <row r="100" spans="1:16" x14ac:dyDescent="0.3">
      <c r="A100" s="6" t="s">
        <v>152</v>
      </c>
      <c r="B100" s="1" t="s">
        <v>23</v>
      </c>
      <c r="C100" s="7">
        <v>45475</v>
      </c>
      <c r="D100" s="1" t="s">
        <v>36</v>
      </c>
      <c r="E100" s="1" t="s">
        <v>52</v>
      </c>
      <c r="F100" s="1">
        <v>4171</v>
      </c>
      <c r="G100" s="1">
        <v>548</v>
      </c>
      <c r="H100" s="1">
        <v>86</v>
      </c>
      <c r="I100" s="1">
        <v>66736</v>
      </c>
      <c r="J100" s="1">
        <v>66634</v>
      </c>
      <c r="K100" s="1">
        <v>173</v>
      </c>
      <c r="L100" s="1" t="s">
        <v>48</v>
      </c>
      <c r="M100" s="1" t="s">
        <v>359</v>
      </c>
      <c r="N100" s="1" t="s">
        <v>359</v>
      </c>
      <c r="O100" s="8" t="s">
        <v>26</v>
      </c>
      <c r="P100" s="15">
        <f>(Table1_14[[#This Row],[Likes]]+Table1_14[[#This Row],[Shares]]+Table1_14[[#This Row],[Comments]])/Table1_14[[#This Row],[Impressions]]</f>
        <v>7.2000119875329657E-2</v>
      </c>
    </row>
    <row r="101" spans="1:16" x14ac:dyDescent="0.3">
      <c r="A101" s="6" t="s">
        <v>153</v>
      </c>
      <c r="B101" s="1" t="s">
        <v>23</v>
      </c>
      <c r="C101" s="7">
        <v>45698</v>
      </c>
      <c r="D101" s="1" t="s">
        <v>56</v>
      </c>
      <c r="E101" s="1" t="s">
        <v>136</v>
      </c>
      <c r="F101" s="1">
        <v>1766</v>
      </c>
      <c r="G101" s="1">
        <v>92</v>
      </c>
      <c r="H101" s="1">
        <v>424</v>
      </c>
      <c r="I101" s="1">
        <v>24724</v>
      </c>
      <c r="J101" s="1">
        <v>24333</v>
      </c>
      <c r="K101" s="1">
        <v>52</v>
      </c>
      <c r="L101" s="1" t="s">
        <v>31</v>
      </c>
      <c r="M101" s="1" t="s">
        <v>359</v>
      </c>
      <c r="N101" s="1" t="s">
        <v>359</v>
      </c>
      <c r="O101" s="8" t="s">
        <v>360</v>
      </c>
      <c r="P101" s="15">
        <f>(Table1_14[[#This Row],[Likes]]+Table1_14[[#This Row],[Shares]]+Table1_14[[#This Row],[Comments]])/Table1_14[[#This Row],[Impressions]]</f>
        <v>9.2298980747451867E-2</v>
      </c>
    </row>
    <row r="102" spans="1:16" x14ac:dyDescent="0.3">
      <c r="A102" s="6" t="s">
        <v>154</v>
      </c>
      <c r="B102" s="1" t="s">
        <v>23</v>
      </c>
      <c r="C102" s="7">
        <v>45583</v>
      </c>
      <c r="D102" s="1" t="s">
        <v>56</v>
      </c>
      <c r="E102" s="1" t="s">
        <v>136</v>
      </c>
      <c r="F102" s="1">
        <v>4450</v>
      </c>
      <c r="G102" s="1">
        <v>983</v>
      </c>
      <c r="H102" s="1">
        <v>143</v>
      </c>
      <c r="I102" s="1">
        <v>75650</v>
      </c>
      <c r="J102" s="1">
        <v>75008</v>
      </c>
      <c r="K102" s="1">
        <v>12</v>
      </c>
      <c r="L102" s="1" t="s">
        <v>48</v>
      </c>
      <c r="M102" s="1" t="s">
        <v>359</v>
      </c>
      <c r="N102" s="1" t="s">
        <v>359</v>
      </c>
      <c r="O102" s="8" t="s">
        <v>26</v>
      </c>
      <c r="P102" s="15">
        <f>(Table1_14[[#This Row],[Likes]]+Table1_14[[#This Row],[Shares]]+Table1_14[[#This Row],[Comments]])/Table1_14[[#This Row],[Impressions]]</f>
        <v>7.3707865168539333E-2</v>
      </c>
    </row>
    <row r="103" spans="1:16" x14ac:dyDescent="0.3">
      <c r="A103" s="6" t="s">
        <v>155</v>
      </c>
      <c r="B103" s="1" t="s">
        <v>14</v>
      </c>
      <c r="C103" s="7">
        <v>45553</v>
      </c>
      <c r="D103" s="1" t="s">
        <v>15</v>
      </c>
      <c r="E103" s="1" t="s">
        <v>16</v>
      </c>
      <c r="F103" s="1">
        <v>1000</v>
      </c>
      <c r="G103" s="1">
        <v>978</v>
      </c>
      <c r="H103" s="1">
        <v>162</v>
      </c>
      <c r="I103" s="1">
        <v>6000</v>
      </c>
      <c r="J103" s="1">
        <v>5221</v>
      </c>
      <c r="K103" s="1">
        <v>223</v>
      </c>
      <c r="L103" s="1" t="s">
        <v>31</v>
      </c>
      <c r="M103" s="1" t="s">
        <v>359</v>
      </c>
      <c r="N103" s="1" t="s">
        <v>359</v>
      </c>
      <c r="O103" s="8" t="s">
        <v>21</v>
      </c>
      <c r="P103" s="15">
        <f>(Table1_14[[#This Row],[Likes]]+Table1_14[[#This Row],[Shares]]+Table1_14[[#This Row],[Comments]])/Table1_14[[#This Row],[Impressions]]</f>
        <v>0.35666666666666669</v>
      </c>
    </row>
    <row r="104" spans="1:16" x14ac:dyDescent="0.3">
      <c r="A104" s="6" t="s">
        <v>156</v>
      </c>
      <c r="B104" s="1" t="s">
        <v>35</v>
      </c>
      <c r="C104" s="7">
        <v>45454</v>
      </c>
      <c r="D104" s="1" t="s">
        <v>41</v>
      </c>
      <c r="E104" s="1" t="s">
        <v>46</v>
      </c>
      <c r="F104" s="1">
        <v>3689</v>
      </c>
      <c r="G104" s="1">
        <v>48</v>
      </c>
      <c r="H104" s="1">
        <v>306</v>
      </c>
      <c r="I104" s="1">
        <v>40579</v>
      </c>
      <c r="J104" s="1">
        <v>39588</v>
      </c>
      <c r="K104" s="1">
        <v>212</v>
      </c>
      <c r="L104" s="1" t="s">
        <v>31</v>
      </c>
      <c r="M104" s="1" t="s">
        <v>359</v>
      </c>
      <c r="N104" s="1" t="s">
        <v>359</v>
      </c>
      <c r="O104" s="8" t="s">
        <v>21</v>
      </c>
      <c r="P104" s="15">
        <f>(Table1_14[[#This Row],[Likes]]+Table1_14[[#This Row],[Shares]]+Table1_14[[#This Row],[Comments]])/Table1_14[[#This Row],[Impressions]]</f>
        <v>9.9632815002833983E-2</v>
      </c>
    </row>
    <row r="105" spans="1:16" x14ac:dyDescent="0.3">
      <c r="A105" s="6" t="s">
        <v>157</v>
      </c>
      <c r="B105" s="1" t="s">
        <v>23</v>
      </c>
      <c r="C105" s="7">
        <v>45739</v>
      </c>
      <c r="D105" s="1" t="s">
        <v>29</v>
      </c>
      <c r="E105" s="1" t="s">
        <v>101</v>
      </c>
      <c r="F105" s="1">
        <v>3655</v>
      </c>
      <c r="G105" s="1">
        <v>568</v>
      </c>
      <c r="H105" s="1">
        <v>286</v>
      </c>
      <c r="I105" s="1">
        <v>32895</v>
      </c>
      <c r="J105" s="1">
        <v>32015</v>
      </c>
      <c r="K105" s="1">
        <v>199</v>
      </c>
      <c r="L105" s="1" t="s">
        <v>25</v>
      </c>
      <c r="M105" s="1" t="s">
        <v>359</v>
      </c>
      <c r="N105" s="1" t="s">
        <v>359</v>
      </c>
      <c r="O105" s="8" t="s">
        <v>26</v>
      </c>
      <c r="P105" s="15">
        <f>(Table1_14[[#This Row],[Likes]]+Table1_14[[#This Row],[Shares]]+Table1_14[[#This Row],[Comments]])/Table1_14[[#This Row],[Impressions]]</f>
        <v>0.13707250341997265</v>
      </c>
    </row>
    <row r="106" spans="1:16" x14ac:dyDescent="0.3">
      <c r="A106" s="6" t="s">
        <v>158</v>
      </c>
      <c r="B106" s="1" t="s">
        <v>28</v>
      </c>
      <c r="C106" s="7">
        <v>45457</v>
      </c>
      <c r="D106" s="1" t="s">
        <v>36</v>
      </c>
      <c r="E106" s="1" t="s">
        <v>65</v>
      </c>
      <c r="F106" s="1">
        <v>498</v>
      </c>
      <c r="G106" s="1">
        <v>38</v>
      </c>
      <c r="H106" s="1">
        <v>42</v>
      </c>
      <c r="I106" s="1">
        <v>4482</v>
      </c>
      <c r="J106" s="1">
        <v>3647</v>
      </c>
      <c r="K106" s="1">
        <v>32</v>
      </c>
      <c r="L106" s="1" t="s">
        <v>48</v>
      </c>
      <c r="M106" s="1" t="s">
        <v>359</v>
      </c>
      <c r="N106" s="1" t="s">
        <v>359</v>
      </c>
      <c r="O106" s="8" t="s">
        <v>17</v>
      </c>
      <c r="P106" s="15">
        <f>(Table1_14[[#This Row],[Likes]]+Table1_14[[#This Row],[Shares]]+Table1_14[[#This Row],[Comments]])/Table1_14[[#This Row],[Impressions]]</f>
        <v>0.12896028558679162</v>
      </c>
    </row>
    <row r="107" spans="1:16" x14ac:dyDescent="0.3">
      <c r="A107" s="6" t="s">
        <v>159</v>
      </c>
      <c r="B107" s="1" t="s">
        <v>28</v>
      </c>
      <c r="C107" s="7">
        <v>45692</v>
      </c>
      <c r="D107" s="1" t="s">
        <v>41</v>
      </c>
      <c r="E107" s="1" t="s">
        <v>134</v>
      </c>
      <c r="F107" s="1">
        <v>4619</v>
      </c>
      <c r="G107" s="1">
        <v>821</v>
      </c>
      <c r="H107" s="1">
        <v>499</v>
      </c>
      <c r="I107" s="1">
        <v>69285</v>
      </c>
      <c r="J107" s="1">
        <v>69141</v>
      </c>
      <c r="K107" s="1">
        <v>298</v>
      </c>
      <c r="L107" s="1" t="s">
        <v>25</v>
      </c>
      <c r="M107" s="1" t="s">
        <v>359</v>
      </c>
      <c r="N107" s="1" t="s">
        <v>359</v>
      </c>
      <c r="O107" s="8" t="s">
        <v>32</v>
      </c>
      <c r="P107" s="15">
        <f>(Table1_14[[#This Row],[Likes]]+Table1_14[[#This Row],[Shares]]+Table1_14[[#This Row],[Comments]])/Table1_14[[#This Row],[Impressions]]</f>
        <v>8.5718409468138843E-2</v>
      </c>
    </row>
    <row r="108" spans="1:16" x14ac:dyDescent="0.3">
      <c r="A108" s="6" t="s">
        <v>160</v>
      </c>
      <c r="B108" s="1" t="s">
        <v>23</v>
      </c>
      <c r="C108" s="7">
        <v>45464</v>
      </c>
      <c r="D108" s="1" t="s">
        <v>41</v>
      </c>
      <c r="E108" s="1" t="s">
        <v>42</v>
      </c>
      <c r="F108" s="1">
        <v>4832</v>
      </c>
      <c r="G108" s="1">
        <v>893</v>
      </c>
      <c r="H108" s="1">
        <v>10</v>
      </c>
      <c r="I108" s="1">
        <v>91808</v>
      </c>
      <c r="J108" s="1">
        <v>91296</v>
      </c>
      <c r="K108" s="1">
        <v>182</v>
      </c>
      <c r="L108" s="1" t="s">
        <v>25</v>
      </c>
      <c r="M108" s="1" t="s">
        <v>359</v>
      </c>
      <c r="N108" s="1" t="s">
        <v>359</v>
      </c>
      <c r="O108" s="8" t="s">
        <v>360</v>
      </c>
      <c r="P108" s="15">
        <f>(Table1_14[[#This Row],[Likes]]+Table1_14[[#This Row],[Shares]]+Table1_14[[#This Row],[Comments]])/Table1_14[[#This Row],[Impressions]]</f>
        <v>6.2467323109097243E-2</v>
      </c>
    </row>
    <row r="109" spans="1:16" x14ac:dyDescent="0.3">
      <c r="A109" s="6" t="s">
        <v>161</v>
      </c>
      <c r="B109" s="1" t="s">
        <v>14</v>
      </c>
      <c r="C109" s="7">
        <v>45741</v>
      </c>
      <c r="D109" s="1" t="s">
        <v>56</v>
      </c>
      <c r="E109" s="1" t="s">
        <v>95</v>
      </c>
      <c r="F109" s="1">
        <v>4050</v>
      </c>
      <c r="G109" s="1">
        <v>871</v>
      </c>
      <c r="H109" s="1">
        <v>347</v>
      </c>
      <c r="I109" s="1">
        <v>52650</v>
      </c>
      <c r="J109" s="1">
        <v>51755</v>
      </c>
      <c r="K109" s="1">
        <v>209</v>
      </c>
      <c r="L109" s="1" t="s">
        <v>25</v>
      </c>
      <c r="M109" s="1" t="s">
        <v>359</v>
      </c>
      <c r="N109" s="1" t="s">
        <v>359</v>
      </c>
      <c r="O109" s="8" t="s">
        <v>21</v>
      </c>
      <c r="P109" s="15">
        <f>(Table1_14[[#This Row],[Likes]]+Table1_14[[#This Row],[Shares]]+Table1_14[[#This Row],[Comments]])/Table1_14[[#This Row],[Impressions]]</f>
        <v>0.10005698005698006</v>
      </c>
    </row>
    <row r="110" spans="1:16" x14ac:dyDescent="0.3">
      <c r="A110" s="6" t="s">
        <v>162</v>
      </c>
      <c r="B110" s="1" t="s">
        <v>14</v>
      </c>
      <c r="C110" s="7">
        <v>45512</v>
      </c>
      <c r="D110" s="1" t="s">
        <v>29</v>
      </c>
      <c r="E110" s="1" t="s">
        <v>98</v>
      </c>
      <c r="F110" s="1">
        <v>3649</v>
      </c>
      <c r="G110" s="1">
        <v>215</v>
      </c>
      <c r="H110" s="1">
        <v>413</v>
      </c>
      <c r="I110" s="1">
        <v>25543</v>
      </c>
      <c r="J110" s="1">
        <v>24963</v>
      </c>
      <c r="K110" s="1">
        <v>167</v>
      </c>
      <c r="L110" s="1" t="s">
        <v>48</v>
      </c>
      <c r="M110" s="1" t="s">
        <v>359</v>
      </c>
      <c r="N110" s="1" t="s">
        <v>359</v>
      </c>
      <c r="O110" s="8" t="s">
        <v>26</v>
      </c>
      <c r="P110" s="15">
        <f>(Table1_14[[#This Row],[Likes]]+Table1_14[[#This Row],[Shares]]+Table1_14[[#This Row],[Comments]])/Table1_14[[#This Row],[Impressions]]</f>
        <v>0.16744313510550835</v>
      </c>
    </row>
    <row r="111" spans="1:16" x14ac:dyDescent="0.3">
      <c r="A111" s="6" t="s">
        <v>163</v>
      </c>
      <c r="B111" s="1" t="s">
        <v>28</v>
      </c>
      <c r="C111" s="7">
        <v>45502</v>
      </c>
      <c r="D111" s="1" t="s">
        <v>15</v>
      </c>
      <c r="E111" s="1" t="s">
        <v>61</v>
      </c>
      <c r="F111" s="1">
        <v>3523</v>
      </c>
      <c r="G111" s="1">
        <v>753</v>
      </c>
      <c r="H111" s="1">
        <v>482</v>
      </c>
      <c r="I111" s="1">
        <v>38753</v>
      </c>
      <c r="J111" s="1">
        <v>38579</v>
      </c>
      <c r="K111" s="1">
        <v>270</v>
      </c>
      <c r="L111" s="1" t="s">
        <v>31</v>
      </c>
      <c r="M111" s="1" t="s">
        <v>359</v>
      </c>
      <c r="N111" s="1" t="s">
        <v>359</v>
      </c>
      <c r="O111" s="8" t="s">
        <v>21</v>
      </c>
      <c r="P111" s="15">
        <f>(Table1_14[[#This Row],[Likes]]+Table1_14[[#This Row],[Shares]]+Table1_14[[#This Row],[Comments]])/Table1_14[[#This Row],[Impressions]]</f>
        <v>0.12277759141227776</v>
      </c>
    </row>
    <row r="112" spans="1:16" x14ac:dyDescent="0.3">
      <c r="A112" s="6" t="s">
        <v>164</v>
      </c>
      <c r="B112" s="1" t="s">
        <v>23</v>
      </c>
      <c r="C112" s="7">
        <v>45619</v>
      </c>
      <c r="D112" s="1" t="s">
        <v>41</v>
      </c>
      <c r="E112" s="1" t="s">
        <v>42</v>
      </c>
      <c r="F112" s="1">
        <v>2719</v>
      </c>
      <c r="G112" s="1">
        <v>17</v>
      </c>
      <c r="H112" s="1">
        <v>285</v>
      </c>
      <c r="I112" s="1">
        <v>40785</v>
      </c>
      <c r="J112" s="1">
        <v>40281</v>
      </c>
      <c r="K112" s="1">
        <v>40</v>
      </c>
      <c r="L112" s="1" t="s">
        <v>25</v>
      </c>
      <c r="M112" s="1" t="s">
        <v>359</v>
      </c>
      <c r="N112" s="1" t="s">
        <v>359</v>
      </c>
      <c r="O112" s="8" t="s">
        <v>21</v>
      </c>
      <c r="P112" s="15">
        <f>(Table1_14[[#This Row],[Likes]]+Table1_14[[#This Row],[Shares]]+Table1_14[[#This Row],[Comments]])/Table1_14[[#This Row],[Impressions]]</f>
        <v>7.4071349760941527E-2</v>
      </c>
    </row>
    <row r="113" spans="1:16" x14ac:dyDescent="0.3">
      <c r="A113" s="6" t="s">
        <v>165</v>
      </c>
      <c r="B113" s="1" t="s">
        <v>14</v>
      </c>
      <c r="C113" s="7">
        <v>45570</v>
      </c>
      <c r="D113" s="1" t="s">
        <v>29</v>
      </c>
      <c r="E113" s="1" t="s">
        <v>98</v>
      </c>
      <c r="F113" s="1">
        <v>1957</v>
      </c>
      <c r="G113" s="1">
        <v>877</v>
      </c>
      <c r="H113" s="1">
        <v>238</v>
      </c>
      <c r="I113" s="1">
        <v>17613</v>
      </c>
      <c r="J113" s="1">
        <v>16865</v>
      </c>
      <c r="K113" s="1">
        <v>297</v>
      </c>
      <c r="L113" s="1" t="s">
        <v>48</v>
      </c>
      <c r="M113" s="1" t="s">
        <v>359</v>
      </c>
      <c r="N113" s="1" t="s">
        <v>359</v>
      </c>
      <c r="O113" s="8" t="s">
        <v>26</v>
      </c>
      <c r="P113" s="15">
        <f>(Table1_14[[#This Row],[Likes]]+Table1_14[[#This Row],[Shares]]+Table1_14[[#This Row],[Comments]])/Table1_14[[#This Row],[Impressions]]</f>
        <v>0.17441662408448305</v>
      </c>
    </row>
    <row r="114" spans="1:16" x14ac:dyDescent="0.3">
      <c r="A114" s="6" t="s">
        <v>166</v>
      </c>
      <c r="B114" s="1" t="s">
        <v>14</v>
      </c>
      <c r="C114" s="7">
        <v>45567</v>
      </c>
      <c r="D114" s="1" t="s">
        <v>36</v>
      </c>
      <c r="E114" s="1" t="s">
        <v>39</v>
      </c>
      <c r="F114" s="1">
        <v>4419</v>
      </c>
      <c r="G114" s="1">
        <v>236</v>
      </c>
      <c r="H114" s="1">
        <v>369</v>
      </c>
      <c r="I114" s="1">
        <v>44190</v>
      </c>
      <c r="J114" s="1">
        <v>43582</v>
      </c>
      <c r="K114" s="1">
        <v>10</v>
      </c>
      <c r="L114" s="1" t="s">
        <v>31</v>
      </c>
      <c r="M114" s="1" t="s">
        <v>359</v>
      </c>
      <c r="N114" s="1" t="s">
        <v>359</v>
      </c>
      <c r="O114" s="8" t="s">
        <v>17</v>
      </c>
      <c r="P114" s="15">
        <f>(Table1_14[[#This Row],[Likes]]+Table1_14[[#This Row],[Shares]]+Table1_14[[#This Row],[Comments]])/Table1_14[[#This Row],[Impressions]]</f>
        <v>0.11369088028965829</v>
      </c>
    </row>
    <row r="115" spans="1:16" x14ac:dyDescent="0.3">
      <c r="A115" s="6" t="s">
        <v>167</v>
      </c>
      <c r="B115" s="1" t="s">
        <v>14</v>
      </c>
      <c r="C115" s="7">
        <v>45610</v>
      </c>
      <c r="D115" s="1" t="s">
        <v>29</v>
      </c>
      <c r="E115" s="1" t="s">
        <v>98</v>
      </c>
      <c r="F115" s="1">
        <v>4000</v>
      </c>
      <c r="G115" s="1">
        <v>689</v>
      </c>
      <c r="H115" s="1">
        <v>488</v>
      </c>
      <c r="I115" s="1">
        <v>40000</v>
      </c>
      <c r="J115" s="1">
        <v>39569</v>
      </c>
      <c r="K115" s="1">
        <v>44</v>
      </c>
      <c r="L115" s="1" t="s">
        <v>48</v>
      </c>
      <c r="M115" s="1" t="s">
        <v>359</v>
      </c>
      <c r="N115" s="1" t="s">
        <v>359</v>
      </c>
      <c r="O115" s="8" t="s">
        <v>17</v>
      </c>
      <c r="P115" s="15">
        <f>(Table1_14[[#This Row],[Likes]]+Table1_14[[#This Row],[Shares]]+Table1_14[[#This Row],[Comments]])/Table1_14[[#This Row],[Impressions]]</f>
        <v>0.12942500000000001</v>
      </c>
    </row>
    <row r="116" spans="1:16" x14ac:dyDescent="0.3">
      <c r="A116" s="6" t="s">
        <v>168</v>
      </c>
      <c r="B116" s="1" t="s">
        <v>14</v>
      </c>
      <c r="C116" s="7">
        <v>45788</v>
      </c>
      <c r="D116" s="1" t="s">
        <v>41</v>
      </c>
      <c r="E116" s="1" t="s">
        <v>88</v>
      </c>
      <c r="F116" s="1">
        <v>2493</v>
      </c>
      <c r="G116" s="1">
        <v>97</v>
      </c>
      <c r="H116" s="1">
        <v>44</v>
      </c>
      <c r="I116" s="1">
        <v>42381</v>
      </c>
      <c r="J116" s="1">
        <v>41991</v>
      </c>
      <c r="K116" s="1">
        <v>242</v>
      </c>
      <c r="L116" s="1" t="s">
        <v>25</v>
      </c>
      <c r="M116" s="1" t="s">
        <v>354</v>
      </c>
      <c r="N116" s="1" t="s">
        <v>359</v>
      </c>
      <c r="O116" s="8" t="s">
        <v>32</v>
      </c>
      <c r="P116" s="15">
        <f>(Table1_14[[#This Row],[Likes]]+Table1_14[[#This Row],[Shares]]+Table1_14[[#This Row],[Comments]])/Table1_14[[#This Row],[Impressions]]</f>
        <v>6.2150491965739366E-2</v>
      </c>
    </row>
    <row r="117" spans="1:16" x14ac:dyDescent="0.3">
      <c r="A117" s="6" t="s">
        <v>169</v>
      </c>
      <c r="B117" s="1" t="s">
        <v>23</v>
      </c>
      <c r="C117" s="7">
        <v>45734</v>
      </c>
      <c r="D117" s="1" t="s">
        <v>15</v>
      </c>
      <c r="E117" s="1" t="s">
        <v>24</v>
      </c>
      <c r="F117" s="1">
        <v>3704</v>
      </c>
      <c r="G117" s="1">
        <v>186</v>
      </c>
      <c r="H117" s="1">
        <v>458</v>
      </c>
      <c r="I117" s="1">
        <v>25928</v>
      </c>
      <c r="J117" s="1">
        <v>25081</v>
      </c>
      <c r="K117" s="1">
        <v>131</v>
      </c>
      <c r="L117" s="1" t="s">
        <v>25</v>
      </c>
      <c r="M117" s="1" t="s">
        <v>359</v>
      </c>
      <c r="N117" s="1" t="s">
        <v>359</v>
      </c>
      <c r="O117" s="8" t="s">
        <v>360</v>
      </c>
      <c r="P117" s="15">
        <f>(Table1_14[[#This Row],[Likes]]+Table1_14[[#This Row],[Shares]]+Table1_14[[#This Row],[Comments]])/Table1_14[[#This Row],[Impressions]]</f>
        <v>0.16769515581610614</v>
      </c>
    </row>
    <row r="118" spans="1:16" x14ac:dyDescent="0.3">
      <c r="A118" s="6" t="s">
        <v>170</v>
      </c>
      <c r="B118" s="1" t="s">
        <v>14</v>
      </c>
      <c r="C118" s="7">
        <v>45600</v>
      </c>
      <c r="D118" s="1" t="s">
        <v>41</v>
      </c>
      <c r="E118" s="1" t="s">
        <v>88</v>
      </c>
      <c r="F118" s="1">
        <v>1606</v>
      </c>
      <c r="G118" s="1">
        <v>451</v>
      </c>
      <c r="H118" s="1">
        <v>405</v>
      </c>
      <c r="I118" s="1">
        <v>20878</v>
      </c>
      <c r="J118" s="1">
        <v>20190</v>
      </c>
      <c r="K118" s="1">
        <v>219</v>
      </c>
      <c r="L118" s="1" t="s">
        <v>31</v>
      </c>
      <c r="M118" s="1" t="s">
        <v>359</v>
      </c>
      <c r="N118" s="1" t="s">
        <v>359</v>
      </c>
      <c r="O118" s="8" t="s">
        <v>32</v>
      </c>
      <c r="P118" s="15">
        <f>(Table1_14[[#This Row],[Likes]]+Table1_14[[#This Row],[Shares]]+Table1_14[[#This Row],[Comments]])/Table1_14[[#This Row],[Impressions]]</f>
        <v>0.11792317271769326</v>
      </c>
    </row>
    <row r="119" spans="1:16" x14ac:dyDescent="0.3">
      <c r="A119" s="6" t="s">
        <v>171</v>
      </c>
      <c r="B119" s="1" t="s">
        <v>35</v>
      </c>
      <c r="C119" s="7">
        <v>45600</v>
      </c>
      <c r="D119" s="1" t="s">
        <v>41</v>
      </c>
      <c r="E119" s="1" t="s">
        <v>46</v>
      </c>
      <c r="F119" s="1">
        <v>4551</v>
      </c>
      <c r="G119" s="1">
        <v>714</v>
      </c>
      <c r="H119" s="1">
        <v>207</v>
      </c>
      <c r="I119" s="1">
        <v>68265</v>
      </c>
      <c r="J119" s="1">
        <v>67754</v>
      </c>
      <c r="K119" s="1">
        <v>57</v>
      </c>
      <c r="L119" s="1" t="s">
        <v>48</v>
      </c>
      <c r="M119" s="1" t="s">
        <v>359</v>
      </c>
      <c r="N119" s="1" t="s">
        <v>359</v>
      </c>
      <c r="O119" s="8" t="s">
        <v>26</v>
      </c>
      <c r="P119" s="15">
        <f>(Table1_14[[#This Row],[Likes]]+Table1_14[[#This Row],[Shares]]+Table1_14[[#This Row],[Comments]])/Table1_14[[#This Row],[Impressions]]</f>
        <v>8.0158206987475278E-2</v>
      </c>
    </row>
    <row r="120" spans="1:16" x14ac:dyDescent="0.3">
      <c r="A120" s="6" t="s">
        <v>172</v>
      </c>
      <c r="B120" s="1" t="s">
        <v>28</v>
      </c>
      <c r="C120" s="7">
        <v>45695</v>
      </c>
      <c r="D120" s="1" t="s">
        <v>15</v>
      </c>
      <c r="E120" s="1" t="s">
        <v>61</v>
      </c>
      <c r="F120" s="1">
        <v>1970</v>
      </c>
      <c r="G120" s="1">
        <v>675</v>
      </c>
      <c r="H120" s="1">
        <v>478</v>
      </c>
      <c r="I120" s="1">
        <v>9850</v>
      </c>
      <c r="J120" s="1">
        <v>8924</v>
      </c>
      <c r="K120" s="1">
        <v>117</v>
      </c>
      <c r="L120" s="1" t="s">
        <v>48</v>
      </c>
      <c r="M120" s="1" t="s">
        <v>359</v>
      </c>
      <c r="N120" s="1" t="s">
        <v>359</v>
      </c>
      <c r="O120" s="8" t="s">
        <v>360</v>
      </c>
      <c r="P120" s="15">
        <f>(Table1_14[[#This Row],[Likes]]+Table1_14[[#This Row],[Shares]]+Table1_14[[#This Row],[Comments]])/Table1_14[[#This Row],[Impressions]]</f>
        <v>0.31705583756345179</v>
      </c>
    </row>
    <row r="121" spans="1:16" x14ac:dyDescent="0.3">
      <c r="A121" s="6" t="s">
        <v>173</v>
      </c>
      <c r="B121" s="1" t="s">
        <v>35</v>
      </c>
      <c r="C121" s="7">
        <v>45586</v>
      </c>
      <c r="D121" s="1" t="s">
        <v>29</v>
      </c>
      <c r="E121" s="1" t="s">
        <v>54</v>
      </c>
      <c r="F121" s="1">
        <v>780</v>
      </c>
      <c r="G121" s="1">
        <v>928</v>
      </c>
      <c r="H121" s="1">
        <v>301</v>
      </c>
      <c r="I121" s="1">
        <v>8580</v>
      </c>
      <c r="J121" s="1">
        <v>8081</v>
      </c>
      <c r="K121" s="1">
        <v>91</v>
      </c>
      <c r="L121" s="1" t="s">
        <v>31</v>
      </c>
      <c r="M121" s="1" t="s">
        <v>359</v>
      </c>
      <c r="N121" s="1" t="s">
        <v>359</v>
      </c>
      <c r="O121" s="8" t="s">
        <v>26</v>
      </c>
      <c r="P121" s="15">
        <f>(Table1_14[[#This Row],[Likes]]+Table1_14[[#This Row],[Shares]]+Table1_14[[#This Row],[Comments]])/Table1_14[[#This Row],[Impressions]]</f>
        <v>0.23414918414918415</v>
      </c>
    </row>
    <row r="122" spans="1:16" x14ac:dyDescent="0.3">
      <c r="A122" s="6" t="s">
        <v>174</v>
      </c>
      <c r="B122" s="1" t="s">
        <v>28</v>
      </c>
      <c r="C122" s="7">
        <v>45502</v>
      </c>
      <c r="D122" s="1" t="s">
        <v>29</v>
      </c>
      <c r="E122" s="1" t="s">
        <v>30</v>
      </c>
      <c r="F122" s="1">
        <v>498</v>
      </c>
      <c r="G122" s="1">
        <v>701</v>
      </c>
      <c r="H122" s="1">
        <v>412</v>
      </c>
      <c r="I122" s="1">
        <v>4980</v>
      </c>
      <c r="J122" s="1">
        <v>4185</v>
      </c>
      <c r="K122" s="1">
        <v>185</v>
      </c>
      <c r="L122" s="1" t="s">
        <v>48</v>
      </c>
      <c r="M122" s="1" t="s">
        <v>359</v>
      </c>
      <c r="N122" s="1" t="s">
        <v>359</v>
      </c>
      <c r="O122" s="8" t="s">
        <v>360</v>
      </c>
      <c r="P122" s="15">
        <f>(Table1_14[[#This Row],[Likes]]+Table1_14[[#This Row],[Shares]]+Table1_14[[#This Row],[Comments]])/Table1_14[[#This Row],[Impressions]]</f>
        <v>0.32349397590361445</v>
      </c>
    </row>
    <row r="123" spans="1:16" x14ac:dyDescent="0.3">
      <c r="A123" s="6" t="s">
        <v>175</v>
      </c>
      <c r="B123" s="1" t="s">
        <v>28</v>
      </c>
      <c r="C123" s="7">
        <v>45567</v>
      </c>
      <c r="D123" s="1" t="s">
        <v>19</v>
      </c>
      <c r="E123" s="1" t="s">
        <v>78</v>
      </c>
      <c r="F123" s="1">
        <v>3432</v>
      </c>
      <c r="G123" s="1">
        <v>869</v>
      </c>
      <c r="H123" s="1">
        <v>123</v>
      </c>
      <c r="I123" s="1">
        <v>54912</v>
      </c>
      <c r="J123" s="1">
        <v>53916</v>
      </c>
      <c r="K123" s="1">
        <v>264</v>
      </c>
      <c r="L123" s="1" t="s">
        <v>31</v>
      </c>
      <c r="M123" s="1" t="s">
        <v>359</v>
      </c>
      <c r="N123" s="1" t="s">
        <v>359</v>
      </c>
      <c r="O123" s="8" t="s">
        <v>21</v>
      </c>
      <c r="P123" s="15">
        <f>(Table1_14[[#This Row],[Likes]]+Table1_14[[#This Row],[Shares]]+Table1_14[[#This Row],[Comments]])/Table1_14[[#This Row],[Impressions]]</f>
        <v>8.0565268065268064E-2</v>
      </c>
    </row>
    <row r="124" spans="1:16" x14ac:dyDescent="0.3">
      <c r="A124" s="6" t="s">
        <v>176</v>
      </c>
      <c r="B124" s="1" t="s">
        <v>28</v>
      </c>
      <c r="C124" s="7">
        <v>45457</v>
      </c>
      <c r="D124" s="1" t="s">
        <v>29</v>
      </c>
      <c r="E124" s="1" t="s">
        <v>30</v>
      </c>
      <c r="F124" s="1">
        <v>4363</v>
      </c>
      <c r="G124" s="1">
        <v>649</v>
      </c>
      <c r="H124" s="1">
        <v>140</v>
      </c>
      <c r="I124" s="1">
        <v>21815</v>
      </c>
      <c r="J124" s="1">
        <v>21481</v>
      </c>
      <c r="K124" s="1">
        <v>157</v>
      </c>
      <c r="L124" s="1" t="s">
        <v>31</v>
      </c>
      <c r="M124" s="1" t="s">
        <v>359</v>
      </c>
      <c r="N124" s="1" t="s">
        <v>359</v>
      </c>
      <c r="O124" s="8" t="s">
        <v>17</v>
      </c>
      <c r="P124" s="15">
        <f>(Table1_14[[#This Row],[Likes]]+Table1_14[[#This Row],[Shares]]+Table1_14[[#This Row],[Comments]])/Table1_14[[#This Row],[Impressions]]</f>
        <v>0.23616777446710979</v>
      </c>
    </row>
    <row r="125" spans="1:16" x14ac:dyDescent="0.3">
      <c r="A125" s="6" t="s">
        <v>177</v>
      </c>
      <c r="B125" s="1" t="s">
        <v>23</v>
      </c>
      <c r="C125" s="7">
        <v>45753</v>
      </c>
      <c r="D125" s="1" t="s">
        <v>36</v>
      </c>
      <c r="E125" s="1" t="s">
        <v>52</v>
      </c>
      <c r="F125" s="1">
        <v>736</v>
      </c>
      <c r="G125" s="1">
        <v>771</v>
      </c>
      <c r="H125" s="1">
        <v>225</v>
      </c>
      <c r="I125" s="1">
        <v>5152</v>
      </c>
      <c r="J125" s="1">
        <v>4706</v>
      </c>
      <c r="K125" s="1">
        <v>19</v>
      </c>
      <c r="L125" s="1" t="s">
        <v>31</v>
      </c>
      <c r="M125" s="1" t="s">
        <v>359</v>
      </c>
      <c r="N125" s="1" t="s">
        <v>359</v>
      </c>
      <c r="O125" s="8" t="s">
        <v>17</v>
      </c>
      <c r="P125" s="15">
        <f>(Table1_14[[#This Row],[Likes]]+Table1_14[[#This Row],[Shares]]+Table1_14[[#This Row],[Comments]])/Table1_14[[#This Row],[Impressions]]</f>
        <v>0.33618012422360249</v>
      </c>
    </row>
    <row r="126" spans="1:16" x14ac:dyDescent="0.3">
      <c r="A126" s="6" t="s">
        <v>178</v>
      </c>
      <c r="B126" s="1" t="s">
        <v>14</v>
      </c>
      <c r="C126" s="7">
        <v>45543</v>
      </c>
      <c r="D126" s="1" t="s">
        <v>36</v>
      </c>
      <c r="E126" s="1" t="s">
        <v>39</v>
      </c>
      <c r="F126" s="1">
        <v>3811</v>
      </c>
      <c r="G126" s="1">
        <v>866</v>
      </c>
      <c r="H126" s="1">
        <v>216</v>
      </c>
      <c r="I126" s="1">
        <v>34299</v>
      </c>
      <c r="J126" s="1">
        <v>34088</v>
      </c>
      <c r="K126" s="1">
        <v>233</v>
      </c>
      <c r="L126" s="1" t="s">
        <v>25</v>
      </c>
      <c r="M126" s="1" t="s">
        <v>359</v>
      </c>
      <c r="N126" s="1" t="s">
        <v>359</v>
      </c>
      <c r="O126" s="8" t="s">
        <v>32</v>
      </c>
      <c r="P126" s="15">
        <f>(Table1_14[[#This Row],[Likes]]+Table1_14[[#This Row],[Shares]]+Table1_14[[#This Row],[Comments]])/Table1_14[[#This Row],[Impressions]]</f>
        <v>0.14265722032712325</v>
      </c>
    </row>
    <row r="127" spans="1:16" x14ac:dyDescent="0.3">
      <c r="A127" s="6" t="s">
        <v>179</v>
      </c>
      <c r="B127" s="1" t="s">
        <v>28</v>
      </c>
      <c r="C127" s="7">
        <v>45744</v>
      </c>
      <c r="D127" s="1" t="s">
        <v>36</v>
      </c>
      <c r="E127" s="1" t="s">
        <v>65</v>
      </c>
      <c r="F127" s="1">
        <v>4158</v>
      </c>
      <c r="G127" s="1">
        <v>167</v>
      </c>
      <c r="H127" s="1">
        <v>241</v>
      </c>
      <c r="I127" s="1">
        <v>45738</v>
      </c>
      <c r="J127" s="1">
        <v>45183</v>
      </c>
      <c r="K127" s="1">
        <v>142</v>
      </c>
      <c r="L127" s="1" t="s">
        <v>48</v>
      </c>
      <c r="M127" s="1" t="s">
        <v>359</v>
      </c>
      <c r="N127" s="1" t="s">
        <v>359</v>
      </c>
      <c r="O127" s="8" t="s">
        <v>360</v>
      </c>
      <c r="P127" s="15">
        <f>(Table1_14[[#This Row],[Likes]]+Table1_14[[#This Row],[Shares]]+Table1_14[[#This Row],[Comments]])/Table1_14[[#This Row],[Impressions]]</f>
        <v>9.9829463465827106E-2</v>
      </c>
    </row>
    <row r="128" spans="1:16" x14ac:dyDescent="0.3">
      <c r="A128" s="6" t="s">
        <v>180</v>
      </c>
      <c r="B128" s="1" t="s">
        <v>35</v>
      </c>
      <c r="C128" s="7">
        <v>45684</v>
      </c>
      <c r="D128" s="1" t="s">
        <v>15</v>
      </c>
      <c r="E128" s="1" t="s">
        <v>50</v>
      </c>
      <c r="F128" s="1">
        <v>3452</v>
      </c>
      <c r="G128" s="1">
        <v>652</v>
      </c>
      <c r="H128" s="1">
        <v>442</v>
      </c>
      <c r="I128" s="1">
        <v>65588</v>
      </c>
      <c r="J128" s="1">
        <v>65049</v>
      </c>
      <c r="K128" s="1">
        <v>158</v>
      </c>
      <c r="L128" s="1" t="s">
        <v>48</v>
      </c>
      <c r="M128" s="1" t="s">
        <v>359</v>
      </c>
      <c r="N128" s="1" t="s">
        <v>359</v>
      </c>
      <c r="O128" s="8" t="s">
        <v>26</v>
      </c>
      <c r="P128" s="15">
        <f>(Table1_14[[#This Row],[Likes]]+Table1_14[[#This Row],[Shares]]+Table1_14[[#This Row],[Comments]])/Table1_14[[#This Row],[Impressions]]</f>
        <v>6.9311459413307311E-2</v>
      </c>
    </row>
    <row r="129" spans="1:16" x14ac:dyDescent="0.3">
      <c r="A129" s="6" t="s">
        <v>181</v>
      </c>
      <c r="B129" s="1" t="s">
        <v>14</v>
      </c>
      <c r="C129" s="7">
        <v>45667</v>
      </c>
      <c r="D129" s="1" t="s">
        <v>41</v>
      </c>
      <c r="E129" s="1" t="s">
        <v>88</v>
      </c>
      <c r="F129" s="1">
        <v>3092</v>
      </c>
      <c r="G129" s="1">
        <v>106</v>
      </c>
      <c r="H129" s="1">
        <v>291</v>
      </c>
      <c r="I129" s="1">
        <v>27828</v>
      </c>
      <c r="J129" s="1">
        <v>27217</v>
      </c>
      <c r="K129" s="1">
        <v>102</v>
      </c>
      <c r="L129" s="1" t="s">
        <v>48</v>
      </c>
      <c r="M129" s="1" t="s">
        <v>359</v>
      </c>
      <c r="N129" s="1" t="s">
        <v>359</v>
      </c>
      <c r="O129" s="8" t="s">
        <v>360</v>
      </c>
      <c r="P129" s="15">
        <f>(Table1_14[[#This Row],[Likes]]+Table1_14[[#This Row],[Shares]]+Table1_14[[#This Row],[Comments]])/Table1_14[[#This Row],[Impressions]]</f>
        <v>0.12537731780940059</v>
      </c>
    </row>
    <row r="130" spans="1:16" x14ac:dyDescent="0.3">
      <c r="A130" s="6" t="s">
        <v>182</v>
      </c>
      <c r="B130" s="1" t="s">
        <v>14</v>
      </c>
      <c r="C130" s="7">
        <v>45494</v>
      </c>
      <c r="D130" s="1" t="s">
        <v>19</v>
      </c>
      <c r="E130" s="1" t="s">
        <v>20</v>
      </c>
      <c r="F130" s="1">
        <v>2147</v>
      </c>
      <c r="G130" s="1">
        <v>430</v>
      </c>
      <c r="H130" s="1">
        <v>393</v>
      </c>
      <c r="I130" s="1">
        <v>17176</v>
      </c>
      <c r="J130" s="1">
        <v>16483</v>
      </c>
      <c r="K130" s="1">
        <v>170</v>
      </c>
      <c r="L130" s="1" t="s">
        <v>25</v>
      </c>
      <c r="M130" s="1" t="s">
        <v>359</v>
      </c>
      <c r="N130" s="1" t="s">
        <v>359</v>
      </c>
      <c r="O130" s="8" t="s">
        <v>360</v>
      </c>
      <c r="P130" s="15">
        <f>(Table1_14[[#This Row],[Likes]]+Table1_14[[#This Row],[Shares]]+Table1_14[[#This Row],[Comments]])/Table1_14[[#This Row],[Impressions]]</f>
        <v>0.17291569632044715</v>
      </c>
    </row>
    <row r="131" spans="1:16" x14ac:dyDescent="0.3">
      <c r="A131" s="6" t="s">
        <v>183</v>
      </c>
      <c r="B131" s="1" t="s">
        <v>23</v>
      </c>
      <c r="C131" s="7">
        <v>45564</v>
      </c>
      <c r="D131" s="1" t="s">
        <v>15</v>
      </c>
      <c r="E131" s="1" t="s">
        <v>24</v>
      </c>
      <c r="F131" s="1">
        <v>2936</v>
      </c>
      <c r="G131" s="1">
        <v>439</v>
      </c>
      <c r="H131" s="1">
        <v>44</v>
      </c>
      <c r="I131" s="1">
        <v>38168</v>
      </c>
      <c r="J131" s="1">
        <v>37571</v>
      </c>
      <c r="K131" s="1">
        <v>22</v>
      </c>
      <c r="L131" s="1" t="s">
        <v>31</v>
      </c>
      <c r="M131" s="1" t="s">
        <v>359</v>
      </c>
      <c r="N131" s="1" t="s">
        <v>359</v>
      </c>
      <c r="O131" s="8" t="s">
        <v>32</v>
      </c>
      <c r="P131" s="15">
        <f>(Table1_14[[#This Row],[Likes]]+Table1_14[[#This Row],[Shares]]+Table1_14[[#This Row],[Comments]])/Table1_14[[#This Row],[Impressions]]</f>
        <v>8.9577656675749323E-2</v>
      </c>
    </row>
    <row r="132" spans="1:16" x14ac:dyDescent="0.3">
      <c r="A132" s="6" t="s">
        <v>184</v>
      </c>
      <c r="B132" s="1" t="s">
        <v>28</v>
      </c>
      <c r="C132" s="7">
        <v>45586</v>
      </c>
      <c r="D132" s="1" t="s">
        <v>15</v>
      </c>
      <c r="E132" s="1" t="s">
        <v>61</v>
      </c>
      <c r="F132" s="1">
        <v>4840</v>
      </c>
      <c r="G132" s="1">
        <v>658</v>
      </c>
      <c r="H132" s="1">
        <v>211</v>
      </c>
      <c r="I132" s="1">
        <v>43560</v>
      </c>
      <c r="J132" s="1">
        <v>43225</v>
      </c>
      <c r="K132" s="1">
        <v>57</v>
      </c>
      <c r="L132" s="1" t="s">
        <v>48</v>
      </c>
      <c r="M132" s="1" t="s">
        <v>359</v>
      </c>
      <c r="N132" s="1" t="s">
        <v>359</v>
      </c>
      <c r="O132" s="8" t="s">
        <v>26</v>
      </c>
      <c r="P132" s="15">
        <f>(Table1_14[[#This Row],[Likes]]+Table1_14[[#This Row],[Shares]]+Table1_14[[#This Row],[Comments]])/Table1_14[[#This Row],[Impressions]]</f>
        <v>0.13106060606060607</v>
      </c>
    </row>
    <row r="133" spans="1:16" x14ac:dyDescent="0.3">
      <c r="A133" s="6" t="s">
        <v>185</v>
      </c>
      <c r="B133" s="1" t="s">
        <v>28</v>
      </c>
      <c r="C133" s="7">
        <v>45720</v>
      </c>
      <c r="D133" s="1" t="s">
        <v>29</v>
      </c>
      <c r="E133" s="1" t="s">
        <v>30</v>
      </c>
      <c r="F133" s="1">
        <v>1947</v>
      </c>
      <c r="G133" s="1">
        <v>842</v>
      </c>
      <c r="H133" s="1">
        <v>101</v>
      </c>
      <c r="I133" s="1">
        <v>21417</v>
      </c>
      <c r="J133" s="1">
        <v>20967</v>
      </c>
      <c r="K133" s="1">
        <v>186</v>
      </c>
      <c r="L133" s="1" t="s">
        <v>48</v>
      </c>
      <c r="M133" s="1" t="s">
        <v>359</v>
      </c>
      <c r="N133" s="1" t="s">
        <v>359</v>
      </c>
      <c r="O133" s="8" t="s">
        <v>21</v>
      </c>
      <c r="P133" s="15">
        <f>(Table1_14[[#This Row],[Likes]]+Table1_14[[#This Row],[Shares]]+Table1_14[[#This Row],[Comments]])/Table1_14[[#This Row],[Impressions]]</f>
        <v>0.13493953401503478</v>
      </c>
    </row>
    <row r="134" spans="1:16" x14ac:dyDescent="0.3">
      <c r="A134" s="6" t="s">
        <v>186</v>
      </c>
      <c r="B134" s="1" t="s">
        <v>35</v>
      </c>
      <c r="C134" s="7">
        <v>45694</v>
      </c>
      <c r="D134" s="1" t="s">
        <v>41</v>
      </c>
      <c r="E134" s="1" t="s">
        <v>46</v>
      </c>
      <c r="F134" s="1">
        <v>2072</v>
      </c>
      <c r="G134" s="1">
        <v>532</v>
      </c>
      <c r="H134" s="1">
        <v>71</v>
      </c>
      <c r="I134" s="1">
        <v>37296</v>
      </c>
      <c r="J134" s="1">
        <v>36467</v>
      </c>
      <c r="K134" s="1">
        <v>25</v>
      </c>
      <c r="L134" s="1" t="s">
        <v>25</v>
      </c>
      <c r="M134" s="1" t="s">
        <v>359</v>
      </c>
      <c r="N134" s="1" t="s">
        <v>359</v>
      </c>
      <c r="O134" s="8" t="s">
        <v>32</v>
      </c>
      <c r="P134" s="15">
        <f>(Table1_14[[#This Row],[Likes]]+Table1_14[[#This Row],[Shares]]+Table1_14[[#This Row],[Comments]])/Table1_14[[#This Row],[Impressions]]</f>
        <v>7.172350922350923E-2</v>
      </c>
    </row>
    <row r="135" spans="1:16" x14ac:dyDescent="0.3">
      <c r="A135" s="6" t="s">
        <v>187</v>
      </c>
      <c r="B135" s="1" t="s">
        <v>14</v>
      </c>
      <c r="C135" s="7">
        <v>45771</v>
      </c>
      <c r="D135" s="1" t="s">
        <v>15</v>
      </c>
      <c r="E135" s="1" t="s">
        <v>16</v>
      </c>
      <c r="F135" s="1">
        <v>3731</v>
      </c>
      <c r="G135" s="1">
        <v>115</v>
      </c>
      <c r="H135" s="1">
        <v>135</v>
      </c>
      <c r="I135" s="1">
        <v>55965</v>
      </c>
      <c r="J135" s="1">
        <v>55436</v>
      </c>
      <c r="K135" s="1">
        <v>103</v>
      </c>
      <c r="L135" s="1" t="s">
        <v>25</v>
      </c>
      <c r="M135" s="1" t="s">
        <v>359</v>
      </c>
      <c r="N135" s="1" t="s">
        <v>359</v>
      </c>
      <c r="O135" s="8" t="s">
        <v>17</v>
      </c>
      <c r="P135" s="15">
        <f>(Table1_14[[#This Row],[Likes]]+Table1_14[[#This Row],[Shares]]+Table1_14[[#This Row],[Comments]])/Table1_14[[#This Row],[Impressions]]</f>
        <v>7.1133744304476013E-2</v>
      </c>
    </row>
    <row r="136" spans="1:16" x14ac:dyDescent="0.3">
      <c r="A136" s="6" t="s">
        <v>188</v>
      </c>
      <c r="B136" s="1" t="s">
        <v>35</v>
      </c>
      <c r="C136" s="7">
        <v>45624</v>
      </c>
      <c r="D136" s="1" t="s">
        <v>19</v>
      </c>
      <c r="E136" s="1" t="s">
        <v>44</v>
      </c>
      <c r="F136" s="1">
        <v>4213</v>
      </c>
      <c r="G136" s="1">
        <v>253</v>
      </c>
      <c r="H136" s="1">
        <v>434</v>
      </c>
      <c r="I136" s="1">
        <v>75834</v>
      </c>
      <c r="J136" s="1">
        <v>75437</v>
      </c>
      <c r="K136" s="1">
        <v>272</v>
      </c>
      <c r="L136" s="1" t="s">
        <v>48</v>
      </c>
      <c r="M136" s="1" t="s">
        <v>359</v>
      </c>
      <c r="N136" s="1" t="s">
        <v>359</v>
      </c>
      <c r="O136" s="8" t="s">
        <v>32</v>
      </c>
      <c r="P136" s="15">
        <f>(Table1_14[[#This Row],[Likes]]+Table1_14[[#This Row],[Shares]]+Table1_14[[#This Row],[Comments]])/Table1_14[[#This Row],[Impressions]]</f>
        <v>6.461481657304112E-2</v>
      </c>
    </row>
    <row r="137" spans="1:16" x14ac:dyDescent="0.3">
      <c r="A137" s="6" t="s">
        <v>189</v>
      </c>
      <c r="B137" s="1" t="s">
        <v>28</v>
      </c>
      <c r="C137" s="7">
        <v>45484</v>
      </c>
      <c r="D137" s="1" t="s">
        <v>19</v>
      </c>
      <c r="E137" s="1" t="s">
        <v>78</v>
      </c>
      <c r="F137" s="1">
        <v>3134</v>
      </c>
      <c r="G137" s="1">
        <v>888</v>
      </c>
      <c r="H137" s="1">
        <v>444</v>
      </c>
      <c r="I137" s="1">
        <v>21938</v>
      </c>
      <c r="J137" s="1">
        <v>21337</v>
      </c>
      <c r="K137" s="1">
        <v>130</v>
      </c>
      <c r="L137" s="1" t="s">
        <v>31</v>
      </c>
      <c r="M137" s="1" t="s">
        <v>359</v>
      </c>
      <c r="N137" s="1" t="s">
        <v>359</v>
      </c>
      <c r="O137" s="8" t="s">
        <v>32</v>
      </c>
      <c r="P137" s="15">
        <f>(Table1_14[[#This Row],[Likes]]+Table1_14[[#This Row],[Shares]]+Table1_14[[#This Row],[Comments]])/Table1_14[[#This Row],[Impressions]]</f>
        <v>0.20357370772176134</v>
      </c>
    </row>
    <row r="138" spans="1:16" x14ac:dyDescent="0.3">
      <c r="A138" s="6" t="s">
        <v>190</v>
      </c>
      <c r="B138" s="1" t="s">
        <v>35</v>
      </c>
      <c r="C138" s="7">
        <v>45504</v>
      </c>
      <c r="D138" s="1" t="s">
        <v>56</v>
      </c>
      <c r="E138" s="1" t="s">
        <v>57</v>
      </c>
      <c r="F138" s="1">
        <v>3008</v>
      </c>
      <c r="G138" s="1">
        <v>94</v>
      </c>
      <c r="H138" s="1">
        <v>37</v>
      </c>
      <c r="I138" s="1">
        <v>15040</v>
      </c>
      <c r="J138" s="1">
        <v>14639</v>
      </c>
      <c r="K138" s="1">
        <v>277</v>
      </c>
      <c r="L138" s="1" t="s">
        <v>48</v>
      </c>
      <c r="M138" s="1" t="s">
        <v>359</v>
      </c>
      <c r="N138" s="1" t="s">
        <v>359</v>
      </c>
      <c r="O138" s="8" t="s">
        <v>360</v>
      </c>
      <c r="P138" s="15">
        <f>(Table1_14[[#This Row],[Likes]]+Table1_14[[#This Row],[Shares]]+Table1_14[[#This Row],[Comments]])/Table1_14[[#This Row],[Impressions]]</f>
        <v>0.20871010638297871</v>
      </c>
    </row>
    <row r="139" spans="1:16" x14ac:dyDescent="0.3">
      <c r="A139" s="6" t="s">
        <v>191</v>
      </c>
      <c r="B139" s="1" t="s">
        <v>14</v>
      </c>
      <c r="C139" s="7">
        <v>45745</v>
      </c>
      <c r="D139" s="1" t="s">
        <v>41</v>
      </c>
      <c r="E139" s="1" t="s">
        <v>88</v>
      </c>
      <c r="F139" s="1">
        <v>305</v>
      </c>
      <c r="G139" s="1">
        <v>187</v>
      </c>
      <c r="H139" s="1">
        <v>243</v>
      </c>
      <c r="I139" s="1">
        <v>4575</v>
      </c>
      <c r="J139" s="1">
        <v>3704</v>
      </c>
      <c r="K139" s="1">
        <v>234</v>
      </c>
      <c r="L139" s="1" t="s">
        <v>48</v>
      </c>
      <c r="M139" s="1" t="s">
        <v>359</v>
      </c>
      <c r="N139" s="1" t="s">
        <v>359</v>
      </c>
      <c r="O139" s="8" t="s">
        <v>26</v>
      </c>
      <c r="P139" s="15">
        <f>(Table1_14[[#This Row],[Likes]]+Table1_14[[#This Row],[Shares]]+Table1_14[[#This Row],[Comments]])/Table1_14[[#This Row],[Impressions]]</f>
        <v>0.16065573770491803</v>
      </c>
    </row>
    <row r="140" spans="1:16" x14ac:dyDescent="0.3">
      <c r="A140" s="6" t="s">
        <v>192</v>
      </c>
      <c r="B140" s="1" t="s">
        <v>23</v>
      </c>
      <c r="C140" s="7">
        <v>45594</v>
      </c>
      <c r="D140" s="1" t="s">
        <v>19</v>
      </c>
      <c r="E140" s="1" t="s">
        <v>73</v>
      </c>
      <c r="F140" s="1">
        <v>2746</v>
      </c>
      <c r="G140" s="1">
        <v>156</v>
      </c>
      <c r="H140" s="1">
        <v>203</v>
      </c>
      <c r="I140" s="1">
        <v>32952</v>
      </c>
      <c r="J140" s="1">
        <v>32147</v>
      </c>
      <c r="K140" s="1">
        <v>147</v>
      </c>
      <c r="L140" s="1" t="s">
        <v>31</v>
      </c>
      <c r="M140" s="1" t="s">
        <v>359</v>
      </c>
      <c r="N140" s="1" t="s">
        <v>359</v>
      </c>
      <c r="O140" s="8" t="s">
        <v>17</v>
      </c>
      <c r="P140" s="15">
        <f>(Table1_14[[#This Row],[Likes]]+Table1_14[[#This Row],[Shares]]+Table1_14[[#This Row],[Comments]])/Table1_14[[#This Row],[Impressions]]</f>
        <v>9.422796795338674E-2</v>
      </c>
    </row>
    <row r="141" spans="1:16" x14ac:dyDescent="0.3">
      <c r="A141" s="6" t="s">
        <v>193</v>
      </c>
      <c r="B141" s="1" t="s">
        <v>35</v>
      </c>
      <c r="C141" s="7">
        <v>45488</v>
      </c>
      <c r="D141" s="1" t="s">
        <v>41</v>
      </c>
      <c r="E141" s="1" t="s">
        <v>46</v>
      </c>
      <c r="F141" s="1">
        <v>2291</v>
      </c>
      <c r="G141" s="1">
        <v>78</v>
      </c>
      <c r="H141" s="1">
        <v>485</v>
      </c>
      <c r="I141" s="1">
        <v>18328</v>
      </c>
      <c r="J141" s="1">
        <v>18101</v>
      </c>
      <c r="K141" s="1">
        <v>10</v>
      </c>
      <c r="L141" s="1" t="s">
        <v>31</v>
      </c>
      <c r="M141" s="1" t="s">
        <v>356</v>
      </c>
      <c r="N141" s="1" t="s">
        <v>359</v>
      </c>
      <c r="O141" s="8" t="s">
        <v>21</v>
      </c>
      <c r="P141" s="15">
        <f>(Table1_14[[#This Row],[Likes]]+Table1_14[[#This Row],[Shares]]+Table1_14[[#This Row],[Comments]])/Table1_14[[#This Row],[Impressions]]</f>
        <v>0.15571802706241816</v>
      </c>
    </row>
    <row r="142" spans="1:16" x14ac:dyDescent="0.3">
      <c r="A142" s="6" t="s">
        <v>194</v>
      </c>
      <c r="B142" s="1" t="s">
        <v>14</v>
      </c>
      <c r="C142" s="7">
        <v>45535</v>
      </c>
      <c r="D142" s="1" t="s">
        <v>41</v>
      </c>
      <c r="E142" s="1" t="s">
        <v>88</v>
      </c>
      <c r="F142" s="1">
        <v>3170</v>
      </c>
      <c r="G142" s="1">
        <v>857</v>
      </c>
      <c r="H142" s="1">
        <v>379</v>
      </c>
      <c r="I142" s="1">
        <v>19020</v>
      </c>
      <c r="J142" s="1">
        <v>18559</v>
      </c>
      <c r="K142" s="1">
        <v>240</v>
      </c>
      <c r="L142" s="1" t="s">
        <v>48</v>
      </c>
      <c r="M142" s="1" t="s">
        <v>359</v>
      </c>
      <c r="N142" s="1" t="s">
        <v>359</v>
      </c>
      <c r="O142" s="8" t="s">
        <v>360</v>
      </c>
      <c r="P142" s="15">
        <f>(Table1_14[[#This Row],[Likes]]+Table1_14[[#This Row],[Shares]]+Table1_14[[#This Row],[Comments]])/Table1_14[[#This Row],[Impressions]]</f>
        <v>0.2316508937960042</v>
      </c>
    </row>
    <row r="143" spans="1:16" x14ac:dyDescent="0.3">
      <c r="A143" s="6" t="s">
        <v>195</v>
      </c>
      <c r="B143" s="1" t="s">
        <v>23</v>
      </c>
      <c r="C143" s="7">
        <v>45741</v>
      </c>
      <c r="D143" s="1" t="s">
        <v>29</v>
      </c>
      <c r="E143" s="1" t="s">
        <v>101</v>
      </c>
      <c r="F143" s="1">
        <v>2070</v>
      </c>
      <c r="G143" s="1">
        <v>275</v>
      </c>
      <c r="H143" s="1">
        <v>386</v>
      </c>
      <c r="I143" s="1">
        <v>39330</v>
      </c>
      <c r="J143" s="1">
        <v>38627</v>
      </c>
      <c r="K143" s="1">
        <v>114</v>
      </c>
      <c r="L143" s="1" t="s">
        <v>48</v>
      </c>
      <c r="M143" s="1" t="s">
        <v>359</v>
      </c>
      <c r="N143" s="1" t="s">
        <v>359</v>
      </c>
      <c r="O143" s="8" t="s">
        <v>32</v>
      </c>
      <c r="P143" s="15">
        <f>(Table1_14[[#This Row],[Likes]]+Table1_14[[#This Row],[Shares]]+Table1_14[[#This Row],[Comments]])/Table1_14[[#This Row],[Impressions]]</f>
        <v>6.9438087973557078E-2</v>
      </c>
    </row>
    <row r="144" spans="1:16" x14ac:dyDescent="0.3">
      <c r="A144" s="6" t="s">
        <v>196</v>
      </c>
      <c r="B144" s="1" t="s">
        <v>23</v>
      </c>
      <c r="C144" s="7">
        <v>45567</v>
      </c>
      <c r="D144" s="1" t="s">
        <v>36</v>
      </c>
      <c r="E144" s="1" t="s">
        <v>52</v>
      </c>
      <c r="F144" s="1">
        <v>80</v>
      </c>
      <c r="G144" s="1">
        <v>362</v>
      </c>
      <c r="H144" s="1">
        <v>80</v>
      </c>
      <c r="I144" s="1">
        <v>1040</v>
      </c>
      <c r="J144" s="1">
        <v>349</v>
      </c>
      <c r="K144" s="1">
        <v>117</v>
      </c>
      <c r="L144" s="1" t="s">
        <v>25</v>
      </c>
      <c r="M144" s="1" t="s">
        <v>359</v>
      </c>
      <c r="N144" s="1" t="s">
        <v>359</v>
      </c>
      <c r="O144" s="8" t="s">
        <v>26</v>
      </c>
      <c r="P144" s="15">
        <f>(Table1_14[[#This Row],[Likes]]+Table1_14[[#This Row],[Shares]]+Table1_14[[#This Row],[Comments]])/Table1_14[[#This Row],[Impressions]]</f>
        <v>0.50192307692307692</v>
      </c>
    </row>
    <row r="145" spans="1:16" x14ac:dyDescent="0.3">
      <c r="A145" s="6" t="s">
        <v>197</v>
      </c>
      <c r="B145" s="1" t="s">
        <v>23</v>
      </c>
      <c r="C145" s="7">
        <v>45593</v>
      </c>
      <c r="D145" s="1" t="s">
        <v>29</v>
      </c>
      <c r="E145" s="1" t="s">
        <v>101</v>
      </c>
      <c r="F145" s="1">
        <v>4929</v>
      </c>
      <c r="G145" s="1">
        <v>749</v>
      </c>
      <c r="H145" s="1">
        <v>452</v>
      </c>
      <c r="I145" s="1">
        <v>93651</v>
      </c>
      <c r="J145" s="1">
        <v>92810</v>
      </c>
      <c r="K145" s="1">
        <v>66</v>
      </c>
      <c r="L145" s="1" t="s">
        <v>31</v>
      </c>
      <c r="M145" s="1" t="s">
        <v>359</v>
      </c>
      <c r="N145" s="1" t="s">
        <v>359</v>
      </c>
      <c r="O145" s="8" t="s">
        <v>32</v>
      </c>
      <c r="P145" s="15">
        <f>(Table1_14[[#This Row],[Likes]]+Table1_14[[#This Row],[Shares]]+Table1_14[[#This Row],[Comments]])/Table1_14[[#This Row],[Impressions]]</f>
        <v>6.5455787978772245E-2</v>
      </c>
    </row>
    <row r="146" spans="1:16" x14ac:dyDescent="0.3">
      <c r="A146" s="6" t="s">
        <v>198</v>
      </c>
      <c r="B146" s="1" t="s">
        <v>28</v>
      </c>
      <c r="C146" s="7">
        <v>45516</v>
      </c>
      <c r="D146" s="1" t="s">
        <v>36</v>
      </c>
      <c r="E146" s="1" t="s">
        <v>65</v>
      </c>
      <c r="F146" s="1">
        <v>1878</v>
      </c>
      <c r="G146" s="1">
        <v>62</v>
      </c>
      <c r="H146" s="1">
        <v>179</v>
      </c>
      <c r="I146" s="1">
        <v>37560</v>
      </c>
      <c r="J146" s="1">
        <v>36874</v>
      </c>
      <c r="K146" s="1">
        <v>142</v>
      </c>
      <c r="L146" s="1" t="s">
        <v>25</v>
      </c>
      <c r="M146" s="1" t="s">
        <v>359</v>
      </c>
      <c r="N146" s="1" t="s">
        <v>359</v>
      </c>
      <c r="O146" s="8" t="s">
        <v>32</v>
      </c>
      <c r="P146" s="15">
        <f>(Table1_14[[#This Row],[Likes]]+Table1_14[[#This Row],[Shares]]+Table1_14[[#This Row],[Comments]])/Table1_14[[#This Row],[Impressions]]</f>
        <v>5.6416400425985093E-2</v>
      </c>
    </row>
    <row r="147" spans="1:16" x14ac:dyDescent="0.3">
      <c r="A147" s="6" t="s">
        <v>199</v>
      </c>
      <c r="B147" s="1" t="s">
        <v>23</v>
      </c>
      <c r="C147" s="7">
        <v>45448</v>
      </c>
      <c r="D147" s="1" t="s">
        <v>15</v>
      </c>
      <c r="E147" s="1" t="s">
        <v>24</v>
      </c>
      <c r="F147" s="1">
        <v>3065</v>
      </c>
      <c r="G147" s="1">
        <v>772</v>
      </c>
      <c r="H147" s="1">
        <v>142</v>
      </c>
      <c r="I147" s="1">
        <v>18390</v>
      </c>
      <c r="J147" s="1">
        <v>17875</v>
      </c>
      <c r="K147" s="1">
        <v>200</v>
      </c>
      <c r="L147" s="1" t="s">
        <v>31</v>
      </c>
      <c r="M147" s="1" t="s">
        <v>354</v>
      </c>
      <c r="N147" s="1" t="s">
        <v>359</v>
      </c>
      <c r="O147" s="8" t="s">
        <v>360</v>
      </c>
      <c r="P147" s="15">
        <f>(Table1_14[[#This Row],[Likes]]+Table1_14[[#This Row],[Shares]]+Table1_14[[#This Row],[Comments]])/Table1_14[[#This Row],[Impressions]]</f>
        <v>0.21636759108210984</v>
      </c>
    </row>
    <row r="148" spans="1:16" x14ac:dyDescent="0.3">
      <c r="A148" s="6" t="s">
        <v>200</v>
      </c>
      <c r="B148" s="1" t="s">
        <v>28</v>
      </c>
      <c r="C148" s="7">
        <v>45586</v>
      </c>
      <c r="D148" s="1" t="s">
        <v>15</v>
      </c>
      <c r="E148" s="1" t="s">
        <v>61</v>
      </c>
      <c r="F148" s="1">
        <v>3256</v>
      </c>
      <c r="G148" s="1">
        <v>459</v>
      </c>
      <c r="H148" s="1">
        <v>266</v>
      </c>
      <c r="I148" s="1">
        <v>26048</v>
      </c>
      <c r="J148" s="1">
        <v>25529</v>
      </c>
      <c r="K148" s="1">
        <v>143</v>
      </c>
      <c r="L148" s="1" t="s">
        <v>25</v>
      </c>
      <c r="M148" s="1" t="s">
        <v>359</v>
      </c>
      <c r="N148" s="1" t="s">
        <v>359</v>
      </c>
      <c r="O148" s="8" t="s">
        <v>21</v>
      </c>
      <c r="P148" s="15">
        <f>(Table1_14[[#This Row],[Likes]]+Table1_14[[#This Row],[Shares]]+Table1_14[[#This Row],[Comments]])/Table1_14[[#This Row],[Impressions]]</f>
        <v>0.15283323095823095</v>
      </c>
    </row>
    <row r="149" spans="1:16" x14ac:dyDescent="0.3">
      <c r="A149" s="6" t="s">
        <v>201</v>
      </c>
      <c r="B149" s="1" t="s">
        <v>28</v>
      </c>
      <c r="C149" s="7">
        <v>45762</v>
      </c>
      <c r="D149" s="1" t="s">
        <v>56</v>
      </c>
      <c r="E149" s="1" t="s">
        <v>63</v>
      </c>
      <c r="F149" s="1">
        <v>4133</v>
      </c>
      <c r="G149" s="1">
        <v>466</v>
      </c>
      <c r="H149" s="1">
        <v>327</v>
      </c>
      <c r="I149" s="1">
        <v>24798</v>
      </c>
      <c r="J149" s="1">
        <v>24620</v>
      </c>
      <c r="K149" s="1">
        <v>176</v>
      </c>
      <c r="L149" s="1" t="s">
        <v>31</v>
      </c>
      <c r="M149" s="1" t="s">
        <v>359</v>
      </c>
      <c r="N149" s="1" t="s">
        <v>359</v>
      </c>
      <c r="O149" s="8" t="s">
        <v>32</v>
      </c>
      <c r="P149" s="15">
        <f>(Table1_14[[#This Row],[Likes]]+Table1_14[[#This Row],[Shares]]+Table1_14[[#This Row],[Comments]])/Table1_14[[#This Row],[Impressions]]</f>
        <v>0.19864505202032423</v>
      </c>
    </row>
    <row r="150" spans="1:16" x14ac:dyDescent="0.3">
      <c r="A150" s="6" t="s">
        <v>202</v>
      </c>
      <c r="B150" s="1" t="s">
        <v>14</v>
      </c>
      <c r="C150" s="7">
        <v>45459</v>
      </c>
      <c r="D150" s="1" t="s">
        <v>56</v>
      </c>
      <c r="E150" s="1" t="s">
        <v>95</v>
      </c>
      <c r="F150" s="1">
        <v>1702</v>
      </c>
      <c r="G150" s="1">
        <v>750</v>
      </c>
      <c r="H150" s="1">
        <v>179</v>
      </c>
      <c r="I150" s="1">
        <v>34040</v>
      </c>
      <c r="J150" s="1">
        <v>33174</v>
      </c>
      <c r="K150" s="1">
        <v>76</v>
      </c>
      <c r="L150" s="1" t="s">
        <v>31</v>
      </c>
      <c r="M150" s="1" t="s">
        <v>359</v>
      </c>
      <c r="N150" s="1" t="s">
        <v>359</v>
      </c>
      <c r="O150" s="8" t="s">
        <v>17</v>
      </c>
      <c r="P150" s="15">
        <f>(Table1_14[[#This Row],[Likes]]+Table1_14[[#This Row],[Shares]]+Table1_14[[#This Row],[Comments]])/Table1_14[[#This Row],[Impressions]]</f>
        <v>7.7291421856639245E-2</v>
      </c>
    </row>
    <row r="151" spans="1:16" x14ac:dyDescent="0.3">
      <c r="A151" s="6" t="s">
        <v>203</v>
      </c>
      <c r="B151" s="1" t="s">
        <v>23</v>
      </c>
      <c r="C151" s="7">
        <v>45526</v>
      </c>
      <c r="D151" s="1" t="s">
        <v>36</v>
      </c>
      <c r="E151" s="1" t="s">
        <v>52</v>
      </c>
      <c r="F151" s="1">
        <v>4295</v>
      </c>
      <c r="G151" s="1">
        <v>853</v>
      </c>
      <c r="H151" s="1">
        <v>325</v>
      </c>
      <c r="I151" s="1">
        <v>85900</v>
      </c>
      <c r="J151" s="1">
        <v>85788</v>
      </c>
      <c r="K151" s="1">
        <v>290</v>
      </c>
      <c r="L151" s="1" t="s">
        <v>25</v>
      </c>
      <c r="M151" s="1" t="s">
        <v>359</v>
      </c>
      <c r="N151" s="1" t="s">
        <v>359</v>
      </c>
      <c r="O151" s="8" t="s">
        <v>32</v>
      </c>
      <c r="P151" s="15">
        <f>(Table1_14[[#This Row],[Likes]]+Table1_14[[#This Row],[Shares]]+Table1_14[[#This Row],[Comments]])/Table1_14[[#This Row],[Impressions]]</f>
        <v>6.3713620488940623E-2</v>
      </c>
    </row>
    <row r="152" spans="1:16" x14ac:dyDescent="0.3">
      <c r="A152" s="6" t="s">
        <v>204</v>
      </c>
      <c r="B152" s="1" t="s">
        <v>28</v>
      </c>
      <c r="C152" s="7">
        <v>45499</v>
      </c>
      <c r="D152" s="1" t="s">
        <v>41</v>
      </c>
      <c r="E152" s="1" t="s">
        <v>134</v>
      </c>
      <c r="F152" s="1">
        <v>3559</v>
      </c>
      <c r="G152" s="1">
        <v>59</v>
      </c>
      <c r="H152" s="1">
        <v>289</v>
      </c>
      <c r="I152" s="1">
        <v>35590</v>
      </c>
      <c r="J152" s="1">
        <v>35105</v>
      </c>
      <c r="K152" s="1">
        <v>122</v>
      </c>
      <c r="L152" s="1" t="s">
        <v>31</v>
      </c>
      <c r="M152" s="1" t="s">
        <v>359</v>
      </c>
      <c r="N152" s="1" t="s">
        <v>359</v>
      </c>
      <c r="O152" s="8" t="s">
        <v>17</v>
      </c>
      <c r="P152" s="15">
        <f>(Table1_14[[#This Row],[Likes]]+Table1_14[[#This Row],[Shares]]+Table1_14[[#This Row],[Comments]])/Table1_14[[#This Row],[Impressions]]</f>
        <v>0.10977802753582468</v>
      </c>
    </row>
    <row r="153" spans="1:16" x14ac:dyDescent="0.3">
      <c r="A153" s="6" t="s">
        <v>205</v>
      </c>
      <c r="B153" s="1" t="s">
        <v>35</v>
      </c>
      <c r="C153" s="7">
        <v>45769</v>
      </c>
      <c r="D153" s="1" t="s">
        <v>41</v>
      </c>
      <c r="E153" s="1" t="s">
        <v>46</v>
      </c>
      <c r="F153" s="1">
        <v>4804</v>
      </c>
      <c r="G153" s="1">
        <v>550</v>
      </c>
      <c r="H153" s="1">
        <v>270</v>
      </c>
      <c r="I153" s="1">
        <v>28824</v>
      </c>
      <c r="J153" s="1">
        <v>28370</v>
      </c>
      <c r="K153" s="1">
        <v>47</v>
      </c>
      <c r="L153" s="1" t="s">
        <v>31</v>
      </c>
      <c r="M153" s="1" t="s">
        <v>359</v>
      </c>
      <c r="N153" s="1" t="s">
        <v>359</v>
      </c>
      <c r="O153" s="8" t="s">
        <v>32</v>
      </c>
      <c r="P153" s="15">
        <f>(Table1_14[[#This Row],[Likes]]+Table1_14[[#This Row],[Shares]]+Table1_14[[#This Row],[Comments]])/Table1_14[[#This Row],[Impressions]]</f>
        <v>0.19511518179295032</v>
      </c>
    </row>
    <row r="154" spans="1:16" x14ac:dyDescent="0.3">
      <c r="A154" s="6" t="s">
        <v>206</v>
      </c>
      <c r="B154" s="1" t="s">
        <v>14</v>
      </c>
      <c r="C154" s="7">
        <v>45658</v>
      </c>
      <c r="D154" s="1" t="s">
        <v>56</v>
      </c>
      <c r="E154" s="1" t="s">
        <v>95</v>
      </c>
      <c r="F154" s="1">
        <v>754</v>
      </c>
      <c r="G154" s="1">
        <v>197</v>
      </c>
      <c r="H154" s="1">
        <v>257</v>
      </c>
      <c r="I154" s="1">
        <v>6786</v>
      </c>
      <c r="J154" s="1">
        <v>6221</v>
      </c>
      <c r="K154" s="1">
        <v>212</v>
      </c>
      <c r="L154" s="1" t="s">
        <v>25</v>
      </c>
      <c r="M154" s="1" t="s">
        <v>359</v>
      </c>
      <c r="N154" s="1" t="s">
        <v>359</v>
      </c>
      <c r="O154" s="8" t="s">
        <v>26</v>
      </c>
      <c r="P154" s="15">
        <f>(Table1_14[[#This Row],[Likes]]+Table1_14[[#This Row],[Shares]]+Table1_14[[#This Row],[Comments]])/Table1_14[[#This Row],[Impressions]]</f>
        <v>0.17801355732390214</v>
      </c>
    </row>
    <row r="155" spans="1:16" x14ac:dyDescent="0.3">
      <c r="A155" s="6" t="s">
        <v>207</v>
      </c>
      <c r="B155" s="1" t="s">
        <v>28</v>
      </c>
      <c r="C155" s="7">
        <v>45574</v>
      </c>
      <c r="D155" s="1" t="s">
        <v>36</v>
      </c>
      <c r="E155" s="1" t="s">
        <v>65</v>
      </c>
      <c r="F155" s="1">
        <v>985</v>
      </c>
      <c r="G155" s="1">
        <v>932</v>
      </c>
      <c r="H155" s="1">
        <v>287</v>
      </c>
      <c r="I155" s="1">
        <v>6895</v>
      </c>
      <c r="J155" s="1">
        <v>6757</v>
      </c>
      <c r="K155" s="1">
        <v>64</v>
      </c>
      <c r="L155" s="1" t="s">
        <v>48</v>
      </c>
      <c r="M155" s="1" t="s">
        <v>359</v>
      </c>
      <c r="N155" s="1" t="s">
        <v>359</v>
      </c>
      <c r="O155" s="8" t="s">
        <v>32</v>
      </c>
      <c r="P155" s="15">
        <f>(Table1_14[[#This Row],[Likes]]+Table1_14[[#This Row],[Shares]]+Table1_14[[#This Row],[Comments]])/Table1_14[[#This Row],[Impressions]]</f>
        <v>0.31965192168237855</v>
      </c>
    </row>
    <row r="156" spans="1:16" x14ac:dyDescent="0.3">
      <c r="A156" s="6" t="s">
        <v>208</v>
      </c>
      <c r="B156" s="1" t="s">
        <v>23</v>
      </c>
      <c r="C156" s="7">
        <v>45647</v>
      </c>
      <c r="D156" s="1" t="s">
        <v>41</v>
      </c>
      <c r="E156" s="1" t="s">
        <v>42</v>
      </c>
      <c r="F156" s="1">
        <v>2283</v>
      </c>
      <c r="G156" s="1">
        <v>210</v>
      </c>
      <c r="H156" s="1">
        <v>130</v>
      </c>
      <c r="I156" s="1">
        <v>22830</v>
      </c>
      <c r="J156" s="1">
        <v>22617</v>
      </c>
      <c r="K156" s="1">
        <v>143</v>
      </c>
      <c r="L156" s="1" t="s">
        <v>48</v>
      </c>
      <c r="M156" s="1" t="s">
        <v>359</v>
      </c>
      <c r="N156" s="1" t="s">
        <v>359</v>
      </c>
      <c r="O156" s="8" t="s">
        <v>21</v>
      </c>
      <c r="P156" s="15">
        <f>(Table1_14[[#This Row],[Likes]]+Table1_14[[#This Row],[Shares]]+Table1_14[[#This Row],[Comments]])/Table1_14[[#This Row],[Impressions]]</f>
        <v>0.11489268506351293</v>
      </c>
    </row>
    <row r="157" spans="1:16" x14ac:dyDescent="0.3">
      <c r="A157" s="6" t="s">
        <v>209</v>
      </c>
      <c r="B157" s="1" t="s">
        <v>35</v>
      </c>
      <c r="C157" s="7">
        <v>45587</v>
      </c>
      <c r="D157" s="1" t="s">
        <v>36</v>
      </c>
      <c r="E157" s="1" t="s">
        <v>37</v>
      </c>
      <c r="F157" s="1">
        <v>3352</v>
      </c>
      <c r="G157" s="1">
        <v>941</v>
      </c>
      <c r="H157" s="1">
        <v>482</v>
      </c>
      <c r="I157" s="1">
        <v>43576</v>
      </c>
      <c r="J157" s="1">
        <v>43338</v>
      </c>
      <c r="K157" s="1">
        <v>240</v>
      </c>
      <c r="L157" s="1" t="s">
        <v>48</v>
      </c>
      <c r="M157" s="1" t="s">
        <v>359</v>
      </c>
      <c r="N157" s="1" t="s">
        <v>359</v>
      </c>
      <c r="O157" s="8" t="s">
        <v>21</v>
      </c>
      <c r="P157" s="15">
        <f>(Table1_14[[#This Row],[Likes]]+Table1_14[[#This Row],[Shares]]+Table1_14[[#This Row],[Comments]])/Table1_14[[#This Row],[Impressions]]</f>
        <v>0.1095786671562328</v>
      </c>
    </row>
    <row r="158" spans="1:16" x14ac:dyDescent="0.3">
      <c r="A158" s="6" t="s">
        <v>210</v>
      </c>
      <c r="B158" s="1" t="s">
        <v>23</v>
      </c>
      <c r="C158" s="7">
        <v>45496</v>
      </c>
      <c r="D158" s="1" t="s">
        <v>29</v>
      </c>
      <c r="E158" s="1" t="s">
        <v>101</v>
      </c>
      <c r="F158" s="1">
        <v>4775</v>
      </c>
      <c r="G158" s="1">
        <v>173</v>
      </c>
      <c r="H158" s="1">
        <v>206</v>
      </c>
      <c r="I158" s="1">
        <v>47750</v>
      </c>
      <c r="J158" s="1">
        <v>47544</v>
      </c>
      <c r="K158" s="1">
        <v>187</v>
      </c>
      <c r="L158" s="1" t="s">
        <v>48</v>
      </c>
      <c r="M158" s="1" t="s">
        <v>359</v>
      </c>
      <c r="N158" s="1" t="s">
        <v>359</v>
      </c>
      <c r="O158" s="8" t="s">
        <v>21</v>
      </c>
      <c r="P158" s="15">
        <f>(Table1_14[[#This Row],[Likes]]+Table1_14[[#This Row],[Shares]]+Table1_14[[#This Row],[Comments]])/Table1_14[[#This Row],[Impressions]]</f>
        <v>0.10793717277486911</v>
      </c>
    </row>
    <row r="159" spans="1:16" x14ac:dyDescent="0.3">
      <c r="A159" s="6" t="s">
        <v>211</v>
      </c>
      <c r="B159" s="1" t="s">
        <v>28</v>
      </c>
      <c r="C159" s="7">
        <v>45515</v>
      </c>
      <c r="D159" s="1" t="s">
        <v>29</v>
      </c>
      <c r="E159" s="1" t="s">
        <v>30</v>
      </c>
      <c r="F159" s="1">
        <v>1762</v>
      </c>
      <c r="G159" s="1">
        <v>405</v>
      </c>
      <c r="H159" s="1">
        <v>423</v>
      </c>
      <c r="I159" s="1">
        <v>22906</v>
      </c>
      <c r="J159" s="1">
        <v>21925</v>
      </c>
      <c r="K159" s="1">
        <v>25</v>
      </c>
      <c r="L159" s="1" t="s">
        <v>25</v>
      </c>
      <c r="M159" s="1" t="s">
        <v>359</v>
      </c>
      <c r="N159" s="1" t="s">
        <v>359</v>
      </c>
      <c r="O159" s="8" t="s">
        <v>17</v>
      </c>
      <c r="P159" s="15">
        <f>(Table1_14[[#This Row],[Likes]]+Table1_14[[#This Row],[Shares]]+Table1_14[[#This Row],[Comments]])/Table1_14[[#This Row],[Impressions]]</f>
        <v>0.11307081114118571</v>
      </c>
    </row>
    <row r="160" spans="1:16" x14ac:dyDescent="0.3">
      <c r="A160" s="6" t="s">
        <v>212</v>
      </c>
      <c r="B160" s="1" t="s">
        <v>35</v>
      </c>
      <c r="C160" s="7">
        <v>45621</v>
      </c>
      <c r="D160" s="1" t="s">
        <v>29</v>
      </c>
      <c r="E160" s="1" t="s">
        <v>54</v>
      </c>
      <c r="F160" s="1">
        <v>2120</v>
      </c>
      <c r="G160" s="1">
        <v>158</v>
      </c>
      <c r="H160" s="1">
        <v>488</v>
      </c>
      <c r="I160" s="1">
        <v>12720</v>
      </c>
      <c r="J160" s="1">
        <v>12085</v>
      </c>
      <c r="K160" s="1">
        <v>17</v>
      </c>
      <c r="L160" s="1" t="s">
        <v>48</v>
      </c>
      <c r="M160" s="1" t="s">
        <v>359</v>
      </c>
      <c r="N160" s="1" t="s">
        <v>359</v>
      </c>
      <c r="O160" s="8" t="s">
        <v>21</v>
      </c>
      <c r="P160" s="15">
        <f>(Table1_14[[#This Row],[Likes]]+Table1_14[[#This Row],[Shares]]+Table1_14[[#This Row],[Comments]])/Table1_14[[#This Row],[Impressions]]</f>
        <v>0.21745283018867925</v>
      </c>
    </row>
    <row r="161" spans="1:16" x14ac:dyDescent="0.3">
      <c r="A161" s="6" t="s">
        <v>213</v>
      </c>
      <c r="B161" s="1" t="s">
        <v>14</v>
      </c>
      <c r="C161" s="7">
        <v>45528</v>
      </c>
      <c r="D161" s="1" t="s">
        <v>56</v>
      </c>
      <c r="E161" s="1" t="s">
        <v>95</v>
      </c>
      <c r="F161" s="1">
        <v>1082</v>
      </c>
      <c r="G161" s="1">
        <v>209</v>
      </c>
      <c r="H161" s="1">
        <v>484</v>
      </c>
      <c r="I161" s="1">
        <v>19476</v>
      </c>
      <c r="J161" s="1">
        <v>18654</v>
      </c>
      <c r="K161" s="1">
        <v>20</v>
      </c>
      <c r="L161" s="1" t="s">
        <v>25</v>
      </c>
      <c r="M161" s="1" t="s">
        <v>359</v>
      </c>
      <c r="N161" s="1" t="s">
        <v>359</v>
      </c>
      <c r="O161" s="8" t="s">
        <v>360</v>
      </c>
      <c r="P161" s="15">
        <f>(Table1_14[[#This Row],[Likes]]+Table1_14[[#This Row],[Shares]]+Table1_14[[#This Row],[Comments]])/Table1_14[[#This Row],[Impressions]]</f>
        <v>9.1137810638734856E-2</v>
      </c>
    </row>
    <row r="162" spans="1:16" x14ac:dyDescent="0.3">
      <c r="A162" s="6" t="s">
        <v>214</v>
      </c>
      <c r="B162" s="1" t="s">
        <v>14</v>
      </c>
      <c r="C162" s="7">
        <v>45707</v>
      </c>
      <c r="D162" s="1" t="s">
        <v>19</v>
      </c>
      <c r="E162" s="1" t="s">
        <v>20</v>
      </c>
      <c r="F162" s="1">
        <v>4671</v>
      </c>
      <c r="G162" s="1">
        <v>876</v>
      </c>
      <c r="H162" s="1">
        <v>366</v>
      </c>
      <c r="I162" s="1">
        <v>51381</v>
      </c>
      <c r="J162" s="1">
        <v>50565</v>
      </c>
      <c r="K162" s="1">
        <v>245</v>
      </c>
      <c r="L162" s="1" t="s">
        <v>25</v>
      </c>
      <c r="M162" s="1" t="s">
        <v>359</v>
      </c>
      <c r="N162" s="1" t="s">
        <v>359</v>
      </c>
      <c r="O162" s="8" t="s">
        <v>32</v>
      </c>
      <c r="P162" s="15">
        <f>(Table1_14[[#This Row],[Likes]]+Table1_14[[#This Row],[Shares]]+Table1_14[[#This Row],[Comments]])/Table1_14[[#This Row],[Impressions]]</f>
        <v>0.11508145034156594</v>
      </c>
    </row>
    <row r="163" spans="1:16" x14ac:dyDescent="0.3">
      <c r="A163" s="6" t="s">
        <v>215</v>
      </c>
      <c r="B163" s="1" t="s">
        <v>35</v>
      </c>
      <c r="C163" s="7">
        <v>45748</v>
      </c>
      <c r="D163" s="1" t="s">
        <v>29</v>
      </c>
      <c r="E163" s="1" t="s">
        <v>54</v>
      </c>
      <c r="F163" s="1">
        <v>3430</v>
      </c>
      <c r="G163" s="1">
        <v>566</v>
      </c>
      <c r="H163" s="1">
        <v>164</v>
      </c>
      <c r="I163" s="1">
        <v>48020</v>
      </c>
      <c r="J163" s="1">
        <v>47305</v>
      </c>
      <c r="K163" s="1">
        <v>120</v>
      </c>
      <c r="L163" s="1" t="s">
        <v>48</v>
      </c>
      <c r="M163" s="1" t="s">
        <v>359</v>
      </c>
      <c r="N163" s="1" t="s">
        <v>359</v>
      </c>
      <c r="O163" s="8" t="s">
        <v>360</v>
      </c>
      <c r="P163" s="15">
        <f>(Table1_14[[#This Row],[Likes]]+Table1_14[[#This Row],[Shares]]+Table1_14[[#This Row],[Comments]])/Table1_14[[#This Row],[Impressions]]</f>
        <v>8.6630570595585168E-2</v>
      </c>
    </row>
    <row r="164" spans="1:16" x14ac:dyDescent="0.3">
      <c r="A164" s="6" t="s">
        <v>216</v>
      </c>
      <c r="B164" s="1" t="s">
        <v>28</v>
      </c>
      <c r="C164" s="7">
        <v>45755</v>
      </c>
      <c r="D164" s="1" t="s">
        <v>41</v>
      </c>
      <c r="E164" s="1" t="s">
        <v>134</v>
      </c>
      <c r="F164" s="1">
        <v>4501</v>
      </c>
      <c r="G164" s="1">
        <v>375</v>
      </c>
      <c r="H164" s="1">
        <v>323</v>
      </c>
      <c r="I164" s="1">
        <v>22505</v>
      </c>
      <c r="J164" s="1">
        <v>21836</v>
      </c>
      <c r="K164" s="1">
        <v>132</v>
      </c>
      <c r="L164" s="1" t="s">
        <v>25</v>
      </c>
      <c r="M164" s="1" t="s">
        <v>359</v>
      </c>
      <c r="N164" s="1" t="s">
        <v>359</v>
      </c>
      <c r="O164" s="8" t="s">
        <v>21</v>
      </c>
      <c r="P164" s="15">
        <f>(Table1_14[[#This Row],[Likes]]+Table1_14[[#This Row],[Shares]]+Table1_14[[#This Row],[Comments]])/Table1_14[[#This Row],[Impressions]]</f>
        <v>0.23101532992668297</v>
      </c>
    </row>
    <row r="165" spans="1:16" x14ac:dyDescent="0.3">
      <c r="A165" s="6" t="s">
        <v>217</v>
      </c>
      <c r="B165" s="1" t="s">
        <v>23</v>
      </c>
      <c r="C165" s="7">
        <v>45715</v>
      </c>
      <c r="D165" s="1" t="s">
        <v>19</v>
      </c>
      <c r="E165" s="1" t="s">
        <v>73</v>
      </c>
      <c r="F165" s="1">
        <v>4934</v>
      </c>
      <c r="G165" s="1">
        <v>971</v>
      </c>
      <c r="H165" s="1">
        <v>156</v>
      </c>
      <c r="I165" s="1">
        <v>39472</v>
      </c>
      <c r="J165" s="1">
        <v>39025</v>
      </c>
      <c r="K165" s="1">
        <v>169</v>
      </c>
      <c r="L165" s="1" t="s">
        <v>25</v>
      </c>
      <c r="M165" s="1" t="s">
        <v>354</v>
      </c>
      <c r="N165" s="1" t="s">
        <v>359</v>
      </c>
      <c r="O165" s="8" t="s">
        <v>32</v>
      </c>
      <c r="P165" s="15">
        <f>(Table1_14[[#This Row],[Likes]]+Table1_14[[#This Row],[Shares]]+Table1_14[[#This Row],[Comments]])/Table1_14[[#This Row],[Impressions]]</f>
        <v>0.15355188488042157</v>
      </c>
    </row>
    <row r="166" spans="1:16" x14ac:dyDescent="0.3">
      <c r="A166" s="6" t="s">
        <v>218</v>
      </c>
      <c r="B166" s="1" t="s">
        <v>14</v>
      </c>
      <c r="C166" s="7">
        <v>45637</v>
      </c>
      <c r="D166" s="1" t="s">
        <v>19</v>
      </c>
      <c r="E166" s="1" t="s">
        <v>20</v>
      </c>
      <c r="F166" s="1">
        <v>3239</v>
      </c>
      <c r="G166" s="1">
        <v>43</v>
      </c>
      <c r="H166" s="1">
        <v>211</v>
      </c>
      <c r="I166" s="1">
        <v>22673</v>
      </c>
      <c r="J166" s="1">
        <v>22171</v>
      </c>
      <c r="K166" s="1">
        <v>230</v>
      </c>
      <c r="L166" s="1" t="s">
        <v>25</v>
      </c>
      <c r="M166" s="1" t="s">
        <v>359</v>
      </c>
      <c r="N166" s="1" t="s">
        <v>359</v>
      </c>
      <c r="O166" s="8" t="s">
        <v>21</v>
      </c>
      <c r="P166" s="15">
        <f>(Table1_14[[#This Row],[Likes]]+Table1_14[[#This Row],[Shares]]+Table1_14[[#This Row],[Comments]])/Table1_14[[#This Row],[Impressions]]</f>
        <v>0.15405989502933004</v>
      </c>
    </row>
    <row r="167" spans="1:16" x14ac:dyDescent="0.3">
      <c r="A167" s="6" t="s">
        <v>219</v>
      </c>
      <c r="B167" s="1" t="s">
        <v>14</v>
      </c>
      <c r="C167" s="7">
        <v>45704</v>
      </c>
      <c r="D167" s="1" t="s">
        <v>15</v>
      </c>
      <c r="E167" s="1" t="s">
        <v>16</v>
      </c>
      <c r="F167" s="1">
        <v>1076</v>
      </c>
      <c r="G167" s="1">
        <v>313</v>
      </c>
      <c r="H167" s="1">
        <v>306</v>
      </c>
      <c r="I167" s="1">
        <v>11836</v>
      </c>
      <c r="J167" s="1">
        <v>11596</v>
      </c>
      <c r="K167" s="1">
        <v>104</v>
      </c>
      <c r="L167" s="1" t="s">
        <v>48</v>
      </c>
      <c r="M167" s="1" t="s">
        <v>359</v>
      </c>
      <c r="N167" s="1" t="s">
        <v>359</v>
      </c>
      <c r="O167" s="8" t="s">
        <v>17</v>
      </c>
      <c r="P167" s="15">
        <f>(Table1_14[[#This Row],[Likes]]+Table1_14[[#This Row],[Shares]]+Table1_14[[#This Row],[Comments]])/Table1_14[[#This Row],[Impressions]]</f>
        <v>0.14320716458262928</v>
      </c>
    </row>
    <row r="168" spans="1:16" x14ac:dyDescent="0.3">
      <c r="A168" s="6" t="s">
        <v>220</v>
      </c>
      <c r="B168" s="1" t="s">
        <v>28</v>
      </c>
      <c r="C168" s="7">
        <v>45624</v>
      </c>
      <c r="D168" s="1" t="s">
        <v>19</v>
      </c>
      <c r="E168" s="1" t="s">
        <v>78</v>
      </c>
      <c r="F168" s="1">
        <v>4771</v>
      </c>
      <c r="G168" s="1">
        <v>818</v>
      </c>
      <c r="H168" s="1">
        <v>56</v>
      </c>
      <c r="I168" s="1">
        <v>57252</v>
      </c>
      <c r="J168" s="1">
        <v>56378</v>
      </c>
      <c r="K168" s="1">
        <v>150</v>
      </c>
      <c r="L168" s="1" t="s">
        <v>48</v>
      </c>
      <c r="M168" s="1" t="s">
        <v>359</v>
      </c>
      <c r="N168" s="1" t="s">
        <v>359</v>
      </c>
      <c r="O168" s="8" t="s">
        <v>360</v>
      </c>
      <c r="P168" s="15">
        <f>(Table1_14[[#This Row],[Likes]]+Table1_14[[#This Row],[Shares]]+Table1_14[[#This Row],[Comments]])/Table1_14[[#This Row],[Impressions]]</f>
        <v>9.859917557465242E-2</v>
      </c>
    </row>
    <row r="169" spans="1:16" x14ac:dyDescent="0.3">
      <c r="A169" s="6" t="s">
        <v>221</v>
      </c>
      <c r="B169" s="1" t="s">
        <v>35</v>
      </c>
      <c r="C169" s="7">
        <v>45608</v>
      </c>
      <c r="D169" s="1" t="s">
        <v>19</v>
      </c>
      <c r="E169" s="1" t="s">
        <v>44</v>
      </c>
      <c r="F169" s="1">
        <v>2418</v>
      </c>
      <c r="G169" s="1">
        <v>754</v>
      </c>
      <c r="H169" s="1">
        <v>54</v>
      </c>
      <c r="I169" s="1">
        <v>43524</v>
      </c>
      <c r="J169" s="1">
        <v>42743</v>
      </c>
      <c r="K169" s="1">
        <v>182</v>
      </c>
      <c r="L169" s="1" t="s">
        <v>31</v>
      </c>
      <c r="M169" s="1" t="s">
        <v>359</v>
      </c>
      <c r="N169" s="1" t="s">
        <v>359</v>
      </c>
      <c r="O169" s="8" t="s">
        <v>17</v>
      </c>
      <c r="P169" s="15">
        <f>(Table1_14[[#This Row],[Likes]]+Table1_14[[#This Row],[Shares]]+Table1_14[[#This Row],[Comments]])/Table1_14[[#This Row],[Impressions]]</f>
        <v>7.412002573292896E-2</v>
      </c>
    </row>
    <row r="170" spans="1:16" x14ac:dyDescent="0.3">
      <c r="A170" s="6" t="s">
        <v>222</v>
      </c>
      <c r="B170" s="1" t="s">
        <v>23</v>
      </c>
      <c r="C170" s="7">
        <v>45629</v>
      </c>
      <c r="D170" s="1" t="s">
        <v>56</v>
      </c>
      <c r="E170" s="1" t="s">
        <v>136</v>
      </c>
      <c r="F170" s="1">
        <v>3809</v>
      </c>
      <c r="G170" s="1">
        <v>273</v>
      </c>
      <c r="H170" s="1">
        <v>200</v>
      </c>
      <c r="I170" s="1">
        <v>34281</v>
      </c>
      <c r="J170" s="1">
        <v>33534</v>
      </c>
      <c r="K170" s="1">
        <v>83</v>
      </c>
      <c r="L170" s="1" t="s">
        <v>31</v>
      </c>
      <c r="M170" s="1" t="s">
        <v>359</v>
      </c>
      <c r="N170" s="1" t="s">
        <v>359</v>
      </c>
      <c r="O170" s="8" t="s">
        <v>17</v>
      </c>
      <c r="P170" s="15">
        <f>(Table1_14[[#This Row],[Likes]]+Table1_14[[#This Row],[Shares]]+Table1_14[[#This Row],[Comments]])/Table1_14[[#This Row],[Impressions]]</f>
        <v>0.12490884163239112</v>
      </c>
    </row>
    <row r="171" spans="1:16" x14ac:dyDescent="0.3">
      <c r="A171" s="6" t="s">
        <v>223</v>
      </c>
      <c r="B171" s="1" t="s">
        <v>14</v>
      </c>
      <c r="C171" s="7">
        <v>45775</v>
      </c>
      <c r="D171" s="1" t="s">
        <v>19</v>
      </c>
      <c r="E171" s="1" t="s">
        <v>20</v>
      </c>
      <c r="F171" s="1">
        <v>3577</v>
      </c>
      <c r="G171" s="1">
        <v>596</v>
      </c>
      <c r="H171" s="1">
        <v>493</v>
      </c>
      <c r="I171" s="1">
        <v>67963</v>
      </c>
      <c r="J171" s="1">
        <v>67839</v>
      </c>
      <c r="K171" s="1">
        <v>53</v>
      </c>
      <c r="L171" s="1" t="s">
        <v>25</v>
      </c>
      <c r="M171" s="1" t="s">
        <v>359</v>
      </c>
      <c r="N171" s="1" t="s">
        <v>359</v>
      </c>
      <c r="O171" s="8" t="s">
        <v>26</v>
      </c>
      <c r="P171" s="15">
        <f>(Table1_14[[#This Row],[Likes]]+Table1_14[[#This Row],[Shares]]+Table1_14[[#This Row],[Comments]])/Table1_14[[#This Row],[Impressions]]</f>
        <v>6.8655003457763777E-2</v>
      </c>
    </row>
    <row r="172" spans="1:16" x14ac:dyDescent="0.3">
      <c r="A172" s="6" t="s">
        <v>224</v>
      </c>
      <c r="B172" s="1" t="s">
        <v>23</v>
      </c>
      <c r="C172" s="7">
        <v>45657</v>
      </c>
      <c r="D172" s="1" t="s">
        <v>56</v>
      </c>
      <c r="E172" s="1" t="s">
        <v>136</v>
      </c>
      <c r="F172" s="1">
        <v>1018</v>
      </c>
      <c r="G172" s="1">
        <v>447</v>
      </c>
      <c r="H172" s="1">
        <v>332</v>
      </c>
      <c r="I172" s="1">
        <v>18324</v>
      </c>
      <c r="J172" s="1">
        <v>18164</v>
      </c>
      <c r="K172" s="1">
        <v>38</v>
      </c>
      <c r="L172" s="1" t="s">
        <v>48</v>
      </c>
      <c r="M172" s="1" t="s">
        <v>359</v>
      </c>
      <c r="N172" s="1" t="s">
        <v>359</v>
      </c>
      <c r="O172" s="8" t="s">
        <v>21</v>
      </c>
      <c r="P172" s="15">
        <f>(Table1_14[[#This Row],[Likes]]+Table1_14[[#This Row],[Shares]]+Table1_14[[#This Row],[Comments]])/Table1_14[[#This Row],[Impressions]]</f>
        <v>9.8068107400130972E-2</v>
      </c>
    </row>
    <row r="173" spans="1:16" x14ac:dyDescent="0.3">
      <c r="A173" s="6" t="s">
        <v>225</v>
      </c>
      <c r="B173" s="1" t="s">
        <v>35</v>
      </c>
      <c r="C173" s="7">
        <v>45518</v>
      </c>
      <c r="D173" s="1" t="s">
        <v>36</v>
      </c>
      <c r="E173" s="1" t="s">
        <v>37</v>
      </c>
      <c r="F173" s="1">
        <v>3073</v>
      </c>
      <c r="G173" s="1">
        <v>553</v>
      </c>
      <c r="H173" s="1">
        <v>174</v>
      </c>
      <c r="I173" s="1">
        <v>52241</v>
      </c>
      <c r="J173" s="1">
        <v>51605</v>
      </c>
      <c r="K173" s="1">
        <v>246</v>
      </c>
      <c r="L173" s="1" t="s">
        <v>31</v>
      </c>
      <c r="M173" s="1" t="s">
        <v>359</v>
      </c>
      <c r="N173" s="1" t="s">
        <v>359</v>
      </c>
      <c r="O173" s="8" t="s">
        <v>26</v>
      </c>
      <c r="P173" s="15">
        <f>(Table1_14[[#This Row],[Likes]]+Table1_14[[#This Row],[Shares]]+Table1_14[[#This Row],[Comments]])/Table1_14[[#This Row],[Impressions]]</f>
        <v>7.2739802071170159E-2</v>
      </c>
    </row>
    <row r="174" spans="1:16" x14ac:dyDescent="0.3">
      <c r="A174" s="6" t="s">
        <v>226</v>
      </c>
      <c r="B174" s="1" t="s">
        <v>14</v>
      </c>
      <c r="C174" s="7">
        <v>45631</v>
      </c>
      <c r="D174" s="1" t="s">
        <v>56</v>
      </c>
      <c r="E174" s="1" t="s">
        <v>95</v>
      </c>
      <c r="F174" s="1">
        <v>1330</v>
      </c>
      <c r="G174" s="1">
        <v>925</v>
      </c>
      <c r="H174" s="1">
        <v>35</v>
      </c>
      <c r="I174" s="1">
        <v>15960</v>
      </c>
      <c r="J174" s="1">
        <v>15379</v>
      </c>
      <c r="K174" s="1">
        <v>229</v>
      </c>
      <c r="L174" s="1" t="s">
        <v>48</v>
      </c>
      <c r="M174" s="1" t="s">
        <v>359</v>
      </c>
      <c r="N174" s="1" t="s">
        <v>359</v>
      </c>
      <c r="O174" s="8" t="s">
        <v>26</v>
      </c>
      <c r="P174" s="15">
        <f>(Table1_14[[#This Row],[Likes]]+Table1_14[[#This Row],[Shares]]+Table1_14[[#This Row],[Comments]])/Table1_14[[#This Row],[Impressions]]</f>
        <v>0.14348370927318296</v>
      </c>
    </row>
    <row r="175" spans="1:16" x14ac:dyDescent="0.3">
      <c r="A175" s="6" t="s">
        <v>227</v>
      </c>
      <c r="B175" s="1" t="s">
        <v>35</v>
      </c>
      <c r="C175" s="7">
        <v>45465</v>
      </c>
      <c r="D175" s="1" t="s">
        <v>19</v>
      </c>
      <c r="E175" s="1" t="s">
        <v>44</v>
      </c>
      <c r="F175" s="1">
        <v>3828</v>
      </c>
      <c r="G175" s="1">
        <v>148</v>
      </c>
      <c r="H175" s="1">
        <v>253</v>
      </c>
      <c r="I175" s="1">
        <v>30624</v>
      </c>
      <c r="J175" s="1">
        <v>30229</v>
      </c>
      <c r="K175" s="1">
        <v>235</v>
      </c>
      <c r="L175" s="1" t="s">
        <v>31</v>
      </c>
      <c r="M175" s="1" t="s">
        <v>359</v>
      </c>
      <c r="N175" s="1" t="s">
        <v>359</v>
      </c>
      <c r="O175" s="8" t="s">
        <v>360</v>
      </c>
      <c r="P175" s="15">
        <f>(Table1_14[[#This Row],[Likes]]+Table1_14[[#This Row],[Shares]]+Table1_14[[#This Row],[Comments]])/Table1_14[[#This Row],[Impressions]]</f>
        <v>0.13809430512016718</v>
      </c>
    </row>
    <row r="176" spans="1:16" x14ac:dyDescent="0.3">
      <c r="A176" s="6" t="s">
        <v>228</v>
      </c>
      <c r="B176" s="1" t="s">
        <v>28</v>
      </c>
      <c r="C176" s="7">
        <v>45674</v>
      </c>
      <c r="D176" s="1" t="s">
        <v>15</v>
      </c>
      <c r="E176" s="1" t="s">
        <v>61</v>
      </c>
      <c r="F176" s="1">
        <v>142</v>
      </c>
      <c r="G176" s="1">
        <v>784</v>
      </c>
      <c r="H176" s="1">
        <v>183</v>
      </c>
      <c r="I176" s="1">
        <v>1704</v>
      </c>
      <c r="J176" s="1">
        <v>995</v>
      </c>
      <c r="K176" s="1">
        <v>154</v>
      </c>
      <c r="L176" s="1" t="s">
        <v>48</v>
      </c>
      <c r="M176" s="1" t="s">
        <v>359</v>
      </c>
      <c r="N176" s="1" t="s">
        <v>359</v>
      </c>
      <c r="O176" s="8" t="s">
        <v>32</v>
      </c>
      <c r="P176" s="15">
        <f>(Table1_14[[#This Row],[Likes]]+Table1_14[[#This Row],[Shares]]+Table1_14[[#This Row],[Comments]])/Table1_14[[#This Row],[Impressions]]</f>
        <v>0.6508215962441315</v>
      </c>
    </row>
    <row r="177" spans="1:16" x14ac:dyDescent="0.3">
      <c r="A177" s="6" t="s">
        <v>229</v>
      </c>
      <c r="B177" s="1" t="s">
        <v>35</v>
      </c>
      <c r="C177" s="7">
        <v>45463</v>
      </c>
      <c r="D177" s="1" t="s">
        <v>56</v>
      </c>
      <c r="E177" s="1" t="s">
        <v>57</v>
      </c>
      <c r="F177" s="1">
        <v>3798</v>
      </c>
      <c r="G177" s="1">
        <v>31</v>
      </c>
      <c r="H177" s="1">
        <v>279</v>
      </c>
      <c r="I177" s="1">
        <v>75960</v>
      </c>
      <c r="J177" s="1">
        <v>75813</v>
      </c>
      <c r="K177" s="1">
        <v>266</v>
      </c>
      <c r="L177" s="1" t="s">
        <v>25</v>
      </c>
      <c r="M177" s="1" t="s">
        <v>359</v>
      </c>
      <c r="N177" s="1" t="s">
        <v>359</v>
      </c>
      <c r="O177" s="8" t="s">
        <v>17</v>
      </c>
      <c r="P177" s="15">
        <f>(Table1_14[[#This Row],[Likes]]+Table1_14[[#This Row],[Shares]]+Table1_14[[#This Row],[Comments]])/Table1_14[[#This Row],[Impressions]]</f>
        <v>5.4081095313322801E-2</v>
      </c>
    </row>
    <row r="178" spans="1:16" x14ac:dyDescent="0.3">
      <c r="A178" s="6" t="s">
        <v>230</v>
      </c>
      <c r="B178" s="1" t="s">
        <v>28</v>
      </c>
      <c r="C178" s="7">
        <v>45483</v>
      </c>
      <c r="D178" s="1" t="s">
        <v>36</v>
      </c>
      <c r="E178" s="1" t="s">
        <v>65</v>
      </c>
      <c r="F178" s="1">
        <v>3099</v>
      </c>
      <c r="G178" s="1">
        <v>694</v>
      </c>
      <c r="H178" s="1">
        <v>171</v>
      </c>
      <c r="I178" s="1">
        <v>43386</v>
      </c>
      <c r="J178" s="1">
        <v>42921</v>
      </c>
      <c r="K178" s="1">
        <v>52</v>
      </c>
      <c r="L178" s="1" t="s">
        <v>25</v>
      </c>
      <c r="M178" s="1" t="s">
        <v>359</v>
      </c>
      <c r="N178" s="1" t="s">
        <v>359</v>
      </c>
      <c r="O178" s="8" t="s">
        <v>26</v>
      </c>
      <c r="P178" s="15">
        <f>(Table1_14[[#This Row],[Likes]]+Table1_14[[#This Row],[Shares]]+Table1_14[[#This Row],[Comments]])/Table1_14[[#This Row],[Impressions]]</f>
        <v>9.1365878393951966E-2</v>
      </c>
    </row>
    <row r="179" spans="1:16" x14ac:dyDescent="0.3">
      <c r="A179" s="6" t="s">
        <v>231</v>
      </c>
      <c r="B179" s="1" t="s">
        <v>28</v>
      </c>
      <c r="C179" s="7">
        <v>45603</v>
      </c>
      <c r="D179" s="1" t="s">
        <v>56</v>
      </c>
      <c r="E179" s="1" t="s">
        <v>63</v>
      </c>
      <c r="F179" s="1">
        <v>129</v>
      </c>
      <c r="G179" s="1">
        <v>643</v>
      </c>
      <c r="H179" s="1">
        <v>136</v>
      </c>
      <c r="I179" s="1">
        <v>1290</v>
      </c>
      <c r="J179" s="1">
        <v>839</v>
      </c>
      <c r="K179" s="1">
        <v>238</v>
      </c>
      <c r="L179" s="1" t="s">
        <v>25</v>
      </c>
      <c r="M179" s="1" t="s">
        <v>359</v>
      </c>
      <c r="N179" s="1" t="s">
        <v>359</v>
      </c>
      <c r="O179" s="8" t="s">
        <v>32</v>
      </c>
      <c r="P179" s="15">
        <f>(Table1_14[[#This Row],[Likes]]+Table1_14[[#This Row],[Shares]]+Table1_14[[#This Row],[Comments]])/Table1_14[[#This Row],[Impressions]]</f>
        <v>0.70387596899224802</v>
      </c>
    </row>
    <row r="180" spans="1:16" x14ac:dyDescent="0.3">
      <c r="A180" s="6" t="s">
        <v>232</v>
      </c>
      <c r="B180" s="1" t="s">
        <v>35</v>
      </c>
      <c r="C180" s="7">
        <v>45488</v>
      </c>
      <c r="D180" s="1" t="s">
        <v>36</v>
      </c>
      <c r="E180" s="1" t="s">
        <v>37</v>
      </c>
      <c r="F180" s="1">
        <v>3796</v>
      </c>
      <c r="G180" s="1">
        <v>667</v>
      </c>
      <c r="H180" s="1">
        <v>395</v>
      </c>
      <c r="I180" s="1">
        <v>64532</v>
      </c>
      <c r="J180" s="1">
        <v>63550</v>
      </c>
      <c r="K180" s="1">
        <v>292</v>
      </c>
      <c r="L180" s="1" t="s">
        <v>25</v>
      </c>
      <c r="M180" s="1" t="s">
        <v>359</v>
      </c>
      <c r="N180" s="1" t="s">
        <v>359</v>
      </c>
      <c r="O180" s="8" t="s">
        <v>360</v>
      </c>
      <c r="P180" s="15">
        <f>(Table1_14[[#This Row],[Likes]]+Table1_14[[#This Row],[Shares]]+Table1_14[[#This Row],[Comments]])/Table1_14[[#This Row],[Impressions]]</f>
        <v>7.5280481001673588E-2</v>
      </c>
    </row>
    <row r="181" spans="1:16" x14ac:dyDescent="0.3">
      <c r="A181" s="6" t="s">
        <v>233</v>
      </c>
      <c r="B181" s="1" t="s">
        <v>23</v>
      </c>
      <c r="C181" s="7">
        <v>45629</v>
      </c>
      <c r="D181" s="1" t="s">
        <v>19</v>
      </c>
      <c r="E181" s="1" t="s">
        <v>73</v>
      </c>
      <c r="F181" s="1">
        <v>3711</v>
      </c>
      <c r="G181" s="1">
        <v>352</v>
      </c>
      <c r="H181" s="1">
        <v>290</v>
      </c>
      <c r="I181" s="1">
        <v>48243</v>
      </c>
      <c r="J181" s="1">
        <v>47579</v>
      </c>
      <c r="K181" s="1">
        <v>11</v>
      </c>
      <c r="L181" s="1" t="s">
        <v>25</v>
      </c>
      <c r="M181" s="1" t="s">
        <v>359</v>
      </c>
      <c r="N181" s="1" t="s">
        <v>359</v>
      </c>
      <c r="O181" s="8" t="s">
        <v>17</v>
      </c>
      <c r="P181" s="15">
        <f>(Table1_14[[#This Row],[Likes]]+Table1_14[[#This Row],[Shares]]+Table1_14[[#This Row],[Comments]])/Table1_14[[#This Row],[Impressions]]</f>
        <v>9.023070704558174E-2</v>
      </c>
    </row>
    <row r="182" spans="1:16" x14ac:dyDescent="0.3">
      <c r="A182" s="6" t="s">
        <v>234</v>
      </c>
      <c r="B182" s="1" t="s">
        <v>23</v>
      </c>
      <c r="C182" s="7">
        <v>45737</v>
      </c>
      <c r="D182" s="1" t="s">
        <v>41</v>
      </c>
      <c r="E182" s="1" t="s">
        <v>42</v>
      </c>
      <c r="F182" s="1">
        <v>606</v>
      </c>
      <c r="G182" s="1">
        <v>789</v>
      </c>
      <c r="H182" s="1">
        <v>470</v>
      </c>
      <c r="I182" s="1">
        <v>7878</v>
      </c>
      <c r="J182" s="1">
        <v>7389</v>
      </c>
      <c r="K182" s="1">
        <v>239</v>
      </c>
      <c r="L182" s="1" t="s">
        <v>31</v>
      </c>
      <c r="M182" s="1" t="s">
        <v>359</v>
      </c>
      <c r="N182" s="1" t="s">
        <v>359</v>
      </c>
      <c r="O182" s="8" t="s">
        <v>26</v>
      </c>
      <c r="P182" s="15">
        <f>(Table1_14[[#This Row],[Likes]]+Table1_14[[#This Row],[Shares]]+Table1_14[[#This Row],[Comments]])/Table1_14[[#This Row],[Impressions]]</f>
        <v>0.23673521198273673</v>
      </c>
    </row>
    <row r="183" spans="1:16" x14ac:dyDescent="0.3">
      <c r="A183" s="6" t="s">
        <v>235</v>
      </c>
      <c r="B183" s="1" t="s">
        <v>35</v>
      </c>
      <c r="C183" s="7">
        <v>45504</v>
      </c>
      <c r="D183" s="1" t="s">
        <v>41</v>
      </c>
      <c r="E183" s="1" t="s">
        <v>46</v>
      </c>
      <c r="F183" s="1">
        <v>4689</v>
      </c>
      <c r="G183" s="1">
        <v>134</v>
      </c>
      <c r="H183" s="1">
        <v>403</v>
      </c>
      <c r="I183" s="1">
        <v>51579</v>
      </c>
      <c r="J183" s="1">
        <v>50924</v>
      </c>
      <c r="K183" s="1">
        <v>173</v>
      </c>
      <c r="L183" s="1" t="s">
        <v>25</v>
      </c>
      <c r="M183" s="1" t="s">
        <v>359</v>
      </c>
      <c r="N183" s="1" t="s">
        <v>359</v>
      </c>
      <c r="O183" s="8" t="s">
        <v>32</v>
      </c>
      <c r="P183" s="15">
        <f>(Table1_14[[#This Row],[Likes]]+Table1_14[[#This Row],[Shares]]+Table1_14[[#This Row],[Comments]])/Table1_14[[#This Row],[Impressions]]</f>
        <v>0.10132030477519921</v>
      </c>
    </row>
    <row r="184" spans="1:16" x14ac:dyDescent="0.3">
      <c r="A184" s="6" t="s">
        <v>236</v>
      </c>
      <c r="B184" s="1" t="s">
        <v>28</v>
      </c>
      <c r="C184" s="7">
        <v>45643</v>
      </c>
      <c r="D184" s="1" t="s">
        <v>29</v>
      </c>
      <c r="E184" s="1" t="s">
        <v>30</v>
      </c>
      <c r="F184" s="1">
        <v>360</v>
      </c>
      <c r="G184" s="1">
        <v>590</v>
      </c>
      <c r="H184" s="1">
        <v>393</v>
      </c>
      <c r="I184" s="1">
        <v>4680</v>
      </c>
      <c r="J184" s="1">
        <v>4322</v>
      </c>
      <c r="K184" s="1">
        <v>208</v>
      </c>
      <c r="L184" s="1" t="s">
        <v>48</v>
      </c>
      <c r="M184" s="1" t="s">
        <v>359</v>
      </c>
      <c r="N184" s="1" t="s">
        <v>359</v>
      </c>
      <c r="O184" s="8" t="s">
        <v>21</v>
      </c>
      <c r="P184" s="15">
        <f>(Table1_14[[#This Row],[Likes]]+Table1_14[[#This Row],[Shares]]+Table1_14[[#This Row],[Comments]])/Table1_14[[#This Row],[Impressions]]</f>
        <v>0.28696581196581195</v>
      </c>
    </row>
    <row r="185" spans="1:16" x14ac:dyDescent="0.3">
      <c r="A185" s="6" t="s">
        <v>237</v>
      </c>
      <c r="B185" s="1" t="s">
        <v>14</v>
      </c>
      <c r="C185" s="7">
        <v>45501</v>
      </c>
      <c r="D185" s="1" t="s">
        <v>41</v>
      </c>
      <c r="E185" s="1" t="s">
        <v>88</v>
      </c>
      <c r="F185" s="1">
        <v>3215</v>
      </c>
      <c r="G185" s="1">
        <v>960</v>
      </c>
      <c r="H185" s="1">
        <v>202</v>
      </c>
      <c r="I185" s="1">
        <v>32150</v>
      </c>
      <c r="J185" s="1">
        <v>31404</v>
      </c>
      <c r="K185" s="1">
        <v>251</v>
      </c>
      <c r="L185" s="1" t="s">
        <v>31</v>
      </c>
      <c r="M185" s="1" t="s">
        <v>359</v>
      </c>
      <c r="N185" s="1" t="s">
        <v>359</v>
      </c>
      <c r="O185" s="8" t="s">
        <v>17</v>
      </c>
      <c r="P185" s="15">
        <f>(Table1_14[[#This Row],[Likes]]+Table1_14[[#This Row],[Shares]]+Table1_14[[#This Row],[Comments]])/Table1_14[[#This Row],[Impressions]]</f>
        <v>0.13614307931570763</v>
      </c>
    </row>
    <row r="186" spans="1:16" x14ac:dyDescent="0.3">
      <c r="A186" s="6" t="s">
        <v>238</v>
      </c>
      <c r="B186" s="1" t="s">
        <v>28</v>
      </c>
      <c r="C186" s="7">
        <v>45668</v>
      </c>
      <c r="D186" s="1" t="s">
        <v>36</v>
      </c>
      <c r="E186" s="1" t="s">
        <v>65</v>
      </c>
      <c r="F186" s="1">
        <v>4523</v>
      </c>
      <c r="G186" s="1">
        <v>61</v>
      </c>
      <c r="H186" s="1">
        <v>157</v>
      </c>
      <c r="I186" s="1">
        <v>49753</v>
      </c>
      <c r="J186" s="1">
        <v>49329</v>
      </c>
      <c r="K186" s="1">
        <v>71</v>
      </c>
      <c r="L186" s="1" t="s">
        <v>31</v>
      </c>
      <c r="M186" s="1" t="s">
        <v>359</v>
      </c>
      <c r="N186" s="1" t="s">
        <v>359</v>
      </c>
      <c r="O186" s="8" t="s">
        <v>360</v>
      </c>
      <c r="P186" s="15">
        <f>(Table1_14[[#This Row],[Likes]]+Table1_14[[#This Row],[Shares]]+Table1_14[[#This Row],[Comments]])/Table1_14[[#This Row],[Impressions]]</f>
        <v>9.5290736237010829E-2</v>
      </c>
    </row>
    <row r="187" spans="1:16" x14ac:dyDescent="0.3">
      <c r="A187" s="6" t="s">
        <v>239</v>
      </c>
      <c r="B187" s="1" t="s">
        <v>35</v>
      </c>
      <c r="C187" s="7">
        <v>45528</v>
      </c>
      <c r="D187" s="1" t="s">
        <v>36</v>
      </c>
      <c r="E187" s="1" t="s">
        <v>37</v>
      </c>
      <c r="F187" s="1">
        <v>4292</v>
      </c>
      <c r="G187" s="1">
        <v>51</v>
      </c>
      <c r="H187" s="1">
        <v>392</v>
      </c>
      <c r="I187" s="1">
        <v>55796</v>
      </c>
      <c r="J187" s="1">
        <v>54826</v>
      </c>
      <c r="K187" s="1">
        <v>264</v>
      </c>
      <c r="L187" s="1" t="s">
        <v>31</v>
      </c>
      <c r="M187" s="1" t="s">
        <v>359</v>
      </c>
      <c r="N187" s="1" t="s">
        <v>359</v>
      </c>
      <c r="O187" s="8" t="s">
        <v>26</v>
      </c>
      <c r="P187" s="15">
        <f>(Table1_14[[#This Row],[Likes]]+Table1_14[[#This Row],[Shares]]+Table1_14[[#This Row],[Comments]])/Table1_14[[#This Row],[Impressions]]</f>
        <v>8.4862714173059003E-2</v>
      </c>
    </row>
    <row r="188" spans="1:16" x14ac:dyDescent="0.3">
      <c r="A188" s="6" t="s">
        <v>240</v>
      </c>
      <c r="B188" s="1" t="s">
        <v>14</v>
      </c>
      <c r="C188" s="7">
        <v>45648</v>
      </c>
      <c r="D188" s="1" t="s">
        <v>15</v>
      </c>
      <c r="E188" s="1" t="s">
        <v>16</v>
      </c>
      <c r="F188" s="1">
        <v>1644</v>
      </c>
      <c r="G188" s="1">
        <v>546</v>
      </c>
      <c r="H188" s="1">
        <v>150</v>
      </c>
      <c r="I188" s="1">
        <v>27948</v>
      </c>
      <c r="J188" s="1">
        <v>27184</v>
      </c>
      <c r="K188" s="1">
        <v>300</v>
      </c>
      <c r="L188" s="1" t="s">
        <v>31</v>
      </c>
      <c r="M188" s="1" t="s">
        <v>359</v>
      </c>
      <c r="N188" s="1" t="s">
        <v>359</v>
      </c>
      <c r="O188" s="8" t="s">
        <v>26</v>
      </c>
      <c r="P188" s="15">
        <f>(Table1_14[[#This Row],[Likes]]+Table1_14[[#This Row],[Shares]]+Table1_14[[#This Row],[Comments]])/Table1_14[[#This Row],[Impressions]]</f>
        <v>8.3726921425504502E-2</v>
      </c>
    </row>
    <row r="189" spans="1:16" x14ac:dyDescent="0.3">
      <c r="A189" s="6" t="s">
        <v>241</v>
      </c>
      <c r="B189" s="1" t="s">
        <v>23</v>
      </c>
      <c r="C189" s="7">
        <v>45449</v>
      </c>
      <c r="D189" s="1" t="s">
        <v>15</v>
      </c>
      <c r="E189" s="1" t="s">
        <v>24</v>
      </c>
      <c r="F189" s="1">
        <v>2728</v>
      </c>
      <c r="G189" s="1">
        <v>533</v>
      </c>
      <c r="H189" s="1">
        <v>215</v>
      </c>
      <c r="I189" s="1">
        <v>40920</v>
      </c>
      <c r="J189" s="1">
        <v>40816</v>
      </c>
      <c r="K189" s="1">
        <v>137</v>
      </c>
      <c r="L189" s="1" t="s">
        <v>48</v>
      </c>
      <c r="M189" s="1" t="s">
        <v>359</v>
      </c>
      <c r="N189" s="1" t="s">
        <v>359</v>
      </c>
      <c r="O189" s="8" t="s">
        <v>21</v>
      </c>
      <c r="P189" s="15">
        <f>(Table1_14[[#This Row],[Likes]]+Table1_14[[#This Row],[Shares]]+Table1_14[[#This Row],[Comments]])/Table1_14[[#This Row],[Impressions]]</f>
        <v>8.4946236559139784E-2</v>
      </c>
    </row>
    <row r="190" spans="1:16" x14ac:dyDescent="0.3">
      <c r="A190" s="6" t="s">
        <v>242</v>
      </c>
      <c r="B190" s="1" t="s">
        <v>35</v>
      </c>
      <c r="C190" s="7">
        <v>45740</v>
      </c>
      <c r="D190" s="1" t="s">
        <v>15</v>
      </c>
      <c r="E190" s="1" t="s">
        <v>50</v>
      </c>
      <c r="F190" s="1">
        <v>3360</v>
      </c>
      <c r="G190" s="1">
        <v>525</v>
      </c>
      <c r="H190" s="1">
        <v>500</v>
      </c>
      <c r="I190" s="1">
        <v>60480</v>
      </c>
      <c r="J190" s="1">
        <v>59610</v>
      </c>
      <c r="K190" s="1">
        <v>192</v>
      </c>
      <c r="L190" s="1" t="s">
        <v>25</v>
      </c>
      <c r="M190" s="1" t="s">
        <v>359</v>
      </c>
      <c r="N190" s="1" t="s">
        <v>359</v>
      </c>
      <c r="O190" s="8" t="s">
        <v>17</v>
      </c>
      <c r="P190" s="15">
        <f>(Table1_14[[#This Row],[Likes]]+Table1_14[[#This Row],[Shares]]+Table1_14[[#This Row],[Comments]])/Table1_14[[#This Row],[Impressions]]</f>
        <v>7.2503306878306875E-2</v>
      </c>
    </row>
    <row r="191" spans="1:16" x14ac:dyDescent="0.3">
      <c r="A191" s="6" t="s">
        <v>243</v>
      </c>
      <c r="B191" s="1" t="s">
        <v>23</v>
      </c>
      <c r="C191" s="7">
        <v>45569</v>
      </c>
      <c r="D191" s="1" t="s">
        <v>19</v>
      </c>
      <c r="E191" s="1" t="s">
        <v>73</v>
      </c>
      <c r="F191" s="1">
        <v>1963</v>
      </c>
      <c r="G191" s="1">
        <v>213</v>
      </c>
      <c r="H191" s="1">
        <v>19</v>
      </c>
      <c r="I191" s="1">
        <v>39260</v>
      </c>
      <c r="J191" s="1">
        <v>38771</v>
      </c>
      <c r="K191" s="1">
        <v>145</v>
      </c>
      <c r="L191" s="1" t="s">
        <v>48</v>
      </c>
      <c r="M191" s="1" t="s">
        <v>359</v>
      </c>
      <c r="N191" s="1" t="s">
        <v>359</v>
      </c>
      <c r="O191" s="8" t="s">
        <v>360</v>
      </c>
      <c r="P191" s="15">
        <f>(Table1_14[[#This Row],[Likes]]+Table1_14[[#This Row],[Shares]]+Table1_14[[#This Row],[Comments]])/Table1_14[[#This Row],[Impressions]]</f>
        <v>5.5909322465613857E-2</v>
      </c>
    </row>
    <row r="192" spans="1:16" x14ac:dyDescent="0.3">
      <c r="A192" s="6" t="s">
        <v>244</v>
      </c>
      <c r="B192" s="1" t="s">
        <v>23</v>
      </c>
      <c r="C192" s="7">
        <v>45629</v>
      </c>
      <c r="D192" s="1" t="s">
        <v>29</v>
      </c>
      <c r="E192" s="1" t="s">
        <v>101</v>
      </c>
      <c r="F192" s="1">
        <v>4285</v>
      </c>
      <c r="G192" s="1">
        <v>886</v>
      </c>
      <c r="H192" s="1">
        <v>376</v>
      </c>
      <c r="I192" s="1">
        <v>55705</v>
      </c>
      <c r="J192" s="1">
        <v>55556</v>
      </c>
      <c r="K192" s="1">
        <v>51</v>
      </c>
      <c r="L192" s="1" t="s">
        <v>48</v>
      </c>
      <c r="M192" s="1" t="s">
        <v>359</v>
      </c>
      <c r="N192" s="1" t="s">
        <v>359</v>
      </c>
      <c r="O192" s="8" t="s">
        <v>26</v>
      </c>
      <c r="P192" s="15">
        <f>(Table1_14[[#This Row],[Likes]]+Table1_14[[#This Row],[Shares]]+Table1_14[[#This Row],[Comments]])/Table1_14[[#This Row],[Impressions]]</f>
        <v>9.9578134817341346E-2</v>
      </c>
    </row>
    <row r="193" spans="1:16" x14ac:dyDescent="0.3">
      <c r="A193" s="6" t="s">
        <v>245</v>
      </c>
      <c r="B193" s="1" t="s">
        <v>28</v>
      </c>
      <c r="C193" s="7">
        <v>45625</v>
      </c>
      <c r="D193" s="1" t="s">
        <v>56</v>
      </c>
      <c r="E193" s="1" t="s">
        <v>63</v>
      </c>
      <c r="F193" s="1">
        <v>1176</v>
      </c>
      <c r="G193" s="1">
        <v>464</v>
      </c>
      <c r="H193" s="1">
        <v>394</v>
      </c>
      <c r="I193" s="1">
        <v>14112</v>
      </c>
      <c r="J193" s="1">
        <v>13588</v>
      </c>
      <c r="K193" s="1">
        <v>272</v>
      </c>
      <c r="L193" s="1" t="s">
        <v>31</v>
      </c>
      <c r="M193" s="1" t="s">
        <v>359</v>
      </c>
      <c r="N193" s="1" t="s">
        <v>359</v>
      </c>
      <c r="O193" s="8" t="s">
        <v>360</v>
      </c>
      <c r="P193" s="15">
        <f>(Table1_14[[#This Row],[Likes]]+Table1_14[[#This Row],[Shares]]+Table1_14[[#This Row],[Comments]])/Table1_14[[#This Row],[Impressions]]</f>
        <v>0.1441326530612245</v>
      </c>
    </row>
    <row r="194" spans="1:16" x14ac:dyDescent="0.3">
      <c r="A194" s="6" t="s">
        <v>246</v>
      </c>
      <c r="B194" s="1" t="s">
        <v>14</v>
      </c>
      <c r="C194" s="7">
        <v>45546</v>
      </c>
      <c r="D194" s="1" t="s">
        <v>41</v>
      </c>
      <c r="E194" s="1" t="s">
        <v>88</v>
      </c>
      <c r="F194" s="1">
        <v>4858</v>
      </c>
      <c r="G194" s="1">
        <v>317</v>
      </c>
      <c r="H194" s="1">
        <v>129</v>
      </c>
      <c r="I194" s="1">
        <v>53438</v>
      </c>
      <c r="J194" s="1">
        <v>52687</v>
      </c>
      <c r="K194" s="1">
        <v>223</v>
      </c>
      <c r="L194" s="1" t="s">
        <v>31</v>
      </c>
      <c r="M194" s="1" t="s">
        <v>359</v>
      </c>
      <c r="N194" s="1" t="s">
        <v>359</v>
      </c>
      <c r="O194" s="8" t="s">
        <v>26</v>
      </c>
      <c r="P194" s="15">
        <f>(Table1_14[[#This Row],[Likes]]+Table1_14[[#This Row],[Shares]]+Table1_14[[#This Row],[Comments]])/Table1_14[[#This Row],[Impressions]]</f>
        <v>9.9255211647142488E-2</v>
      </c>
    </row>
    <row r="195" spans="1:16" x14ac:dyDescent="0.3">
      <c r="A195" s="6" t="s">
        <v>247</v>
      </c>
      <c r="B195" s="1" t="s">
        <v>23</v>
      </c>
      <c r="C195" s="7">
        <v>45567</v>
      </c>
      <c r="D195" s="1" t="s">
        <v>29</v>
      </c>
      <c r="E195" s="1" t="s">
        <v>101</v>
      </c>
      <c r="F195" s="1">
        <v>4350</v>
      </c>
      <c r="G195" s="1">
        <v>771</v>
      </c>
      <c r="H195" s="1">
        <v>7</v>
      </c>
      <c r="I195" s="1">
        <v>60900</v>
      </c>
      <c r="J195" s="1">
        <v>60592</v>
      </c>
      <c r="K195" s="1">
        <v>195</v>
      </c>
      <c r="L195" s="1" t="s">
        <v>31</v>
      </c>
      <c r="M195" s="1" t="s">
        <v>359</v>
      </c>
      <c r="N195" s="1" t="s">
        <v>359</v>
      </c>
      <c r="O195" s="8" t="s">
        <v>17</v>
      </c>
      <c r="P195" s="15">
        <f>(Table1_14[[#This Row],[Likes]]+Table1_14[[#This Row],[Shares]]+Table1_14[[#This Row],[Comments]])/Table1_14[[#This Row],[Impressions]]</f>
        <v>8.4203612479474554E-2</v>
      </c>
    </row>
    <row r="196" spans="1:16" x14ac:dyDescent="0.3">
      <c r="A196" s="6" t="s">
        <v>248</v>
      </c>
      <c r="B196" s="1" t="s">
        <v>28</v>
      </c>
      <c r="C196" s="7">
        <v>45519</v>
      </c>
      <c r="D196" s="1" t="s">
        <v>36</v>
      </c>
      <c r="E196" s="1" t="s">
        <v>65</v>
      </c>
      <c r="F196" s="1">
        <v>914</v>
      </c>
      <c r="G196" s="1">
        <v>464</v>
      </c>
      <c r="H196" s="1">
        <v>246</v>
      </c>
      <c r="I196" s="1">
        <v>11882</v>
      </c>
      <c r="J196" s="1">
        <v>11500</v>
      </c>
      <c r="K196" s="1">
        <v>282</v>
      </c>
      <c r="L196" s="1" t="s">
        <v>48</v>
      </c>
      <c r="M196" s="1" t="s">
        <v>25</v>
      </c>
      <c r="N196" s="1" t="s">
        <v>354</v>
      </c>
      <c r="O196" s="8" t="s">
        <v>32</v>
      </c>
      <c r="P196" s="15">
        <f>(Table1_14[[#This Row],[Likes]]+Table1_14[[#This Row],[Shares]]+Table1_14[[#This Row],[Comments]])/Table1_14[[#This Row],[Impressions]]</f>
        <v>0.13667732704931829</v>
      </c>
    </row>
    <row r="197" spans="1:16" x14ac:dyDescent="0.3">
      <c r="A197" s="6" t="s">
        <v>249</v>
      </c>
      <c r="B197" s="1" t="s">
        <v>28</v>
      </c>
      <c r="C197" s="7">
        <v>45645</v>
      </c>
      <c r="D197" s="1" t="s">
        <v>19</v>
      </c>
      <c r="E197" s="1" t="s">
        <v>78</v>
      </c>
      <c r="F197" s="1">
        <v>1813</v>
      </c>
      <c r="G197" s="1">
        <v>623</v>
      </c>
      <c r="H197" s="1">
        <v>72</v>
      </c>
      <c r="I197" s="1">
        <v>19943</v>
      </c>
      <c r="J197" s="1">
        <v>18959</v>
      </c>
      <c r="K197" s="1">
        <v>85</v>
      </c>
      <c r="L197" s="1" t="s">
        <v>31</v>
      </c>
      <c r="M197" s="1" t="s">
        <v>359</v>
      </c>
      <c r="N197" s="1" t="s">
        <v>359</v>
      </c>
      <c r="O197" s="8" t="s">
        <v>26</v>
      </c>
      <c r="P197" s="15">
        <f>(Table1_14[[#This Row],[Likes]]+Table1_14[[#This Row],[Shares]]+Table1_14[[#This Row],[Comments]])/Table1_14[[#This Row],[Impressions]]</f>
        <v>0.12575841147269717</v>
      </c>
    </row>
    <row r="198" spans="1:16" x14ac:dyDescent="0.3">
      <c r="A198" s="6" t="s">
        <v>250</v>
      </c>
      <c r="B198" s="1" t="s">
        <v>14</v>
      </c>
      <c r="C198" s="7">
        <v>45587</v>
      </c>
      <c r="D198" s="1" t="s">
        <v>15</v>
      </c>
      <c r="E198" s="1" t="s">
        <v>16</v>
      </c>
      <c r="F198" s="1">
        <v>4782</v>
      </c>
      <c r="G198" s="1">
        <v>721</v>
      </c>
      <c r="H198" s="1">
        <v>82</v>
      </c>
      <c r="I198" s="1">
        <v>86076</v>
      </c>
      <c r="J198" s="1">
        <v>85339</v>
      </c>
      <c r="K198" s="1">
        <v>19</v>
      </c>
      <c r="L198" s="1" t="s">
        <v>31</v>
      </c>
      <c r="M198" s="1" t="s">
        <v>359</v>
      </c>
      <c r="N198" s="1" t="s">
        <v>359</v>
      </c>
      <c r="O198" s="8" t="s">
        <v>17</v>
      </c>
      <c r="P198" s="15">
        <f>(Table1_14[[#This Row],[Likes]]+Table1_14[[#This Row],[Shares]]+Table1_14[[#This Row],[Comments]])/Table1_14[[#This Row],[Impressions]]</f>
        <v>6.4884520656164318E-2</v>
      </c>
    </row>
    <row r="199" spans="1:16" x14ac:dyDescent="0.3">
      <c r="A199" s="6" t="s">
        <v>251</v>
      </c>
      <c r="B199" s="1" t="s">
        <v>14</v>
      </c>
      <c r="C199" s="7">
        <v>45549</v>
      </c>
      <c r="D199" s="1" t="s">
        <v>41</v>
      </c>
      <c r="E199" s="1" t="s">
        <v>88</v>
      </c>
      <c r="F199" s="1">
        <v>1048</v>
      </c>
      <c r="G199" s="1">
        <v>374</v>
      </c>
      <c r="H199" s="1">
        <v>450</v>
      </c>
      <c r="I199" s="1">
        <v>9432</v>
      </c>
      <c r="J199" s="1">
        <v>8882</v>
      </c>
      <c r="K199" s="1">
        <v>158</v>
      </c>
      <c r="L199" s="1" t="s">
        <v>25</v>
      </c>
      <c r="M199" s="1" t="s">
        <v>359</v>
      </c>
      <c r="N199" s="1" t="s">
        <v>359</v>
      </c>
      <c r="O199" s="8" t="s">
        <v>26</v>
      </c>
      <c r="P199" s="15">
        <f>(Table1_14[[#This Row],[Likes]]+Table1_14[[#This Row],[Shares]]+Table1_14[[#This Row],[Comments]])/Table1_14[[#This Row],[Impressions]]</f>
        <v>0.19847328244274809</v>
      </c>
    </row>
    <row r="200" spans="1:16" x14ac:dyDescent="0.3">
      <c r="A200" s="6" t="s">
        <v>252</v>
      </c>
      <c r="B200" s="1" t="s">
        <v>23</v>
      </c>
      <c r="C200" s="7">
        <v>45626</v>
      </c>
      <c r="D200" s="1" t="s">
        <v>36</v>
      </c>
      <c r="E200" s="1" t="s">
        <v>52</v>
      </c>
      <c r="F200" s="1">
        <v>2509</v>
      </c>
      <c r="G200" s="1">
        <v>324</v>
      </c>
      <c r="H200" s="1">
        <v>171</v>
      </c>
      <c r="I200" s="1">
        <v>35126</v>
      </c>
      <c r="J200" s="1">
        <v>34685</v>
      </c>
      <c r="K200" s="1">
        <v>277</v>
      </c>
      <c r="L200" s="1" t="s">
        <v>25</v>
      </c>
      <c r="M200" s="1" t="s">
        <v>359</v>
      </c>
      <c r="N200" s="1" t="s">
        <v>359</v>
      </c>
      <c r="O200" s="8" t="s">
        <v>21</v>
      </c>
      <c r="P200" s="15">
        <f>(Table1_14[[#This Row],[Likes]]+Table1_14[[#This Row],[Shares]]+Table1_14[[#This Row],[Comments]])/Table1_14[[#This Row],[Impressions]]</f>
        <v>8.5520696919660646E-2</v>
      </c>
    </row>
    <row r="201" spans="1:16" x14ac:dyDescent="0.3">
      <c r="A201" s="6" t="s">
        <v>253</v>
      </c>
      <c r="B201" s="1" t="s">
        <v>35</v>
      </c>
      <c r="C201" s="7">
        <v>45754</v>
      </c>
      <c r="D201" s="1" t="s">
        <v>15</v>
      </c>
      <c r="E201" s="1" t="s">
        <v>50</v>
      </c>
      <c r="F201" s="1">
        <v>3718</v>
      </c>
      <c r="G201" s="1">
        <v>385</v>
      </c>
      <c r="H201" s="1">
        <v>310</v>
      </c>
      <c r="I201" s="1">
        <v>70642</v>
      </c>
      <c r="J201" s="1">
        <v>69749</v>
      </c>
      <c r="K201" s="1">
        <v>233</v>
      </c>
      <c r="L201" s="1" t="s">
        <v>25</v>
      </c>
      <c r="M201" s="1" t="s">
        <v>359</v>
      </c>
      <c r="N201" s="1" t="s">
        <v>359</v>
      </c>
      <c r="O201" s="8" t="s">
        <v>21</v>
      </c>
      <c r="P201" s="15">
        <f>(Table1_14[[#This Row],[Likes]]+Table1_14[[#This Row],[Shares]]+Table1_14[[#This Row],[Comments]])/Table1_14[[#This Row],[Impressions]]</f>
        <v>6.246991874522239E-2</v>
      </c>
    </row>
    <row r="202" spans="1:16" x14ac:dyDescent="0.3">
      <c r="A202" s="6" t="s">
        <v>254</v>
      </c>
      <c r="B202" s="1" t="s">
        <v>14</v>
      </c>
      <c r="C202" s="7">
        <v>45672</v>
      </c>
      <c r="D202" s="1" t="s">
        <v>15</v>
      </c>
      <c r="E202" s="1" t="s">
        <v>16</v>
      </c>
      <c r="F202" s="1">
        <v>802</v>
      </c>
      <c r="G202" s="1">
        <v>262</v>
      </c>
      <c r="H202" s="1">
        <v>244</v>
      </c>
      <c r="I202" s="1">
        <v>14436</v>
      </c>
      <c r="J202" s="1">
        <v>14280</v>
      </c>
      <c r="K202" s="1">
        <v>49</v>
      </c>
      <c r="L202" s="1" t="s">
        <v>31</v>
      </c>
      <c r="M202" s="1" t="s">
        <v>359</v>
      </c>
      <c r="N202" s="1" t="s">
        <v>359</v>
      </c>
      <c r="O202" s="8" t="s">
        <v>17</v>
      </c>
      <c r="P202" s="15">
        <f>(Table1_14[[#This Row],[Likes]]+Table1_14[[#This Row],[Shares]]+Table1_14[[#This Row],[Comments]])/Table1_14[[#This Row],[Impressions]]</f>
        <v>9.0606816292601824E-2</v>
      </c>
    </row>
    <row r="203" spans="1:16" x14ac:dyDescent="0.3">
      <c r="A203" s="6" t="s">
        <v>255</v>
      </c>
      <c r="B203" s="1" t="s">
        <v>35</v>
      </c>
      <c r="C203" s="7">
        <v>45445</v>
      </c>
      <c r="D203" s="1" t="s">
        <v>41</v>
      </c>
      <c r="E203" s="1" t="s">
        <v>46</v>
      </c>
      <c r="F203" s="1">
        <v>1871</v>
      </c>
      <c r="G203" s="1">
        <v>252</v>
      </c>
      <c r="H203" s="1">
        <v>335</v>
      </c>
      <c r="I203" s="1">
        <v>29936</v>
      </c>
      <c r="J203" s="1">
        <v>29576</v>
      </c>
      <c r="K203" s="1">
        <v>288</v>
      </c>
      <c r="L203" s="1" t="s">
        <v>31</v>
      </c>
      <c r="M203" s="1" t="s">
        <v>359</v>
      </c>
      <c r="N203" s="1" t="s">
        <v>359</v>
      </c>
      <c r="O203" s="8" t="s">
        <v>26</v>
      </c>
      <c r="P203" s="15">
        <f>(Table1_14[[#This Row],[Likes]]+Table1_14[[#This Row],[Shares]]+Table1_14[[#This Row],[Comments]])/Table1_14[[#This Row],[Impressions]]</f>
        <v>8.2108498129342594E-2</v>
      </c>
    </row>
    <row r="204" spans="1:16" x14ac:dyDescent="0.3">
      <c r="A204" s="6" t="s">
        <v>256</v>
      </c>
      <c r="B204" s="1" t="s">
        <v>28</v>
      </c>
      <c r="C204" s="7">
        <v>45617</v>
      </c>
      <c r="D204" s="1" t="s">
        <v>36</v>
      </c>
      <c r="E204" s="1" t="s">
        <v>65</v>
      </c>
      <c r="F204" s="1">
        <v>3773</v>
      </c>
      <c r="G204" s="1">
        <v>299</v>
      </c>
      <c r="H204" s="1">
        <v>38</v>
      </c>
      <c r="I204" s="1">
        <v>71687</v>
      </c>
      <c r="J204" s="1">
        <v>71447</v>
      </c>
      <c r="K204" s="1">
        <v>286</v>
      </c>
      <c r="L204" s="1" t="s">
        <v>48</v>
      </c>
      <c r="M204" s="1" t="s">
        <v>359</v>
      </c>
      <c r="N204" s="1" t="s">
        <v>359</v>
      </c>
      <c r="O204" s="8" t="s">
        <v>17</v>
      </c>
      <c r="P204" s="15">
        <f>(Table1_14[[#This Row],[Likes]]+Table1_14[[#This Row],[Shares]]+Table1_14[[#This Row],[Comments]])/Table1_14[[#This Row],[Impressions]]</f>
        <v>5.7332570758993957E-2</v>
      </c>
    </row>
    <row r="205" spans="1:16" x14ac:dyDescent="0.3">
      <c r="A205" s="6" t="s">
        <v>257</v>
      </c>
      <c r="B205" s="1" t="s">
        <v>28</v>
      </c>
      <c r="C205" s="7">
        <v>45658</v>
      </c>
      <c r="D205" s="1" t="s">
        <v>36</v>
      </c>
      <c r="E205" s="1" t="s">
        <v>65</v>
      </c>
      <c r="F205" s="1">
        <v>2234</v>
      </c>
      <c r="G205" s="1">
        <v>653</v>
      </c>
      <c r="H205" s="1">
        <v>432</v>
      </c>
      <c r="I205" s="1">
        <v>11170</v>
      </c>
      <c r="J205" s="1">
        <v>10569</v>
      </c>
      <c r="K205" s="1">
        <v>198</v>
      </c>
      <c r="L205" s="1" t="s">
        <v>48</v>
      </c>
      <c r="M205" s="1" t="s">
        <v>359</v>
      </c>
      <c r="N205" s="1" t="s">
        <v>359</v>
      </c>
      <c r="O205" s="8" t="s">
        <v>26</v>
      </c>
      <c r="P205" s="15">
        <f>(Table1_14[[#This Row],[Likes]]+Table1_14[[#This Row],[Shares]]+Table1_14[[#This Row],[Comments]])/Table1_14[[#This Row],[Impressions]]</f>
        <v>0.29713518352730528</v>
      </c>
    </row>
    <row r="206" spans="1:16" x14ac:dyDescent="0.3">
      <c r="A206" s="6" t="s">
        <v>258</v>
      </c>
      <c r="B206" s="1" t="s">
        <v>14</v>
      </c>
      <c r="C206" s="7">
        <v>45771</v>
      </c>
      <c r="D206" s="1" t="s">
        <v>56</v>
      </c>
      <c r="E206" s="1" t="s">
        <v>95</v>
      </c>
      <c r="F206" s="1">
        <v>3820</v>
      </c>
      <c r="G206" s="1">
        <v>697</v>
      </c>
      <c r="H206" s="1">
        <v>268</v>
      </c>
      <c r="I206" s="1">
        <v>45840</v>
      </c>
      <c r="J206" s="1">
        <v>45631</v>
      </c>
      <c r="K206" s="1">
        <v>171</v>
      </c>
      <c r="L206" s="1" t="s">
        <v>25</v>
      </c>
      <c r="M206" s="1" t="s">
        <v>356</v>
      </c>
      <c r="N206" s="1" t="s">
        <v>359</v>
      </c>
      <c r="O206" s="8" t="s">
        <v>32</v>
      </c>
      <c r="P206" s="15">
        <f>(Table1_14[[#This Row],[Likes]]+Table1_14[[#This Row],[Shares]]+Table1_14[[#This Row],[Comments]])/Table1_14[[#This Row],[Impressions]]</f>
        <v>0.1043848167539267</v>
      </c>
    </row>
    <row r="207" spans="1:16" x14ac:dyDescent="0.3">
      <c r="A207" s="6" t="s">
        <v>259</v>
      </c>
      <c r="B207" s="1" t="s">
        <v>14</v>
      </c>
      <c r="C207" s="7">
        <v>45467</v>
      </c>
      <c r="D207" s="1" t="s">
        <v>19</v>
      </c>
      <c r="E207" s="1" t="s">
        <v>20</v>
      </c>
      <c r="F207" s="1">
        <v>941</v>
      </c>
      <c r="G207" s="1">
        <v>121</v>
      </c>
      <c r="H207" s="1">
        <v>458</v>
      </c>
      <c r="I207" s="1">
        <v>14115</v>
      </c>
      <c r="J207" s="1">
        <v>13838</v>
      </c>
      <c r="K207" s="1">
        <v>87</v>
      </c>
      <c r="L207" s="1" t="s">
        <v>31</v>
      </c>
      <c r="M207" s="1" t="s">
        <v>359</v>
      </c>
      <c r="N207" s="1" t="s">
        <v>359</v>
      </c>
      <c r="O207" s="8" t="s">
        <v>17</v>
      </c>
      <c r="P207" s="15">
        <f>(Table1_14[[#This Row],[Likes]]+Table1_14[[#This Row],[Shares]]+Table1_14[[#This Row],[Comments]])/Table1_14[[#This Row],[Impressions]]</f>
        <v>0.10768685795253277</v>
      </c>
    </row>
    <row r="208" spans="1:16" x14ac:dyDescent="0.3">
      <c r="A208" s="6" t="s">
        <v>260</v>
      </c>
      <c r="B208" s="1" t="s">
        <v>14</v>
      </c>
      <c r="C208" s="7">
        <v>45655</v>
      </c>
      <c r="D208" s="1" t="s">
        <v>36</v>
      </c>
      <c r="E208" s="1" t="s">
        <v>39</v>
      </c>
      <c r="F208" s="1">
        <v>4274</v>
      </c>
      <c r="G208" s="1">
        <v>340</v>
      </c>
      <c r="H208" s="1">
        <v>281</v>
      </c>
      <c r="I208" s="1">
        <v>34192</v>
      </c>
      <c r="J208" s="1">
        <v>33446</v>
      </c>
      <c r="K208" s="1">
        <v>129</v>
      </c>
      <c r="L208" s="1" t="s">
        <v>25</v>
      </c>
      <c r="M208" s="1" t="s">
        <v>356</v>
      </c>
      <c r="N208" s="1" t="s">
        <v>359</v>
      </c>
      <c r="O208" s="8" t="s">
        <v>26</v>
      </c>
      <c r="P208" s="15">
        <f>(Table1_14[[#This Row],[Likes]]+Table1_14[[#This Row],[Shares]]+Table1_14[[#This Row],[Comments]])/Table1_14[[#This Row],[Impressions]]</f>
        <v>0.14316214319138981</v>
      </c>
    </row>
    <row r="209" spans="1:16" x14ac:dyDescent="0.3">
      <c r="A209" s="6" t="s">
        <v>261</v>
      </c>
      <c r="B209" s="1" t="s">
        <v>23</v>
      </c>
      <c r="C209" s="7">
        <v>45467</v>
      </c>
      <c r="D209" s="1" t="s">
        <v>56</v>
      </c>
      <c r="E209" s="1" t="s">
        <v>136</v>
      </c>
      <c r="F209" s="1">
        <v>2949</v>
      </c>
      <c r="G209" s="1">
        <v>476</v>
      </c>
      <c r="H209" s="1">
        <v>403</v>
      </c>
      <c r="I209" s="1">
        <v>44235</v>
      </c>
      <c r="J209" s="1">
        <v>43705</v>
      </c>
      <c r="K209" s="1">
        <v>135</v>
      </c>
      <c r="L209" s="1" t="s">
        <v>25</v>
      </c>
      <c r="M209" s="1" t="s">
        <v>359</v>
      </c>
      <c r="N209" s="1" t="s">
        <v>359</v>
      </c>
      <c r="O209" s="8" t="s">
        <v>21</v>
      </c>
      <c r="P209" s="15">
        <f>(Table1_14[[#This Row],[Likes]]+Table1_14[[#This Row],[Shares]]+Table1_14[[#This Row],[Comments]])/Table1_14[[#This Row],[Impressions]]</f>
        <v>8.6537809426924378E-2</v>
      </c>
    </row>
    <row r="210" spans="1:16" x14ac:dyDescent="0.3">
      <c r="A210" s="6" t="s">
        <v>262</v>
      </c>
      <c r="B210" s="1" t="s">
        <v>14</v>
      </c>
      <c r="C210" s="7">
        <v>45735</v>
      </c>
      <c r="D210" s="1" t="s">
        <v>56</v>
      </c>
      <c r="E210" s="1" t="s">
        <v>95</v>
      </c>
      <c r="F210" s="1">
        <v>3160</v>
      </c>
      <c r="G210" s="1">
        <v>204</v>
      </c>
      <c r="H210" s="1">
        <v>297</v>
      </c>
      <c r="I210" s="1">
        <v>44240</v>
      </c>
      <c r="J210" s="1">
        <v>43666</v>
      </c>
      <c r="K210" s="1">
        <v>49</v>
      </c>
      <c r="L210" s="1" t="s">
        <v>48</v>
      </c>
      <c r="M210" s="1" t="s">
        <v>354</v>
      </c>
      <c r="N210" s="1" t="s">
        <v>359</v>
      </c>
      <c r="O210" s="8" t="s">
        <v>32</v>
      </c>
      <c r="P210" s="15">
        <f>(Table1_14[[#This Row],[Likes]]+Table1_14[[#This Row],[Shares]]+Table1_14[[#This Row],[Comments]])/Table1_14[[#This Row],[Impressions]]</f>
        <v>8.2753164556962022E-2</v>
      </c>
    </row>
    <row r="211" spans="1:16" x14ac:dyDescent="0.3">
      <c r="A211" s="6" t="s">
        <v>263</v>
      </c>
      <c r="B211" s="1" t="s">
        <v>23</v>
      </c>
      <c r="C211" s="7">
        <v>45707</v>
      </c>
      <c r="D211" s="1" t="s">
        <v>41</v>
      </c>
      <c r="E211" s="1" t="s">
        <v>42</v>
      </c>
      <c r="F211" s="1">
        <v>257</v>
      </c>
      <c r="G211" s="1">
        <v>966</v>
      </c>
      <c r="H211" s="1">
        <v>398</v>
      </c>
      <c r="I211" s="1">
        <v>3341</v>
      </c>
      <c r="J211" s="1">
        <v>2753</v>
      </c>
      <c r="K211" s="1">
        <v>287</v>
      </c>
      <c r="L211" s="1" t="s">
        <v>48</v>
      </c>
      <c r="M211" s="1" t="s">
        <v>359</v>
      </c>
      <c r="N211" s="1" t="s">
        <v>359</v>
      </c>
      <c r="O211" s="8" t="s">
        <v>17</v>
      </c>
      <c r="P211" s="15">
        <f>(Table1_14[[#This Row],[Likes]]+Table1_14[[#This Row],[Shares]]+Table1_14[[#This Row],[Comments]])/Table1_14[[#This Row],[Impressions]]</f>
        <v>0.48518407662376534</v>
      </c>
    </row>
    <row r="212" spans="1:16" x14ac:dyDescent="0.3">
      <c r="A212" s="6" t="s">
        <v>264</v>
      </c>
      <c r="B212" s="1" t="s">
        <v>14</v>
      </c>
      <c r="C212" s="7">
        <v>45491</v>
      </c>
      <c r="D212" s="1" t="s">
        <v>36</v>
      </c>
      <c r="E212" s="1" t="s">
        <v>39</v>
      </c>
      <c r="F212" s="1">
        <v>2120</v>
      </c>
      <c r="G212" s="1">
        <v>38</v>
      </c>
      <c r="H212" s="1">
        <v>212</v>
      </c>
      <c r="I212" s="1">
        <v>12720</v>
      </c>
      <c r="J212" s="1">
        <v>12564</v>
      </c>
      <c r="K212" s="1">
        <v>21</v>
      </c>
      <c r="L212" s="1" t="s">
        <v>48</v>
      </c>
      <c r="M212" s="1" t="s">
        <v>359</v>
      </c>
      <c r="N212" s="1" t="s">
        <v>359</v>
      </c>
      <c r="O212" s="8" t="s">
        <v>32</v>
      </c>
      <c r="P212" s="15">
        <f>(Table1_14[[#This Row],[Likes]]+Table1_14[[#This Row],[Shares]]+Table1_14[[#This Row],[Comments]])/Table1_14[[#This Row],[Impressions]]</f>
        <v>0.18632075471698112</v>
      </c>
    </row>
    <row r="213" spans="1:16" x14ac:dyDescent="0.3">
      <c r="A213" s="6" t="s">
        <v>265</v>
      </c>
      <c r="B213" s="1" t="s">
        <v>23</v>
      </c>
      <c r="C213" s="7">
        <v>45719</v>
      </c>
      <c r="D213" s="1" t="s">
        <v>56</v>
      </c>
      <c r="E213" s="1" t="s">
        <v>136</v>
      </c>
      <c r="F213" s="1">
        <v>3874</v>
      </c>
      <c r="G213" s="1">
        <v>884</v>
      </c>
      <c r="H213" s="1">
        <v>19</v>
      </c>
      <c r="I213" s="1">
        <v>38740</v>
      </c>
      <c r="J213" s="1">
        <v>38552</v>
      </c>
      <c r="K213" s="1">
        <v>219</v>
      </c>
      <c r="L213" s="1" t="s">
        <v>25</v>
      </c>
      <c r="M213" s="1" t="s">
        <v>359</v>
      </c>
      <c r="N213" s="1" t="s">
        <v>359</v>
      </c>
      <c r="O213" s="8" t="s">
        <v>21</v>
      </c>
      <c r="P213" s="15">
        <f>(Table1_14[[#This Row],[Likes]]+Table1_14[[#This Row],[Shares]]+Table1_14[[#This Row],[Comments]])/Table1_14[[#This Row],[Impressions]]</f>
        <v>0.123309241094476</v>
      </c>
    </row>
    <row r="214" spans="1:16" x14ac:dyDescent="0.3">
      <c r="A214" s="6" t="s">
        <v>266</v>
      </c>
      <c r="B214" s="1" t="s">
        <v>35</v>
      </c>
      <c r="C214" s="7">
        <v>45778</v>
      </c>
      <c r="D214" s="1" t="s">
        <v>36</v>
      </c>
      <c r="E214" s="1" t="s">
        <v>37</v>
      </c>
      <c r="F214" s="1">
        <v>2696</v>
      </c>
      <c r="G214" s="1">
        <v>628</v>
      </c>
      <c r="H214" s="1">
        <v>443</v>
      </c>
      <c r="I214" s="1">
        <v>45832</v>
      </c>
      <c r="J214" s="1">
        <v>45632</v>
      </c>
      <c r="K214" s="1">
        <v>248</v>
      </c>
      <c r="L214" s="1" t="s">
        <v>31</v>
      </c>
      <c r="M214" s="1" t="s">
        <v>359</v>
      </c>
      <c r="N214" s="1" t="s">
        <v>359</v>
      </c>
      <c r="O214" s="8" t="s">
        <v>32</v>
      </c>
      <c r="P214" s="15">
        <f>(Table1_14[[#This Row],[Likes]]+Table1_14[[#This Row],[Shares]]+Table1_14[[#This Row],[Comments]])/Table1_14[[#This Row],[Impressions]]</f>
        <v>8.21914819340199E-2</v>
      </c>
    </row>
    <row r="215" spans="1:16" x14ac:dyDescent="0.3">
      <c r="A215" s="6" t="s">
        <v>267</v>
      </c>
      <c r="B215" s="1" t="s">
        <v>28</v>
      </c>
      <c r="C215" s="7">
        <v>45649</v>
      </c>
      <c r="D215" s="1" t="s">
        <v>41</v>
      </c>
      <c r="E215" s="1" t="s">
        <v>134</v>
      </c>
      <c r="F215" s="1">
        <v>521</v>
      </c>
      <c r="G215" s="1">
        <v>746</v>
      </c>
      <c r="H215" s="1">
        <v>315</v>
      </c>
      <c r="I215" s="1">
        <v>4168</v>
      </c>
      <c r="J215" s="1">
        <v>3399</v>
      </c>
      <c r="K215" s="1">
        <v>282</v>
      </c>
      <c r="L215" s="1" t="s">
        <v>48</v>
      </c>
      <c r="M215" s="1" t="s">
        <v>359</v>
      </c>
      <c r="N215" s="1" t="s">
        <v>359</v>
      </c>
      <c r="O215" s="8" t="s">
        <v>21</v>
      </c>
      <c r="P215" s="15">
        <f>(Table1_14[[#This Row],[Likes]]+Table1_14[[#This Row],[Shares]]+Table1_14[[#This Row],[Comments]])/Table1_14[[#This Row],[Impressions]]</f>
        <v>0.37955854126679461</v>
      </c>
    </row>
    <row r="216" spans="1:16" x14ac:dyDescent="0.3">
      <c r="A216" s="6" t="s">
        <v>268</v>
      </c>
      <c r="B216" s="1" t="s">
        <v>35</v>
      </c>
      <c r="C216" s="7">
        <v>45783</v>
      </c>
      <c r="D216" s="1" t="s">
        <v>41</v>
      </c>
      <c r="E216" s="1" t="s">
        <v>46</v>
      </c>
      <c r="F216" s="1">
        <v>4872</v>
      </c>
      <c r="G216" s="1">
        <v>925</v>
      </c>
      <c r="H216" s="1">
        <v>176</v>
      </c>
      <c r="I216" s="1">
        <v>82824</v>
      </c>
      <c r="J216" s="1">
        <v>82543</v>
      </c>
      <c r="K216" s="1">
        <v>89</v>
      </c>
      <c r="L216" s="1" t="s">
        <v>31</v>
      </c>
      <c r="M216" s="1" t="s">
        <v>359</v>
      </c>
      <c r="N216" s="1" t="s">
        <v>359</v>
      </c>
      <c r="O216" s="8" t="s">
        <v>21</v>
      </c>
      <c r="P216" s="15">
        <f>(Table1_14[[#This Row],[Likes]]+Table1_14[[#This Row],[Shares]]+Table1_14[[#This Row],[Comments]])/Table1_14[[#This Row],[Impressions]]</f>
        <v>7.2116777745580993E-2</v>
      </c>
    </row>
    <row r="217" spans="1:16" x14ac:dyDescent="0.3">
      <c r="A217" s="6" t="s">
        <v>269</v>
      </c>
      <c r="B217" s="1" t="s">
        <v>23</v>
      </c>
      <c r="C217" s="7">
        <v>45502</v>
      </c>
      <c r="D217" s="1" t="s">
        <v>29</v>
      </c>
      <c r="E217" s="1" t="s">
        <v>101</v>
      </c>
      <c r="F217" s="1">
        <v>1509</v>
      </c>
      <c r="G217" s="1">
        <v>88</v>
      </c>
      <c r="H217" s="1">
        <v>163</v>
      </c>
      <c r="I217" s="1">
        <v>30180</v>
      </c>
      <c r="J217" s="1">
        <v>29689</v>
      </c>
      <c r="K217" s="1">
        <v>119</v>
      </c>
      <c r="L217" s="1" t="s">
        <v>31</v>
      </c>
      <c r="M217" s="1" t="s">
        <v>359</v>
      </c>
      <c r="N217" s="1" t="s">
        <v>359</v>
      </c>
      <c r="O217" s="8" t="s">
        <v>21</v>
      </c>
      <c r="P217" s="15">
        <f>(Table1_14[[#This Row],[Likes]]+Table1_14[[#This Row],[Shares]]+Table1_14[[#This Row],[Comments]])/Table1_14[[#This Row],[Impressions]]</f>
        <v>5.8316766070245198E-2</v>
      </c>
    </row>
    <row r="218" spans="1:16" x14ac:dyDescent="0.3">
      <c r="A218" s="6" t="s">
        <v>270</v>
      </c>
      <c r="B218" s="1" t="s">
        <v>35</v>
      </c>
      <c r="C218" s="7">
        <v>45629</v>
      </c>
      <c r="D218" s="1" t="s">
        <v>41</v>
      </c>
      <c r="E218" s="1" t="s">
        <v>46</v>
      </c>
      <c r="F218" s="1">
        <v>4606</v>
      </c>
      <c r="G218" s="1">
        <v>931</v>
      </c>
      <c r="H218" s="1">
        <v>230</v>
      </c>
      <c r="I218" s="1">
        <v>92120</v>
      </c>
      <c r="J218" s="1">
        <v>91440</v>
      </c>
      <c r="K218" s="1">
        <v>56</v>
      </c>
      <c r="L218" s="1" t="s">
        <v>25</v>
      </c>
      <c r="M218" s="1" t="s">
        <v>359</v>
      </c>
      <c r="N218" s="1" t="s">
        <v>359</v>
      </c>
      <c r="O218" s="8" t="s">
        <v>360</v>
      </c>
      <c r="P218" s="15">
        <f>(Table1_14[[#This Row],[Likes]]+Table1_14[[#This Row],[Shares]]+Table1_14[[#This Row],[Comments]])/Table1_14[[#This Row],[Impressions]]</f>
        <v>6.2603126356925748E-2</v>
      </c>
    </row>
    <row r="219" spans="1:16" x14ac:dyDescent="0.3">
      <c r="A219" s="6" t="s">
        <v>271</v>
      </c>
      <c r="B219" s="1" t="s">
        <v>35</v>
      </c>
      <c r="C219" s="7">
        <v>45454</v>
      </c>
      <c r="D219" s="1" t="s">
        <v>36</v>
      </c>
      <c r="E219" s="1" t="s">
        <v>37</v>
      </c>
      <c r="F219" s="1">
        <v>1869</v>
      </c>
      <c r="G219" s="1">
        <v>453</v>
      </c>
      <c r="H219" s="1">
        <v>490</v>
      </c>
      <c r="I219" s="1">
        <v>14952</v>
      </c>
      <c r="J219" s="1">
        <v>14309</v>
      </c>
      <c r="K219" s="1">
        <v>275</v>
      </c>
      <c r="L219" s="1" t="s">
        <v>25</v>
      </c>
      <c r="M219" s="1" t="s">
        <v>359</v>
      </c>
      <c r="N219" s="1" t="s">
        <v>359</v>
      </c>
      <c r="O219" s="8" t="s">
        <v>32</v>
      </c>
      <c r="P219" s="15">
        <f>(Table1_14[[#This Row],[Likes]]+Table1_14[[#This Row],[Shares]]+Table1_14[[#This Row],[Comments]])/Table1_14[[#This Row],[Impressions]]</f>
        <v>0.18806848582129482</v>
      </c>
    </row>
    <row r="220" spans="1:16" x14ac:dyDescent="0.3">
      <c r="A220" s="6" t="s">
        <v>272</v>
      </c>
      <c r="B220" s="1" t="s">
        <v>14</v>
      </c>
      <c r="C220" s="7">
        <v>45685</v>
      </c>
      <c r="D220" s="1" t="s">
        <v>15</v>
      </c>
      <c r="E220" s="1" t="s">
        <v>16</v>
      </c>
      <c r="F220" s="1">
        <v>1188</v>
      </c>
      <c r="G220" s="1">
        <v>470</v>
      </c>
      <c r="H220" s="1">
        <v>174</v>
      </c>
      <c r="I220" s="1">
        <v>7128</v>
      </c>
      <c r="J220" s="1">
        <v>6145</v>
      </c>
      <c r="K220" s="1">
        <v>270</v>
      </c>
      <c r="L220" s="1" t="s">
        <v>25</v>
      </c>
      <c r="M220" s="1" t="s">
        <v>359</v>
      </c>
      <c r="N220" s="1" t="s">
        <v>359</v>
      </c>
      <c r="O220" s="8" t="s">
        <v>32</v>
      </c>
      <c r="P220" s="15">
        <f>(Table1_14[[#This Row],[Likes]]+Table1_14[[#This Row],[Shares]]+Table1_14[[#This Row],[Comments]])/Table1_14[[#This Row],[Impressions]]</f>
        <v>0.25701459034792368</v>
      </c>
    </row>
    <row r="221" spans="1:16" x14ac:dyDescent="0.3">
      <c r="A221" s="6" t="s">
        <v>273</v>
      </c>
      <c r="B221" s="1" t="s">
        <v>28</v>
      </c>
      <c r="C221" s="7">
        <v>45445</v>
      </c>
      <c r="D221" s="1" t="s">
        <v>29</v>
      </c>
      <c r="E221" s="1" t="s">
        <v>30</v>
      </c>
      <c r="F221" s="1">
        <v>84</v>
      </c>
      <c r="G221" s="1">
        <v>897</v>
      </c>
      <c r="H221" s="1">
        <v>85</v>
      </c>
      <c r="I221" s="1">
        <v>588</v>
      </c>
      <c r="J221" s="1">
        <v>8</v>
      </c>
      <c r="K221" s="1">
        <v>12</v>
      </c>
      <c r="L221" s="1" t="s">
        <v>31</v>
      </c>
      <c r="M221" s="1" t="s">
        <v>359</v>
      </c>
      <c r="N221" s="1" t="s">
        <v>359</v>
      </c>
      <c r="O221" s="8" t="s">
        <v>360</v>
      </c>
      <c r="P221" s="15">
        <f>(Table1_14[[#This Row],[Likes]]+Table1_14[[#This Row],[Shares]]+Table1_14[[#This Row],[Comments]])/Table1_14[[#This Row],[Impressions]]</f>
        <v>1.8129251700680271</v>
      </c>
    </row>
    <row r="222" spans="1:16" x14ac:dyDescent="0.3">
      <c r="A222" s="6" t="s">
        <v>274</v>
      </c>
      <c r="B222" s="1" t="s">
        <v>35</v>
      </c>
      <c r="C222" s="7">
        <v>45739</v>
      </c>
      <c r="D222" s="1" t="s">
        <v>56</v>
      </c>
      <c r="E222" s="1" t="s">
        <v>57</v>
      </c>
      <c r="F222" s="1">
        <v>4453</v>
      </c>
      <c r="G222" s="1">
        <v>111</v>
      </c>
      <c r="H222" s="1">
        <v>420</v>
      </c>
      <c r="I222" s="1">
        <v>31171</v>
      </c>
      <c r="J222" s="1">
        <v>30565</v>
      </c>
      <c r="K222" s="1">
        <v>23</v>
      </c>
      <c r="L222" s="1" t="s">
        <v>25</v>
      </c>
      <c r="M222" s="1" t="s">
        <v>359</v>
      </c>
      <c r="N222" s="1" t="s">
        <v>359</v>
      </c>
      <c r="O222" s="8" t="s">
        <v>360</v>
      </c>
      <c r="P222" s="15">
        <f>(Table1_14[[#This Row],[Likes]]+Table1_14[[#This Row],[Shares]]+Table1_14[[#This Row],[Comments]])/Table1_14[[#This Row],[Impressions]]</f>
        <v>0.15989220750056141</v>
      </c>
    </row>
    <row r="223" spans="1:16" x14ac:dyDescent="0.3">
      <c r="A223" s="6" t="s">
        <v>275</v>
      </c>
      <c r="B223" s="1" t="s">
        <v>35</v>
      </c>
      <c r="C223" s="7">
        <v>45573</v>
      </c>
      <c r="D223" s="1" t="s">
        <v>15</v>
      </c>
      <c r="E223" s="1" t="s">
        <v>50</v>
      </c>
      <c r="F223" s="1">
        <v>1814</v>
      </c>
      <c r="G223" s="1">
        <v>653</v>
      </c>
      <c r="H223" s="1">
        <v>363</v>
      </c>
      <c r="I223" s="1">
        <v>25396</v>
      </c>
      <c r="J223" s="1">
        <v>25286</v>
      </c>
      <c r="K223" s="1">
        <v>39</v>
      </c>
      <c r="L223" s="1" t="s">
        <v>48</v>
      </c>
      <c r="M223" s="1" t="s">
        <v>356</v>
      </c>
      <c r="N223" s="1" t="s">
        <v>359</v>
      </c>
      <c r="O223" s="8" t="s">
        <v>17</v>
      </c>
      <c r="P223" s="15">
        <f>(Table1_14[[#This Row],[Likes]]+Table1_14[[#This Row],[Shares]]+Table1_14[[#This Row],[Comments]])/Table1_14[[#This Row],[Impressions]]</f>
        <v>0.11143487163332809</v>
      </c>
    </row>
    <row r="224" spans="1:16" x14ac:dyDescent="0.3">
      <c r="A224" s="6" t="s">
        <v>276</v>
      </c>
      <c r="B224" s="1" t="s">
        <v>14</v>
      </c>
      <c r="C224" s="7">
        <v>45608</v>
      </c>
      <c r="D224" s="1" t="s">
        <v>41</v>
      </c>
      <c r="E224" s="1" t="s">
        <v>88</v>
      </c>
      <c r="F224" s="1">
        <v>3338</v>
      </c>
      <c r="G224" s="1">
        <v>277</v>
      </c>
      <c r="H224" s="1">
        <v>118</v>
      </c>
      <c r="I224" s="1">
        <v>60084</v>
      </c>
      <c r="J224" s="1">
        <v>59842</v>
      </c>
      <c r="K224" s="1">
        <v>252</v>
      </c>
      <c r="L224" s="1" t="s">
        <v>25</v>
      </c>
      <c r="M224" s="1" t="s">
        <v>359</v>
      </c>
      <c r="N224" s="1" t="s">
        <v>359</v>
      </c>
      <c r="O224" s="8" t="s">
        <v>360</v>
      </c>
      <c r="P224" s="15">
        <f>(Table1_14[[#This Row],[Likes]]+Table1_14[[#This Row],[Shares]]+Table1_14[[#This Row],[Comments]])/Table1_14[[#This Row],[Impressions]]</f>
        <v>6.2129685107516146E-2</v>
      </c>
    </row>
    <row r="225" spans="1:16" x14ac:dyDescent="0.3">
      <c r="A225" s="6" t="s">
        <v>277</v>
      </c>
      <c r="B225" s="1" t="s">
        <v>35</v>
      </c>
      <c r="C225" s="7">
        <v>45790</v>
      </c>
      <c r="D225" s="1" t="s">
        <v>41</v>
      </c>
      <c r="E225" s="1" t="s">
        <v>46</v>
      </c>
      <c r="F225" s="1">
        <v>602</v>
      </c>
      <c r="G225" s="1">
        <v>594</v>
      </c>
      <c r="H225" s="1">
        <v>156</v>
      </c>
      <c r="I225" s="1">
        <v>4214</v>
      </c>
      <c r="J225" s="1">
        <v>3363</v>
      </c>
      <c r="K225" s="1">
        <v>164</v>
      </c>
      <c r="L225" s="1" t="s">
        <v>25</v>
      </c>
      <c r="M225" s="1" t="s">
        <v>359</v>
      </c>
      <c r="N225" s="1" t="s">
        <v>359</v>
      </c>
      <c r="O225" s="8" t="s">
        <v>26</v>
      </c>
      <c r="P225" s="15">
        <f>(Table1_14[[#This Row],[Likes]]+Table1_14[[#This Row],[Shares]]+Table1_14[[#This Row],[Comments]])/Table1_14[[#This Row],[Impressions]]</f>
        <v>0.32083531086853345</v>
      </c>
    </row>
    <row r="226" spans="1:16" x14ac:dyDescent="0.3">
      <c r="A226" s="6" t="s">
        <v>278</v>
      </c>
      <c r="B226" s="1" t="s">
        <v>14</v>
      </c>
      <c r="C226" s="7">
        <v>45463</v>
      </c>
      <c r="D226" s="1" t="s">
        <v>36</v>
      </c>
      <c r="E226" s="1" t="s">
        <v>39</v>
      </c>
      <c r="F226" s="1">
        <v>4672</v>
      </c>
      <c r="G226" s="1">
        <v>325</v>
      </c>
      <c r="H226" s="1">
        <v>32</v>
      </c>
      <c r="I226" s="1">
        <v>88768</v>
      </c>
      <c r="J226" s="1">
        <v>87833</v>
      </c>
      <c r="K226" s="1">
        <v>118</v>
      </c>
      <c r="L226" s="1" t="s">
        <v>31</v>
      </c>
      <c r="M226" s="1" t="s">
        <v>359</v>
      </c>
      <c r="N226" s="1" t="s">
        <v>359</v>
      </c>
      <c r="O226" s="8" t="s">
        <v>360</v>
      </c>
      <c r="P226" s="15">
        <f>(Table1_14[[#This Row],[Likes]]+Table1_14[[#This Row],[Shares]]+Table1_14[[#This Row],[Comments]])/Table1_14[[#This Row],[Impressions]]</f>
        <v>5.6653298485940883E-2</v>
      </c>
    </row>
    <row r="227" spans="1:16" x14ac:dyDescent="0.3">
      <c r="A227" s="6" t="s">
        <v>279</v>
      </c>
      <c r="B227" s="1" t="s">
        <v>28</v>
      </c>
      <c r="C227" s="7">
        <v>45511</v>
      </c>
      <c r="D227" s="1" t="s">
        <v>36</v>
      </c>
      <c r="E227" s="1" t="s">
        <v>65</v>
      </c>
      <c r="F227" s="1">
        <v>1741</v>
      </c>
      <c r="G227" s="1">
        <v>164</v>
      </c>
      <c r="H227" s="1">
        <v>318</v>
      </c>
      <c r="I227" s="1">
        <v>8705</v>
      </c>
      <c r="J227" s="1">
        <v>8272</v>
      </c>
      <c r="K227" s="1">
        <v>121</v>
      </c>
      <c r="L227" s="1" t="s">
        <v>25</v>
      </c>
      <c r="M227" s="1" t="s">
        <v>359</v>
      </c>
      <c r="N227" s="1" t="s">
        <v>359</v>
      </c>
      <c r="O227" s="8" t="s">
        <v>360</v>
      </c>
      <c r="P227" s="15">
        <f>(Table1_14[[#This Row],[Likes]]+Table1_14[[#This Row],[Shares]]+Table1_14[[#This Row],[Comments]])/Table1_14[[#This Row],[Impressions]]</f>
        <v>0.25537047673750718</v>
      </c>
    </row>
    <row r="228" spans="1:16" x14ac:dyDescent="0.3">
      <c r="A228" s="6" t="s">
        <v>280</v>
      </c>
      <c r="B228" s="1" t="s">
        <v>28</v>
      </c>
      <c r="C228" s="7">
        <v>45455</v>
      </c>
      <c r="D228" s="1" t="s">
        <v>19</v>
      </c>
      <c r="E228" s="1" t="s">
        <v>78</v>
      </c>
      <c r="F228" s="1">
        <v>246</v>
      </c>
      <c r="G228" s="1">
        <v>149</v>
      </c>
      <c r="H228" s="1">
        <v>130</v>
      </c>
      <c r="I228" s="1">
        <v>4674</v>
      </c>
      <c r="J228" s="1">
        <v>4390</v>
      </c>
      <c r="K228" s="1">
        <v>217</v>
      </c>
      <c r="L228" s="1" t="s">
        <v>48</v>
      </c>
      <c r="M228" s="1" t="s">
        <v>359</v>
      </c>
      <c r="N228" s="1" t="s">
        <v>359</v>
      </c>
      <c r="O228" s="8" t="s">
        <v>26</v>
      </c>
      <c r="P228" s="15">
        <f>(Table1_14[[#This Row],[Likes]]+Table1_14[[#This Row],[Shares]]+Table1_14[[#This Row],[Comments]])/Table1_14[[#This Row],[Impressions]]</f>
        <v>0.11232349165596919</v>
      </c>
    </row>
    <row r="229" spans="1:16" x14ac:dyDescent="0.3">
      <c r="A229" s="6" t="s">
        <v>281</v>
      </c>
      <c r="B229" s="1" t="s">
        <v>28</v>
      </c>
      <c r="C229" s="7">
        <v>45474</v>
      </c>
      <c r="D229" s="1" t="s">
        <v>29</v>
      </c>
      <c r="E229" s="1" t="s">
        <v>30</v>
      </c>
      <c r="F229" s="1">
        <v>4808</v>
      </c>
      <c r="G229" s="1">
        <v>772</v>
      </c>
      <c r="H229" s="1">
        <v>320</v>
      </c>
      <c r="I229" s="1">
        <v>72120</v>
      </c>
      <c r="J229" s="1">
        <v>71696</v>
      </c>
      <c r="K229" s="1">
        <v>195</v>
      </c>
      <c r="L229" s="1" t="s">
        <v>31</v>
      </c>
      <c r="M229" s="1" t="s">
        <v>359</v>
      </c>
      <c r="N229" s="1" t="s">
        <v>359</v>
      </c>
      <c r="O229" s="8" t="s">
        <v>17</v>
      </c>
      <c r="P229" s="15">
        <f>(Table1_14[[#This Row],[Likes]]+Table1_14[[#This Row],[Shares]]+Table1_14[[#This Row],[Comments]])/Table1_14[[#This Row],[Impressions]]</f>
        <v>8.1808097615085965E-2</v>
      </c>
    </row>
    <row r="230" spans="1:16" x14ac:dyDescent="0.3">
      <c r="A230" s="6" t="s">
        <v>282</v>
      </c>
      <c r="B230" s="1" t="s">
        <v>28</v>
      </c>
      <c r="C230" s="7">
        <v>45476</v>
      </c>
      <c r="D230" s="1" t="s">
        <v>36</v>
      </c>
      <c r="E230" s="1" t="s">
        <v>65</v>
      </c>
      <c r="F230" s="1">
        <v>4799</v>
      </c>
      <c r="G230" s="1">
        <v>694</v>
      </c>
      <c r="H230" s="1">
        <v>289</v>
      </c>
      <c r="I230" s="1">
        <v>43191</v>
      </c>
      <c r="J230" s="1">
        <v>42228</v>
      </c>
      <c r="K230" s="1">
        <v>118</v>
      </c>
      <c r="L230" s="1" t="s">
        <v>25</v>
      </c>
      <c r="M230" s="1" t="s">
        <v>359</v>
      </c>
      <c r="N230" s="1" t="s">
        <v>359</v>
      </c>
      <c r="O230" s="8" t="s">
        <v>360</v>
      </c>
      <c r="P230" s="15">
        <f>(Table1_14[[#This Row],[Likes]]+Table1_14[[#This Row],[Shares]]+Table1_14[[#This Row],[Comments]])/Table1_14[[#This Row],[Impressions]]</f>
        <v>0.13387048227640017</v>
      </c>
    </row>
    <row r="231" spans="1:16" x14ac:dyDescent="0.3">
      <c r="A231" s="6" t="s">
        <v>283</v>
      </c>
      <c r="B231" s="1" t="s">
        <v>35</v>
      </c>
      <c r="C231" s="7">
        <v>45488</v>
      </c>
      <c r="D231" s="1" t="s">
        <v>15</v>
      </c>
      <c r="E231" s="1" t="s">
        <v>50</v>
      </c>
      <c r="F231" s="1">
        <v>3663</v>
      </c>
      <c r="G231" s="1">
        <v>17</v>
      </c>
      <c r="H231" s="1">
        <v>295</v>
      </c>
      <c r="I231" s="1">
        <v>51282</v>
      </c>
      <c r="J231" s="1">
        <v>50567</v>
      </c>
      <c r="K231" s="1">
        <v>84</v>
      </c>
      <c r="L231" s="1" t="s">
        <v>31</v>
      </c>
      <c r="M231" s="1" t="s">
        <v>359</v>
      </c>
      <c r="N231" s="1" t="s">
        <v>359</v>
      </c>
      <c r="O231" s="8" t="s">
        <v>26</v>
      </c>
      <c r="P231" s="15">
        <f>(Table1_14[[#This Row],[Likes]]+Table1_14[[#This Row],[Shares]]+Table1_14[[#This Row],[Comments]])/Table1_14[[#This Row],[Impressions]]</f>
        <v>7.7512577512577507E-2</v>
      </c>
    </row>
    <row r="232" spans="1:16" x14ac:dyDescent="0.3">
      <c r="A232" s="6" t="s">
        <v>284</v>
      </c>
      <c r="B232" s="1" t="s">
        <v>28</v>
      </c>
      <c r="C232" s="7">
        <v>45778</v>
      </c>
      <c r="D232" s="1" t="s">
        <v>19</v>
      </c>
      <c r="E232" s="1" t="s">
        <v>78</v>
      </c>
      <c r="F232" s="1">
        <v>1430</v>
      </c>
      <c r="G232" s="1">
        <v>376</v>
      </c>
      <c r="H232" s="1">
        <v>33</v>
      </c>
      <c r="I232" s="1">
        <v>21450</v>
      </c>
      <c r="J232" s="1">
        <v>20509</v>
      </c>
      <c r="K232" s="1">
        <v>251</v>
      </c>
      <c r="L232" s="1" t="s">
        <v>48</v>
      </c>
      <c r="M232" s="1" t="s">
        <v>359</v>
      </c>
      <c r="N232" s="1" t="s">
        <v>359</v>
      </c>
      <c r="O232" s="8" t="s">
        <v>17</v>
      </c>
      <c r="P232" s="15">
        <f>(Table1_14[[#This Row],[Likes]]+Table1_14[[#This Row],[Shares]]+Table1_14[[#This Row],[Comments]])/Table1_14[[#This Row],[Impressions]]</f>
        <v>8.5734265734265735E-2</v>
      </c>
    </row>
    <row r="233" spans="1:16" x14ac:dyDescent="0.3">
      <c r="A233" s="6" t="s">
        <v>285</v>
      </c>
      <c r="B233" s="1" t="s">
        <v>14</v>
      </c>
      <c r="C233" s="7">
        <v>45776</v>
      </c>
      <c r="D233" s="1" t="s">
        <v>29</v>
      </c>
      <c r="E233" s="1" t="s">
        <v>98</v>
      </c>
      <c r="F233" s="1">
        <v>249</v>
      </c>
      <c r="G233" s="1">
        <v>592</v>
      </c>
      <c r="H233" s="1">
        <v>230</v>
      </c>
      <c r="I233" s="1">
        <v>1494</v>
      </c>
      <c r="J233" s="1">
        <v>1044</v>
      </c>
      <c r="K233" s="1">
        <v>201</v>
      </c>
      <c r="L233" s="1" t="s">
        <v>31</v>
      </c>
      <c r="M233" s="1" t="s">
        <v>359</v>
      </c>
      <c r="N233" s="1" t="s">
        <v>359</v>
      </c>
      <c r="O233" s="8" t="s">
        <v>32</v>
      </c>
      <c r="P233" s="15">
        <f>(Table1_14[[#This Row],[Likes]]+Table1_14[[#This Row],[Shares]]+Table1_14[[#This Row],[Comments]])/Table1_14[[#This Row],[Impressions]]</f>
        <v>0.7168674698795181</v>
      </c>
    </row>
    <row r="234" spans="1:16" x14ac:dyDescent="0.3">
      <c r="A234" s="6" t="s">
        <v>286</v>
      </c>
      <c r="B234" s="1" t="s">
        <v>35</v>
      </c>
      <c r="C234" s="7">
        <v>45724</v>
      </c>
      <c r="D234" s="1" t="s">
        <v>41</v>
      </c>
      <c r="E234" s="1" t="s">
        <v>46</v>
      </c>
      <c r="F234" s="1">
        <v>2382</v>
      </c>
      <c r="G234" s="1">
        <v>265</v>
      </c>
      <c r="H234" s="1">
        <v>134</v>
      </c>
      <c r="I234" s="1">
        <v>38112</v>
      </c>
      <c r="J234" s="1">
        <v>37437</v>
      </c>
      <c r="K234" s="1">
        <v>249</v>
      </c>
      <c r="L234" s="1" t="s">
        <v>48</v>
      </c>
      <c r="M234" s="1" t="s">
        <v>359</v>
      </c>
      <c r="N234" s="1" t="s">
        <v>359</v>
      </c>
      <c r="O234" s="8" t="s">
        <v>32</v>
      </c>
      <c r="P234" s="15">
        <f>(Table1_14[[#This Row],[Likes]]+Table1_14[[#This Row],[Shares]]+Table1_14[[#This Row],[Comments]])/Table1_14[[#This Row],[Impressions]]</f>
        <v>7.2969143576826198E-2</v>
      </c>
    </row>
    <row r="235" spans="1:16" x14ac:dyDescent="0.3">
      <c r="A235" s="6" t="s">
        <v>287</v>
      </c>
      <c r="B235" s="1" t="s">
        <v>35</v>
      </c>
      <c r="C235" s="7">
        <v>45444</v>
      </c>
      <c r="D235" s="1" t="s">
        <v>19</v>
      </c>
      <c r="E235" s="1" t="s">
        <v>44</v>
      </c>
      <c r="F235" s="1">
        <v>1272</v>
      </c>
      <c r="G235" s="1">
        <v>465</v>
      </c>
      <c r="H235" s="1">
        <v>99</v>
      </c>
      <c r="I235" s="1">
        <v>24168</v>
      </c>
      <c r="J235" s="1">
        <v>23719</v>
      </c>
      <c r="K235" s="1">
        <v>42</v>
      </c>
      <c r="L235" s="1" t="s">
        <v>25</v>
      </c>
      <c r="M235" s="1" t="s">
        <v>359</v>
      </c>
      <c r="N235" s="1" t="s">
        <v>359</v>
      </c>
      <c r="O235" s="8" t="s">
        <v>360</v>
      </c>
      <c r="P235" s="15">
        <f>(Table1_14[[#This Row],[Likes]]+Table1_14[[#This Row],[Shares]]+Table1_14[[#This Row],[Comments]])/Table1_14[[#This Row],[Impressions]]</f>
        <v>7.5968222442899705E-2</v>
      </c>
    </row>
    <row r="236" spans="1:16" x14ac:dyDescent="0.3">
      <c r="A236" s="6" t="s">
        <v>288</v>
      </c>
      <c r="B236" s="1" t="s">
        <v>35</v>
      </c>
      <c r="C236" s="7">
        <v>45648</v>
      </c>
      <c r="D236" s="1" t="s">
        <v>41</v>
      </c>
      <c r="E236" s="1" t="s">
        <v>46</v>
      </c>
      <c r="F236" s="1">
        <v>3196</v>
      </c>
      <c r="G236" s="1">
        <v>941</v>
      </c>
      <c r="H236" s="1">
        <v>376</v>
      </c>
      <c r="I236" s="1">
        <v>35156</v>
      </c>
      <c r="J236" s="1">
        <v>34444</v>
      </c>
      <c r="K236" s="1">
        <v>241</v>
      </c>
      <c r="L236" s="1" t="s">
        <v>25</v>
      </c>
      <c r="M236" s="1" t="s">
        <v>359</v>
      </c>
      <c r="N236" s="1" t="s">
        <v>359</v>
      </c>
      <c r="O236" s="8" t="s">
        <v>26</v>
      </c>
      <c r="P236" s="15">
        <f>(Table1_14[[#This Row],[Likes]]+Table1_14[[#This Row],[Shares]]+Table1_14[[#This Row],[Comments]])/Table1_14[[#This Row],[Impressions]]</f>
        <v>0.1283706906360223</v>
      </c>
    </row>
    <row r="237" spans="1:16" x14ac:dyDescent="0.3">
      <c r="A237" s="6" t="s">
        <v>289</v>
      </c>
      <c r="B237" s="1" t="s">
        <v>35</v>
      </c>
      <c r="C237" s="7">
        <v>45523</v>
      </c>
      <c r="D237" s="1" t="s">
        <v>19</v>
      </c>
      <c r="E237" s="1" t="s">
        <v>44</v>
      </c>
      <c r="F237" s="1">
        <v>1257</v>
      </c>
      <c r="G237" s="1">
        <v>19</v>
      </c>
      <c r="H237" s="1">
        <v>351</v>
      </c>
      <c r="I237" s="1">
        <v>12570</v>
      </c>
      <c r="J237" s="1">
        <v>11660</v>
      </c>
      <c r="K237" s="1">
        <v>194</v>
      </c>
      <c r="L237" s="1" t="s">
        <v>48</v>
      </c>
      <c r="M237" s="1" t="s">
        <v>354</v>
      </c>
      <c r="N237" s="1" t="s">
        <v>31</v>
      </c>
      <c r="O237" s="8" t="s">
        <v>21</v>
      </c>
      <c r="P237" s="15">
        <f>(Table1_14[[#This Row],[Likes]]+Table1_14[[#This Row],[Shares]]+Table1_14[[#This Row],[Comments]])/Table1_14[[#This Row],[Impressions]]</f>
        <v>0.12943516308671441</v>
      </c>
    </row>
    <row r="238" spans="1:16" x14ac:dyDescent="0.3">
      <c r="A238" s="6" t="s">
        <v>290</v>
      </c>
      <c r="B238" s="1" t="s">
        <v>28</v>
      </c>
      <c r="C238" s="7">
        <v>45587</v>
      </c>
      <c r="D238" s="1" t="s">
        <v>29</v>
      </c>
      <c r="E238" s="1" t="s">
        <v>30</v>
      </c>
      <c r="F238" s="1">
        <v>3770</v>
      </c>
      <c r="G238" s="1">
        <v>917</v>
      </c>
      <c r="H238" s="1">
        <v>129</v>
      </c>
      <c r="I238" s="1">
        <v>71630</v>
      </c>
      <c r="J238" s="1">
        <v>71322</v>
      </c>
      <c r="K238" s="1">
        <v>76</v>
      </c>
      <c r="L238" s="1" t="s">
        <v>48</v>
      </c>
      <c r="M238" s="1" t="s">
        <v>359</v>
      </c>
      <c r="N238" s="1" t="s">
        <v>359</v>
      </c>
      <c r="O238" s="8" t="s">
        <v>17</v>
      </c>
      <c r="P238" s="15">
        <f>(Table1_14[[#This Row],[Likes]]+Table1_14[[#This Row],[Shares]]+Table1_14[[#This Row],[Comments]])/Table1_14[[#This Row],[Impressions]]</f>
        <v>6.7234398994834563E-2</v>
      </c>
    </row>
    <row r="239" spans="1:16" x14ac:dyDescent="0.3">
      <c r="A239" s="6" t="s">
        <v>291</v>
      </c>
      <c r="B239" s="1" t="s">
        <v>14</v>
      </c>
      <c r="C239" s="7">
        <v>45489</v>
      </c>
      <c r="D239" s="1" t="s">
        <v>19</v>
      </c>
      <c r="E239" s="1" t="s">
        <v>20</v>
      </c>
      <c r="F239" s="1">
        <v>4725</v>
      </c>
      <c r="G239" s="1">
        <v>400</v>
      </c>
      <c r="H239" s="1">
        <v>362</v>
      </c>
      <c r="I239" s="1">
        <v>75600</v>
      </c>
      <c r="J239" s="1">
        <v>74927</v>
      </c>
      <c r="K239" s="1">
        <v>43</v>
      </c>
      <c r="L239" s="1" t="s">
        <v>48</v>
      </c>
      <c r="M239" s="1" t="s">
        <v>359</v>
      </c>
      <c r="N239" s="1" t="s">
        <v>359</v>
      </c>
      <c r="O239" s="8" t="s">
        <v>32</v>
      </c>
      <c r="P239" s="15">
        <f>(Table1_14[[#This Row],[Likes]]+Table1_14[[#This Row],[Shares]]+Table1_14[[#This Row],[Comments]])/Table1_14[[#This Row],[Impressions]]</f>
        <v>7.2579365079365077E-2</v>
      </c>
    </row>
    <row r="240" spans="1:16" x14ac:dyDescent="0.3">
      <c r="A240" s="6" t="s">
        <v>292</v>
      </c>
      <c r="B240" s="1" t="s">
        <v>23</v>
      </c>
      <c r="C240" s="7">
        <v>45712</v>
      </c>
      <c r="D240" s="1" t="s">
        <v>19</v>
      </c>
      <c r="E240" s="1" t="s">
        <v>73</v>
      </c>
      <c r="F240" s="1">
        <v>4188</v>
      </c>
      <c r="G240" s="1">
        <v>942</v>
      </c>
      <c r="H240" s="1">
        <v>118</v>
      </c>
      <c r="I240" s="1">
        <v>20940</v>
      </c>
      <c r="J240" s="1">
        <v>20471</v>
      </c>
      <c r="K240" s="1">
        <v>102</v>
      </c>
      <c r="L240" s="1" t="s">
        <v>48</v>
      </c>
      <c r="M240" s="1" t="s">
        <v>359</v>
      </c>
      <c r="N240" s="1" t="s">
        <v>359</v>
      </c>
      <c r="O240" s="8" t="s">
        <v>360</v>
      </c>
      <c r="P240" s="15">
        <f>(Table1_14[[#This Row],[Likes]]+Table1_14[[#This Row],[Shares]]+Table1_14[[#This Row],[Comments]])/Table1_14[[#This Row],[Impressions]]</f>
        <v>0.25062082139446035</v>
      </c>
    </row>
    <row r="241" spans="1:16" x14ac:dyDescent="0.3">
      <c r="A241" s="6" t="s">
        <v>293</v>
      </c>
      <c r="B241" s="1" t="s">
        <v>14</v>
      </c>
      <c r="C241" s="7">
        <v>45530</v>
      </c>
      <c r="D241" s="1" t="s">
        <v>36</v>
      </c>
      <c r="E241" s="1" t="s">
        <v>39</v>
      </c>
      <c r="F241" s="1">
        <v>929</v>
      </c>
      <c r="G241" s="1">
        <v>192</v>
      </c>
      <c r="H241" s="1">
        <v>322</v>
      </c>
      <c r="I241" s="1">
        <v>16722</v>
      </c>
      <c r="J241" s="1">
        <v>15996</v>
      </c>
      <c r="K241" s="1">
        <v>145</v>
      </c>
      <c r="L241" s="1" t="s">
        <v>31</v>
      </c>
      <c r="M241" s="1" t="s">
        <v>25</v>
      </c>
      <c r="N241" s="1" t="s">
        <v>354</v>
      </c>
      <c r="O241" s="8" t="s">
        <v>26</v>
      </c>
      <c r="P241" s="15">
        <f>(Table1_14[[#This Row],[Likes]]+Table1_14[[#This Row],[Shares]]+Table1_14[[#This Row],[Comments]])/Table1_14[[#This Row],[Impressions]]</f>
        <v>8.6293505561535699E-2</v>
      </c>
    </row>
    <row r="242" spans="1:16" x14ac:dyDescent="0.3">
      <c r="A242" s="6" t="s">
        <v>294</v>
      </c>
      <c r="B242" s="1" t="s">
        <v>35</v>
      </c>
      <c r="C242" s="7">
        <v>45675</v>
      </c>
      <c r="D242" s="1" t="s">
        <v>29</v>
      </c>
      <c r="E242" s="1" t="s">
        <v>54</v>
      </c>
      <c r="F242" s="1">
        <v>4321</v>
      </c>
      <c r="G242" s="1">
        <v>874</v>
      </c>
      <c r="H242" s="1">
        <v>172</v>
      </c>
      <c r="I242" s="1">
        <v>30247</v>
      </c>
      <c r="J242" s="1">
        <v>29254</v>
      </c>
      <c r="K242" s="1">
        <v>122</v>
      </c>
      <c r="L242" s="1" t="s">
        <v>25</v>
      </c>
      <c r="M242" s="1" t="s">
        <v>359</v>
      </c>
      <c r="N242" s="1" t="s">
        <v>359</v>
      </c>
      <c r="O242" s="8" t="s">
        <v>32</v>
      </c>
      <c r="P242" s="15">
        <f>(Table1_14[[#This Row],[Likes]]+Table1_14[[#This Row],[Shares]]+Table1_14[[#This Row],[Comments]])/Table1_14[[#This Row],[Impressions]]</f>
        <v>0.17743908486792079</v>
      </c>
    </row>
    <row r="243" spans="1:16" x14ac:dyDescent="0.3">
      <c r="A243" s="6" t="s">
        <v>295</v>
      </c>
      <c r="B243" s="1" t="s">
        <v>35</v>
      </c>
      <c r="C243" s="7">
        <v>45480</v>
      </c>
      <c r="D243" s="1" t="s">
        <v>15</v>
      </c>
      <c r="E243" s="1" t="s">
        <v>50</v>
      </c>
      <c r="F243" s="1">
        <v>4767</v>
      </c>
      <c r="G243" s="1">
        <v>190</v>
      </c>
      <c r="H243" s="1">
        <v>340</v>
      </c>
      <c r="I243" s="1">
        <v>28602</v>
      </c>
      <c r="J243" s="1">
        <v>28044</v>
      </c>
      <c r="K243" s="1">
        <v>210</v>
      </c>
      <c r="L243" s="1" t="s">
        <v>31</v>
      </c>
      <c r="M243" s="1" t="s">
        <v>359</v>
      </c>
      <c r="N243" s="1" t="s">
        <v>359</v>
      </c>
      <c r="O243" s="8" t="s">
        <v>26</v>
      </c>
      <c r="P243" s="15">
        <f>(Table1_14[[#This Row],[Likes]]+Table1_14[[#This Row],[Shares]]+Table1_14[[#This Row],[Comments]])/Table1_14[[#This Row],[Impressions]]</f>
        <v>0.18519683938186141</v>
      </c>
    </row>
    <row r="244" spans="1:16" x14ac:dyDescent="0.3">
      <c r="A244" s="6" t="s">
        <v>296</v>
      </c>
      <c r="B244" s="1" t="s">
        <v>14</v>
      </c>
      <c r="C244" s="7">
        <v>45722</v>
      </c>
      <c r="D244" s="1" t="s">
        <v>41</v>
      </c>
      <c r="E244" s="1" t="s">
        <v>88</v>
      </c>
      <c r="F244" s="1">
        <v>3592</v>
      </c>
      <c r="G244" s="1">
        <v>911</v>
      </c>
      <c r="H244" s="1">
        <v>375</v>
      </c>
      <c r="I244" s="1">
        <v>50288</v>
      </c>
      <c r="J244" s="1">
        <v>49490</v>
      </c>
      <c r="K244" s="1">
        <v>32</v>
      </c>
      <c r="L244" s="1" t="s">
        <v>48</v>
      </c>
      <c r="M244" s="1" t="s">
        <v>359</v>
      </c>
      <c r="N244" s="1" t="s">
        <v>359</v>
      </c>
      <c r="O244" s="8" t="s">
        <v>32</v>
      </c>
      <c r="P244" s="15">
        <f>(Table1_14[[#This Row],[Likes]]+Table1_14[[#This Row],[Shares]]+Table1_14[[#This Row],[Comments]])/Table1_14[[#This Row],[Impressions]]</f>
        <v>9.7001272669424113E-2</v>
      </c>
    </row>
    <row r="245" spans="1:16" x14ac:dyDescent="0.3">
      <c r="A245" s="6" t="s">
        <v>297</v>
      </c>
      <c r="B245" s="1" t="s">
        <v>23</v>
      </c>
      <c r="C245" s="7">
        <v>45590</v>
      </c>
      <c r="D245" s="1" t="s">
        <v>56</v>
      </c>
      <c r="E245" s="1" t="s">
        <v>136</v>
      </c>
      <c r="F245" s="1">
        <v>4661</v>
      </c>
      <c r="G245" s="1">
        <v>935</v>
      </c>
      <c r="H245" s="1">
        <v>433</v>
      </c>
      <c r="I245" s="1">
        <v>23305</v>
      </c>
      <c r="J245" s="1">
        <v>22583</v>
      </c>
      <c r="K245" s="1">
        <v>63</v>
      </c>
      <c r="L245" s="1" t="s">
        <v>48</v>
      </c>
      <c r="M245" s="1" t="s">
        <v>359</v>
      </c>
      <c r="N245" s="1" t="s">
        <v>359</v>
      </c>
      <c r="O245" s="8" t="s">
        <v>26</v>
      </c>
      <c r="P245" s="15">
        <f>(Table1_14[[#This Row],[Likes]]+Table1_14[[#This Row],[Shares]]+Table1_14[[#This Row],[Comments]])/Table1_14[[#This Row],[Impressions]]</f>
        <v>0.25869984981763572</v>
      </c>
    </row>
    <row r="246" spans="1:16" x14ac:dyDescent="0.3">
      <c r="A246" s="6" t="s">
        <v>298</v>
      </c>
      <c r="B246" s="1" t="s">
        <v>35</v>
      </c>
      <c r="C246" s="7">
        <v>45669</v>
      </c>
      <c r="D246" s="1" t="s">
        <v>15</v>
      </c>
      <c r="E246" s="1" t="s">
        <v>50</v>
      </c>
      <c r="F246" s="1">
        <v>4134</v>
      </c>
      <c r="G246" s="1">
        <v>824</v>
      </c>
      <c r="H246" s="1">
        <v>99</v>
      </c>
      <c r="I246" s="1">
        <v>41340</v>
      </c>
      <c r="J246" s="1">
        <v>41050</v>
      </c>
      <c r="K246" s="1">
        <v>177</v>
      </c>
      <c r="L246" s="1" t="s">
        <v>31</v>
      </c>
      <c r="M246" s="1" t="s">
        <v>359</v>
      </c>
      <c r="N246" s="1" t="s">
        <v>359</v>
      </c>
      <c r="O246" s="8" t="s">
        <v>17</v>
      </c>
      <c r="P246" s="15">
        <f>(Table1_14[[#This Row],[Likes]]+Table1_14[[#This Row],[Shares]]+Table1_14[[#This Row],[Comments]])/Table1_14[[#This Row],[Impressions]]</f>
        <v>0.12232704402515723</v>
      </c>
    </row>
    <row r="247" spans="1:16" x14ac:dyDescent="0.3">
      <c r="A247" s="6" t="s">
        <v>299</v>
      </c>
      <c r="B247" s="1" t="s">
        <v>35</v>
      </c>
      <c r="C247" s="7">
        <v>45576</v>
      </c>
      <c r="D247" s="1" t="s">
        <v>41</v>
      </c>
      <c r="E247" s="1" t="s">
        <v>46</v>
      </c>
      <c r="F247" s="1">
        <v>400</v>
      </c>
      <c r="G247" s="1">
        <v>680</v>
      </c>
      <c r="H247" s="1">
        <v>434</v>
      </c>
      <c r="I247" s="1">
        <v>6400</v>
      </c>
      <c r="J247" s="1">
        <v>5472</v>
      </c>
      <c r="K247" s="1">
        <v>160</v>
      </c>
      <c r="L247" s="1" t="s">
        <v>48</v>
      </c>
      <c r="M247" s="1" t="s">
        <v>359</v>
      </c>
      <c r="N247" s="1" t="s">
        <v>359</v>
      </c>
      <c r="O247" s="8" t="s">
        <v>21</v>
      </c>
      <c r="P247" s="15">
        <f>(Table1_14[[#This Row],[Likes]]+Table1_14[[#This Row],[Shares]]+Table1_14[[#This Row],[Comments]])/Table1_14[[#This Row],[Impressions]]</f>
        <v>0.23656250000000001</v>
      </c>
    </row>
    <row r="248" spans="1:16" x14ac:dyDescent="0.3">
      <c r="A248" s="6" t="s">
        <v>300</v>
      </c>
      <c r="B248" s="1" t="s">
        <v>35</v>
      </c>
      <c r="C248" s="7">
        <v>45531</v>
      </c>
      <c r="D248" s="1" t="s">
        <v>15</v>
      </c>
      <c r="E248" s="1" t="s">
        <v>50</v>
      </c>
      <c r="F248" s="1">
        <v>3960</v>
      </c>
      <c r="G248" s="1">
        <v>266</v>
      </c>
      <c r="H248" s="1">
        <v>8</v>
      </c>
      <c r="I248" s="1">
        <v>35640</v>
      </c>
      <c r="J248" s="1">
        <v>34850</v>
      </c>
      <c r="K248" s="1">
        <v>208</v>
      </c>
      <c r="L248" s="1" t="s">
        <v>48</v>
      </c>
      <c r="M248" s="1" t="s">
        <v>31</v>
      </c>
      <c r="N248" s="1" t="s">
        <v>355</v>
      </c>
      <c r="O248" s="8" t="s">
        <v>360</v>
      </c>
      <c r="P248" s="15">
        <f>(Table1_14[[#This Row],[Likes]]+Table1_14[[#This Row],[Shares]]+Table1_14[[#This Row],[Comments]])/Table1_14[[#This Row],[Impressions]]</f>
        <v>0.11879910213243547</v>
      </c>
    </row>
    <row r="249" spans="1:16" x14ac:dyDescent="0.3">
      <c r="A249" s="6" t="s">
        <v>301</v>
      </c>
      <c r="B249" s="1" t="s">
        <v>35</v>
      </c>
      <c r="C249" s="7">
        <v>45690</v>
      </c>
      <c r="D249" s="1" t="s">
        <v>29</v>
      </c>
      <c r="E249" s="1" t="s">
        <v>54</v>
      </c>
      <c r="F249" s="1">
        <v>886</v>
      </c>
      <c r="G249" s="1">
        <v>126</v>
      </c>
      <c r="H249" s="1">
        <v>153</v>
      </c>
      <c r="I249" s="1">
        <v>4430</v>
      </c>
      <c r="J249" s="1">
        <v>4037</v>
      </c>
      <c r="K249" s="1">
        <v>212</v>
      </c>
      <c r="L249" s="1" t="s">
        <v>31</v>
      </c>
      <c r="M249" s="1" t="s">
        <v>359</v>
      </c>
      <c r="N249" s="1" t="s">
        <v>359</v>
      </c>
      <c r="O249" s="8" t="s">
        <v>360</v>
      </c>
      <c r="P249" s="15">
        <f>(Table1_14[[#This Row],[Likes]]+Table1_14[[#This Row],[Shares]]+Table1_14[[#This Row],[Comments]])/Table1_14[[#This Row],[Impressions]]</f>
        <v>0.26297968397291194</v>
      </c>
    </row>
    <row r="250" spans="1:16" x14ac:dyDescent="0.3">
      <c r="A250" s="6" t="s">
        <v>302</v>
      </c>
      <c r="B250" s="1" t="s">
        <v>14</v>
      </c>
      <c r="C250" s="7">
        <v>45491</v>
      </c>
      <c r="D250" s="1" t="s">
        <v>41</v>
      </c>
      <c r="E250" s="1" t="s">
        <v>88</v>
      </c>
      <c r="F250" s="1">
        <v>827</v>
      </c>
      <c r="G250" s="1">
        <v>77</v>
      </c>
      <c r="H250" s="1">
        <v>402</v>
      </c>
      <c r="I250" s="1">
        <v>14886</v>
      </c>
      <c r="J250" s="1">
        <v>14129</v>
      </c>
      <c r="K250" s="1">
        <v>254</v>
      </c>
      <c r="L250" s="1" t="s">
        <v>31</v>
      </c>
      <c r="M250" s="1" t="s">
        <v>359</v>
      </c>
      <c r="N250" s="1" t="s">
        <v>359</v>
      </c>
      <c r="O250" s="8" t="s">
        <v>21</v>
      </c>
      <c r="P250" s="15">
        <f>(Table1_14[[#This Row],[Likes]]+Table1_14[[#This Row],[Shares]]+Table1_14[[#This Row],[Comments]])/Table1_14[[#This Row],[Impressions]]</f>
        <v>8.7733440816874911E-2</v>
      </c>
    </row>
    <row r="251" spans="1:16" x14ac:dyDescent="0.3">
      <c r="A251" s="6" t="s">
        <v>303</v>
      </c>
      <c r="B251" s="1" t="s">
        <v>35</v>
      </c>
      <c r="C251" s="7">
        <v>45465</v>
      </c>
      <c r="D251" s="1" t="s">
        <v>15</v>
      </c>
      <c r="E251" s="1" t="s">
        <v>50</v>
      </c>
      <c r="F251" s="1">
        <v>3813</v>
      </c>
      <c r="G251" s="1">
        <v>935</v>
      </c>
      <c r="H251" s="1">
        <v>274</v>
      </c>
      <c r="I251" s="1">
        <v>68634</v>
      </c>
      <c r="J251" s="1">
        <v>68488</v>
      </c>
      <c r="K251" s="1">
        <v>251</v>
      </c>
      <c r="L251" s="1" t="s">
        <v>48</v>
      </c>
      <c r="M251" s="1" t="s">
        <v>359</v>
      </c>
      <c r="N251" s="1" t="s">
        <v>359</v>
      </c>
      <c r="O251" s="8" t="s">
        <v>360</v>
      </c>
      <c r="P251" s="15">
        <f>(Table1_14[[#This Row],[Likes]]+Table1_14[[#This Row],[Shares]]+Table1_14[[#This Row],[Comments]])/Table1_14[[#This Row],[Impressions]]</f>
        <v>7.3170731707317069E-2</v>
      </c>
    </row>
    <row r="252" spans="1:16" x14ac:dyDescent="0.3">
      <c r="A252" s="6" t="s">
        <v>304</v>
      </c>
      <c r="B252" s="1" t="s">
        <v>28</v>
      </c>
      <c r="C252" s="7">
        <v>45743</v>
      </c>
      <c r="D252" s="1" t="s">
        <v>36</v>
      </c>
      <c r="E252" s="1" t="s">
        <v>65</v>
      </c>
      <c r="F252" s="1">
        <v>1377</v>
      </c>
      <c r="G252" s="1">
        <v>796</v>
      </c>
      <c r="H252" s="1">
        <v>387</v>
      </c>
      <c r="I252" s="1">
        <v>22032</v>
      </c>
      <c r="J252" s="1">
        <v>21869</v>
      </c>
      <c r="K252" s="1">
        <v>189</v>
      </c>
      <c r="L252" s="1" t="s">
        <v>48</v>
      </c>
      <c r="M252" s="1" t="s">
        <v>359</v>
      </c>
      <c r="N252" s="1" t="s">
        <v>359</v>
      </c>
      <c r="O252" s="8" t="s">
        <v>360</v>
      </c>
      <c r="P252" s="15">
        <f>(Table1_14[[#This Row],[Likes]]+Table1_14[[#This Row],[Shares]]+Table1_14[[#This Row],[Comments]])/Table1_14[[#This Row],[Impressions]]</f>
        <v>0.11619462599854757</v>
      </c>
    </row>
    <row r="253" spans="1:16" x14ac:dyDescent="0.3">
      <c r="A253" s="6" t="s">
        <v>305</v>
      </c>
      <c r="B253" s="1" t="s">
        <v>35</v>
      </c>
      <c r="C253" s="7">
        <v>45775</v>
      </c>
      <c r="D253" s="1" t="s">
        <v>36</v>
      </c>
      <c r="E253" s="1" t="s">
        <v>37</v>
      </c>
      <c r="F253" s="1">
        <v>2089</v>
      </c>
      <c r="G253" s="1">
        <v>476</v>
      </c>
      <c r="H253" s="1">
        <v>69</v>
      </c>
      <c r="I253" s="1">
        <v>16712</v>
      </c>
      <c r="J253" s="1">
        <v>16309</v>
      </c>
      <c r="K253" s="1">
        <v>64</v>
      </c>
      <c r="L253" s="1" t="s">
        <v>48</v>
      </c>
      <c r="M253" s="1" t="s">
        <v>359</v>
      </c>
      <c r="N253" s="1" t="s">
        <v>359</v>
      </c>
      <c r="O253" s="8" t="s">
        <v>26</v>
      </c>
      <c r="P253" s="15">
        <f>(Table1_14[[#This Row],[Likes]]+Table1_14[[#This Row],[Shares]]+Table1_14[[#This Row],[Comments]])/Table1_14[[#This Row],[Impressions]]</f>
        <v>0.15761129727142173</v>
      </c>
    </row>
    <row r="254" spans="1:16" x14ac:dyDescent="0.3">
      <c r="A254" s="6" t="s">
        <v>306</v>
      </c>
      <c r="B254" s="1" t="s">
        <v>14</v>
      </c>
      <c r="C254" s="7">
        <v>45507</v>
      </c>
      <c r="D254" s="1" t="s">
        <v>15</v>
      </c>
      <c r="E254" s="1" t="s">
        <v>16</v>
      </c>
      <c r="F254" s="1">
        <v>3791</v>
      </c>
      <c r="G254" s="1">
        <v>593</v>
      </c>
      <c r="H254" s="1">
        <v>228</v>
      </c>
      <c r="I254" s="1">
        <v>53074</v>
      </c>
      <c r="J254" s="1">
        <v>52613</v>
      </c>
      <c r="K254" s="1">
        <v>205</v>
      </c>
      <c r="L254" s="1" t="s">
        <v>31</v>
      </c>
      <c r="M254" s="1" t="s">
        <v>359</v>
      </c>
      <c r="N254" s="1" t="s">
        <v>359</v>
      </c>
      <c r="O254" s="8" t="s">
        <v>360</v>
      </c>
      <c r="P254" s="15">
        <f>(Table1_14[[#This Row],[Likes]]+Table1_14[[#This Row],[Shares]]+Table1_14[[#This Row],[Comments]])/Table1_14[[#This Row],[Impressions]]</f>
        <v>8.6897539284772202E-2</v>
      </c>
    </row>
    <row r="255" spans="1:16" x14ac:dyDescent="0.3">
      <c r="A255" s="6" t="s">
        <v>307</v>
      </c>
      <c r="B255" s="1" t="s">
        <v>14</v>
      </c>
      <c r="C255" s="7">
        <v>45671</v>
      </c>
      <c r="D255" s="1" t="s">
        <v>41</v>
      </c>
      <c r="E255" s="1" t="s">
        <v>88</v>
      </c>
      <c r="F255" s="1">
        <v>2692</v>
      </c>
      <c r="G255" s="1">
        <v>115</v>
      </c>
      <c r="H255" s="1">
        <v>64</v>
      </c>
      <c r="I255" s="1">
        <v>21536</v>
      </c>
      <c r="J255" s="1">
        <v>21120</v>
      </c>
      <c r="K255" s="1">
        <v>224</v>
      </c>
      <c r="L255" s="1" t="s">
        <v>48</v>
      </c>
      <c r="M255" s="1" t="s">
        <v>359</v>
      </c>
      <c r="N255" s="1" t="s">
        <v>359</v>
      </c>
      <c r="O255" s="8" t="s">
        <v>21</v>
      </c>
      <c r="P255" s="15">
        <f>(Table1_14[[#This Row],[Likes]]+Table1_14[[#This Row],[Shares]]+Table1_14[[#This Row],[Comments]])/Table1_14[[#This Row],[Impressions]]</f>
        <v>0.13331166419019316</v>
      </c>
    </row>
    <row r="256" spans="1:16" x14ac:dyDescent="0.3">
      <c r="A256" s="6" t="s">
        <v>308</v>
      </c>
      <c r="B256" s="1" t="s">
        <v>35</v>
      </c>
      <c r="C256" s="7">
        <v>45750</v>
      </c>
      <c r="D256" s="1" t="s">
        <v>29</v>
      </c>
      <c r="E256" s="1" t="s">
        <v>54</v>
      </c>
      <c r="F256" s="1">
        <v>3767</v>
      </c>
      <c r="G256" s="1">
        <v>514</v>
      </c>
      <c r="H256" s="1">
        <v>238</v>
      </c>
      <c r="I256" s="1">
        <v>37670</v>
      </c>
      <c r="J256" s="1">
        <v>36807</v>
      </c>
      <c r="K256" s="1">
        <v>226</v>
      </c>
      <c r="L256" s="1" t="s">
        <v>48</v>
      </c>
      <c r="M256" s="1" t="s">
        <v>359</v>
      </c>
      <c r="N256" s="1" t="s">
        <v>359</v>
      </c>
      <c r="O256" s="8" t="s">
        <v>32</v>
      </c>
      <c r="P256" s="15">
        <f>(Table1_14[[#This Row],[Likes]]+Table1_14[[#This Row],[Shares]]+Table1_14[[#This Row],[Comments]])/Table1_14[[#This Row],[Impressions]]</f>
        <v>0.11996283514733209</v>
      </c>
    </row>
    <row r="257" spans="1:16" x14ac:dyDescent="0.3">
      <c r="A257" s="6" t="s">
        <v>309</v>
      </c>
      <c r="B257" s="1" t="s">
        <v>23</v>
      </c>
      <c r="C257" s="7">
        <v>45553</v>
      </c>
      <c r="D257" s="1" t="s">
        <v>36</v>
      </c>
      <c r="E257" s="1" t="s">
        <v>52</v>
      </c>
      <c r="F257" s="1">
        <v>2143</v>
      </c>
      <c r="G257" s="1">
        <v>12</v>
      </c>
      <c r="H257" s="1">
        <v>204</v>
      </c>
      <c r="I257" s="1">
        <v>40717</v>
      </c>
      <c r="J257" s="1">
        <v>40125</v>
      </c>
      <c r="K257" s="1">
        <v>248</v>
      </c>
      <c r="L257" s="1" t="s">
        <v>31</v>
      </c>
      <c r="M257" s="1" t="s">
        <v>359</v>
      </c>
      <c r="N257" s="1" t="s">
        <v>359</v>
      </c>
      <c r="O257" s="8" t="s">
        <v>21</v>
      </c>
      <c r="P257" s="15">
        <f>(Table1_14[[#This Row],[Likes]]+Table1_14[[#This Row],[Shares]]+Table1_14[[#This Row],[Comments]])/Table1_14[[#This Row],[Impressions]]</f>
        <v>5.7936488444630008E-2</v>
      </c>
    </row>
    <row r="258" spans="1:16" x14ac:dyDescent="0.3">
      <c r="A258" s="6" t="s">
        <v>310</v>
      </c>
      <c r="B258" s="1" t="s">
        <v>35</v>
      </c>
      <c r="C258" s="7">
        <v>45753</v>
      </c>
      <c r="D258" s="1" t="s">
        <v>41</v>
      </c>
      <c r="E258" s="1" t="s">
        <v>46</v>
      </c>
      <c r="F258" s="1">
        <v>3090</v>
      </c>
      <c r="G258" s="1">
        <v>697</v>
      </c>
      <c r="H258" s="1">
        <v>164</v>
      </c>
      <c r="I258" s="1">
        <v>49440</v>
      </c>
      <c r="J258" s="1">
        <v>48524</v>
      </c>
      <c r="K258" s="1">
        <v>25</v>
      </c>
      <c r="L258" s="1" t="s">
        <v>31</v>
      </c>
      <c r="M258" s="1" t="s">
        <v>31</v>
      </c>
      <c r="N258" s="1" t="s">
        <v>355</v>
      </c>
      <c r="O258" s="8" t="s">
        <v>21</v>
      </c>
      <c r="P258" s="15">
        <f>(Table1_14[[#This Row],[Likes]]+Table1_14[[#This Row],[Shares]]+Table1_14[[#This Row],[Comments]])/Table1_14[[#This Row],[Impressions]]</f>
        <v>7.9915048543689318E-2</v>
      </c>
    </row>
    <row r="259" spans="1:16" x14ac:dyDescent="0.3">
      <c r="A259" s="6" t="s">
        <v>311</v>
      </c>
      <c r="B259" s="1" t="s">
        <v>28</v>
      </c>
      <c r="C259" s="7">
        <v>45509</v>
      </c>
      <c r="D259" s="1" t="s">
        <v>29</v>
      </c>
      <c r="E259" s="1" t="s">
        <v>30</v>
      </c>
      <c r="F259" s="1">
        <v>3601</v>
      </c>
      <c r="G259" s="1">
        <v>695</v>
      </c>
      <c r="H259" s="1">
        <v>75</v>
      </c>
      <c r="I259" s="1">
        <v>21606</v>
      </c>
      <c r="J259" s="1">
        <v>21454</v>
      </c>
      <c r="K259" s="1">
        <v>172</v>
      </c>
      <c r="L259" s="1" t="s">
        <v>31</v>
      </c>
      <c r="M259" s="1" t="s">
        <v>359</v>
      </c>
      <c r="N259" s="1" t="s">
        <v>359</v>
      </c>
      <c r="O259" s="8" t="s">
        <v>21</v>
      </c>
      <c r="P259" s="15">
        <f>(Table1_14[[#This Row],[Likes]]+Table1_14[[#This Row],[Shares]]+Table1_14[[#This Row],[Comments]])/Table1_14[[#This Row],[Impressions]]</f>
        <v>0.2023049153013052</v>
      </c>
    </row>
    <row r="260" spans="1:16" x14ac:dyDescent="0.3">
      <c r="A260" s="6" t="s">
        <v>312</v>
      </c>
      <c r="B260" s="1" t="s">
        <v>35</v>
      </c>
      <c r="C260" s="7">
        <v>45698</v>
      </c>
      <c r="D260" s="1" t="s">
        <v>19</v>
      </c>
      <c r="E260" s="1" t="s">
        <v>44</v>
      </c>
      <c r="F260" s="1">
        <v>562</v>
      </c>
      <c r="G260" s="1">
        <v>158</v>
      </c>
      <c r="H260" s="1">
        <v>149</v>
      </c>
      <c r="I260" s="1">
        <v>3372</v>
      </c>
      <c r="J260" s="1">
        <v>2940</v>
      </c>
      <c r="K260" s="1">
        <v>93</v>
      </c>
      <c r="L260" s="1" t="s">
        <v>25</v>
      </c>
      <c r="M260" s="1" t="s">
        <v>359</v>
      </c>
      <c r="N260" s="1" t="s">
        <v>359</v>
      </c>
      <c r="O260" s="8" t="s">
        <v>17</v>
      </c>
      <c r="P260" s="15">
        <f>(Table1_14[[#This Row],[Likes]]+Table1_14[[#This Row],[Shares]]+Table1_14[[#This Row],[Comments]])/Table1_14[[#This Row],[Impressions]]</f>
        <v>0.25771055753262156</v>
      </c>
    </row>
    <row r="261" spans="1:16" x14ac:dyDescent="0.3">
      <c r="A261" s="6" t="s">
        <v>313</v>
      </c>
      <c r="B261" s="1" t="s">
        <v>28</v>
      </c>
      <c r="C261" s="7">
        <v>45700</v>
      </c>
      <c r="D261" s="1" t="s">
        <v>29</v>
      </c>
      <c r="E261" s="1" t="s">
        <v>30</v>
      </c>
      <c r="F261" s="1">
        <v>4332</v>
      </c>
      <c r="G261" s="1">
        <v>771</v>
      </c>
      <c r="H261" s="1">
        <v>219</v>
      </c>
      <c r="I261" s="1">
        <v>60648</v>
      </c>
      <c r="J261" s="1">
        <v>60397</v>
      </c>
      <c r="K261" s="1">
        <v>10</v>
      </c>
      <c r="L261" s="1" t="s">
        <v>25</v>
      </c>
      <c r="M261" s="1" t="s">
        <v>31</v>
      </c>
      <c r="N261" s="1" t="s">
        <v>355</v>
      </c>
      <c r="O261" s="8" t="s">
        <v>26</v>
      </c>
      <c r="P261" s="15">
        <f>(Table1_14[[#This Row],[Likes]]+Table1_14[[#This Row],[Shares]]+Table1_14[[#This Row],[Comments]])/Table1_14[[#This Row],[Impressions]]</f>
        <v>8.7752275425405618E-2</v>
      </c>
    </row>
    <row r="262" spans="1:16" x14ac:dyDescent="0.3">
      <c r="A262" s="6" t="s">
        <v>314</v>
      </c>
      <c r="B262" s="1" t="s">
        <v>28</v>
      </c>
      <c r="C262" s="7">
        <v>45592</v>
      </c>
      <c r="D262" s="1" t="s">
        <v>41</v>
      </c>
      <c r="E262" s="1" t="s">
        <v>134</v>
      </c>
      <c r="F262" s="1">
        <v>4853</v>
      </c>
      <c r="G262" s="1">
        <v>837</v>
      </c>
      <c r="H262" s="1">
        <v>340</v>
      </c>
      <c r="I262" s="1">
        <v>72795</v>
      </c>
      <c r="J262" s="1">
        <v>72237</v>
      </c>
      <c r="K262" s="1">
        <v>170</v>
      </c>
      <c r="L262" s="1" t="s">
        <v>31</v>
      </c>
      <c r="M262" s="1" t="s">
        <v>359</v>
      </c>
      <c r="N262" s="1" t="s">
        <v>359</v>
      </c>
      <c r="O262" s="8" t="s">
        <v>17</v>
      </c>
      <c r="P262" s="15">
        <f>(Table1_14[[#This Row],[Likes]]+Table1_14[[#This Row],[Shares]]+Table1_14[[#This Row],[Comments]])/Table1_14[[#This Row],[Impressions]]</f>
        <v>8.2835359571399134E-2</v>
      </c>
    </row>
    <row r="263" spans="1:16" x14ac:dyDescent="0.3">
      <c r="A263" s="6" t="s">
        <v>315</v>
      </c>
      <c r="B263" s="1" t="s">
        <v>23</v>
      </c>
      <c r="C263" s="7">
        <v>45675</v>
      </c>
      <c r="D263" s="1" t="s">
        <v>41</v>
      </c>
      <c r="E263" s="1" t="s">
        <v>42</v>
      </c>
      <c r="F263" s="1">
        <v>1206</v>
      </c>
      <c r="G263" s="1">
        <v>238</v>
      </c>
      <c r="H263" s="1">
        <v>36</v>
      </c>
      <c r="I263" s="1">
        <v>9648</v>
      </c>
      <c r="J263" s="1">
        <v>9417</v>
      </c>
      <c r="K263" s="1">
        <v>237</v>
      </c>
      <c r="L263" s="1" t="s">
        <v>25</v>
      </c>
      <c r="M263" s="1" t="s">
        <v>359</v>
      </c>
      <c r="N263" s="1" t="s">
        <v>359</v>
      </c>
      <c r="O263" s="8" t="s">
        <v>360</v>
      </c>
      <c r="P263" s="15">
        <f>(Table1_14[[#This Row],[Likes]]+Table1_14[[#This Row],[Shares]]+Table1_14[[#This Row],[Comments]])/Table1_14[[#This Row],[Impressions]]</f>
        <v>0.15339966832504145</v>
      </c>
    </row>
    <row r="264" spans="1:16" x14ac:dyDescent="0.3">
      <c r="A264" s="6" t="s">
        <v>316</v>
      </c>
      <c r="B264" s="1" t="s">
        <v>28</v>
      </c>
      <c r="C264" s="7">
        <v>45524</v>
      </c>
      <c r="D264" s="1" t="s">
        <v>15</v>
      </c>
      <c r="E264" s="1" t="s">
        <v>61</v>
      </c>
      <c r="F264" s="1">
        <v>2603</v>
      </c>
      <c r="G264" s="1">
        <v>690</v>
      </c>
      <c r="H264" s="1">
        <v>205</v>
      </c>
      <c r="I264" s="1">
        <v>13015</v>
      </c>
      <c r="J264" s="1">
        <v>12130</v>
      </c>
      <c r="K264" s="1">
        <v>20</v>
      </c>
      <c r="L264" s="1" t="s">
        <v>48</v>
      </c>
      <c r="M264" s="1" t="s">
        <v>359</v>
      </c>
      <c r="N264" s="1" t="s">
        <v>359</v>
      </c>
      <c r="O264" s="8" t="s">
        <v>21</v>
      </c>
      <c r="P264" s="15">
        <f>(Table1_14[[#This Row],[Likes]]+Table1_14[[#This Row],[Shares]]+Table1_14[[#This Row],[Comments]])/Table1_14[[#This Row],[Impressions]]</f>
        <v>0.26876680752977333</v>
      </c>
    </row>
    <row r="265" spans="1:16" x14ac:dyDescent="0.3">
      <c r="A265" s="6" t="s">
        <v>317</v>
      </c>
      <c r="B265" s="1" t="s">
        <v>14</v>
      </c>
      <c r="C265" s="7">
        <v>45687</v>
      </c>
      <c r="D265" s="1" t="s">
        <v>41</v>
      </c>
      <c r="E265" s="1" t="s">
        <v>88</v>
      </c>
      <c r="F265" s="1">
        <v>59</v>
      </c>
      <c r="G265" s="1">
        <v>163</v>
      </c>
      <c r="H265" s="1">
        <v>93</v>
      </c>
      <c r="I265" s="1">
        <v>590</v>
      </c>
      <c r="J265" s="1">
        <v>475</v>
      </c>
      <c r="K265" s="1">
        <v>293</v>
      </c>
      <c r="L265" s="1" t="s">
        <v>25</v>
      </c>
      <c r="M265" s="1" t="s">
        <v>359</v>
      </c>
      <c r="N265" s="1" t="s">
        <v>359</v>
      </c>
      <c r="O265" s="8" t="s">
        <v>21</v>
      </c>
      <c r="P265" s="15">
        <f>(Table1_14[[#This Row],[Likes]]+Table1_14[[#This Row],[Shares]]+Table1_14[[#This Row],[Comments]])/Table1_14[[#This Row],[Impressions]]</f>
        <v>0.53389830508474578</v>
      </c>
    </row>
    <row r="266" spans="1:16" x14ac:dyDescent="0.3">
      <c r="A266" s="6" t="s">
        <v>318</v>
      </c>
      <c r="B266" s="1" t="s">
        <v>14</v>
      </c>
      <c r="C266" s="7">
        <v>45708</v>
      </c>
      <c r="D266" s="1" t="s">
        <v>36</v>
      </c>
      <c r="E266" s="1" t="s">
        <v>39</v>
      </c>
      <c r="F266" s="1">
        <v>1877</v>
      </c>
      <c r="G266" s="1">
        <v>745</v>
      </c>
      <c r="H266" s="1">
        <v>225</v>
      </c>
      <c r="I266" s="1">
        <v>11262</v>
      </c>
      <c r="J266" s="1">
        <v>10967</v>
      </c>
      <c r="K266" s="1">
        <v>41</v>
      </c>
      <c r="L266" s="1" t="s">
        <v>31</v>
      </c>
      <c r="M266" s="1" t="s">
        <v>359</v>
      </c>
      <c r="N266" s="1" t="s">
        <v>359</v>
      </c>
      <c r="O266" s="8" t="s">
        <v>32</v>
      </c>
      <c r="P266" s="15">
        <f>(Table1_14[[#This Row],[Likes]]+Table1_14[[#This Row],[Shares]]+Table1_14[[#This Row],[Comments]])/Table1_14[[#This Row],[Impressions]]</f>
        <v>0.25279701651571657</v>
      </c>
    </row>
    <row r="267" spans="1:16" x14ac:dyDescent="0.3">
      <c r="A267" s="6" t="s">
        <v>319</v>
      </c>
      <c r="B267" s="1" t="s">
        <v>35</v>
      </c>
      <c r="C267" s="7">
        <v>45621</v>
      </c>
      <c r="D267" s="1" t="s">
        <v>29</v>
      </c>
      <c r="E267" s="1" t="s">
        <v>54</v>
      </c>
      <c r="F267" s="1">
        <v>4182</v>
      </c>
      <c r="G267" s="1">
        <v>640</v>
      </c>
      <c r="H267" s="1">
        <v>240</v>
      </c>
      <c r="I267" s="1">
        <v>50184</v>
      </c>
      <c r="J267" s="1">
        <v>49351</v>
      </c>
      <c r="K267" s="1">
        <v>10</v>
      </c>
      <c r="L267" s="1" t="s">
        <v>25</v>
      </c>
      <c r="M267" s="1" t="s">
        <v>359</v>
      </c>
      <c r="N267" s="1" t="s">
        <v>359</v>
      </c>
      <c r="O267" s="8" t="s">
        <v>26</v>
      </c>
      <c r="P267" s="15">
        <f>(Table1_14[[#This Row],[Likes]]+Table1_14[[#This Row],[Shares]]+Table1_14[[#This Row],[Comments]])/Table1_14[[#This Row],[Impressions]]</f>
        <v>0.10086880280567512</v>
      </c>
    </row>
    <row r="268" spans="1:16" x14ac:dyDescent="0.3">
      <c r="A268" s="6" t="s">
        <v>320</v>
      </c>
      <c r="B268" s="1" t="s">
        <v>14</v>
      </c>
      <c r="C268" s="7">
        <v>45569</v>
      </c>
      <c r="D268" s="1" t="s">
        <v>15</v>
      </c>
      <c r="E268" s="1" t="s">
        <v>16</v>
      </c>
      <c r="F268" s="1">
        <v>4187</v>
      </c>
      <c r="G268" s="1">
        <v>66</v>
      </c>
      <c r="H268" s="1">
        <v>31</v>
      </c>
      <c r="I268" s="1">
        <v>66992</v>
      </c>
      <c r="J268" s="1">
        <v>66614</v>
      </c>
      <c r="K268" s="1">
        <v>62</v>
      </c>
      <c r="L268" s="1" t="s">
        <v>48</v>
      </c>
      <c r="M268" s="1" t="s">
        <v>359</v>
      </c>
      <c r="N268" s="1" t="s">
        <v>359</v>
      </c>
      <c r="O268" s="8" t="s">
        <v>360</v>
      </c>
      <c r="P268" s="15">
        <f>(Table1_14[[#This Row],[Likes]]+Table1_14[[#This Row],[Shares]]+Table1_14[[#This Row],[Comments]])/Table1_14[[#This Row],[Impressions]]</f>
        <v>6.3947934081681396E-2</v>
      </c>
    </row>
    <row r="269" spans="1:16" x14ac:dyDescent="0.3">
      <c r="A269" s="6" t="s">
        <v>321</v>
      </c>
      <c r="B269" s="1" t="s">
        <v>28</v>
      </c>
      <c r="C269" s="7">
        <v>45760</v>
      </c>
      <c r="D269" s="1" t="s">
        <v>15</v>
      </c>
      <c r="E269" s="1" t="s">
        <v>61</v>
      </c>
      <c r="F269" s="1">
        <v>4579</v>
      </c>
      <c r="G269" s="1">
        <v>125</v>
      </c>
      <c r="H269" s="1">
        <v>300</v>
      </c>
      <c r="I269" s="1">
        <v>59527</v>
      </c>
      <c r="J269" s="1">
        <v>59400</v>
      </c>
      <c r="K269" s="1">
        <v>269</v>
      </c>
      <c r="L269" s="1" t="s">
        <v>31</v>
      </c>
      <c r="M269" s="1" t="s">
        <v>359</v>
      </c>
      <c r="N269" s="1" t="s">
        <v>359</v>
      </c>
      <c r="O269" s="8" t="s">
        <v>17</v>
      </c>
      <c r="P269" s="15">
        <f>(Table1_14[[#This Row],[Likes]]+Table1_14[[#This Row],[Shares]]+Table1_14[[#This Row],[Comments]])/Table1_14[[#This Row],[Impressions]]</f>
        <v>8.4062694239588759E-2</v>
      </c>
    </row>
    <row r="270" spans="1:16" x14ac:dyDescent="0.3">
      <c r="A270" s="6" t="s">
        <v>322</v>
      </c>
      <c r="B270" s="1" t="s">
        <v>28</v>
      </c>
      <c r="C270" s="7">
        <v>45601</v>
      </c>
      <c r="D270" s="1" t="s">
        <v>56</v>
      </c>
      <c r="E270" s="1" t="s">
        <v>63</v>
      </c>
      <c r="F270" s="1">
        <v>4561</v>
      </c>
      <c r="G270" s="1">
        <v>51</v>
      </c>
      <c r="H270" s="1">
        <v>441</v>
      </c>
      <c r="I270" s="1">
        <v>22805</v>
      </c>
      <c r="J270" s="1">
        <v>21890</v>
      </c>
      <c r="K270" s="1">
        <v>45</v>
      </c>
      <c r="L270" s="1" t="s">
        <v>25</v>
      </c>
      <c r="M270" s="1" t="s">
        <v>359</v>
      </c>
      <c r="N270" s="1" t="s">
        <v>359</v>
      </c>
      <c r="O270" s="8" t="s">
        <v>21</v>
      </c>
      <c r="P270" s="15">
        <f>(Table1_14[[#This Row],[Likes]]+Table1_14[[#This Row],[Shares]]+Table1_14[[#This Row],[Comments]])/Table1_14[[#This Row],[Impressions]]</f>
        <v>0.22157421618066214</v>
      </c>
    </row>
    <row r="271" spans="1:16" x14ac:dyDescent="0.3">
      <c r="A271" s="6" t="s">
        <v>323</v>
      </c>
      <c r="B271" s="1" t="s">
        <v>23</v>
      </c>
      <c r="C271" s="7">
        <v>45672</v>
      </c>
      <c r="D271" s="1" t="s">
        <v>15</v>
      </c>
      <c r="E271" s="1" t="s">
        <v>24</v>
      </c>
      <c r="F271" s="1">
        <v>3774</v>
      </c>
      <c r="G271" s="1">
        <v>239</v>
      </c>
      <c r="H271" s="1">
        <v>39</v>
      </c>
      <c r="I271" s="1">
        <v>60384</v>
      </c>
      <c r="J271" s="1">
        <v>59490</v>
      </c>
      <c r="K271" s="1">
        <v>241</v>
      </c>
      <c r="L271" s="1" t="s">
        <v>25</v>
      </c>
      <c r="M271" s="1" t="s">
        <v>359</v>
      </c>
      <c r="N271" s="1" t="s">
        <v>359</v>
      </c>
      <c r="O271" s="8" t="s">
        <v>26</v>
      </c>
      <c r="P271" s="15">
        <f>(Table1_14[[#This Row],[Likes]]+Table1_14[[#This Row],[Shares]]+Table1_14[[#This Row],[Comments]])/Table1_14[[#This Row],[Impressions]]</f>
        <v>6.7103868574456813E-2</v>
      </c>
    </row>
    <row r="272" spans="1:16" x14ac:dyDescent="0.3">
      <c r="A272" s="6" t="s">
        <v>324</v>
      </c>
      <c r="B272" s="1" t="s">
        <v>28</v>
      </c>
      <c r="C272" s="7">
        <v>45582</v>
      </c>
      <c r="D272" s="1" t="s">
        <v>56</v>
      </c>
      <c r="E272" s="1" t="s">
        <v>63</v>
      </c>
      <c r="F272" s="1">
        <v>3575</v>
      </c>
      <c r="G272" s="1">
        <v>749</v>
      </c>
      <c r="H272" s="1">
        <v>111</v>
      </c>
      <c r="I272" s="1">
        <v>21450</v>
      </c>
      <c r="J272" s="1">
        <v>20785</v>
      </c>
      <c r="K272" s="1">
        <v>195</v>
      </c>
      <c r="L272" s="1" t="s">
        <v>31</v>
      </c>
      <c r="M272" s="1" t="s">
        <v>359</v>
      </c>
      <c r="N272" s="1" t="s">
        <v>359</v>
      </c>
      <c r="O272" s="8" t="s">
        <v>21</v>
      </c>
      <c r="P272" s="15">
        <f>(Table1_14[[#This Row],[Likes]]+Table1_14[[#This Row],[Shares]]+Table1_14[[#This Row],[Comments]])/Table1_14[[#This Row],[Impressions]]</f>
        <v>0.20675990675990677</v>
      </c>
    </row>
    <row r="273" spans="1:16" x14ac:dyDescent="0.3">
      <c r="A273" s="6" t="s">
        <v>325</v>
      </c>
      <c r="B273" s="1" t="s">
        <v>28</v>
      </c>
      <c r="C273" s="7">
        <v>45743</v>
      </c>
      <c r="D273" s="1" t="s">
        <v>19</v>
      </c>
      <c r="E273" s="1" t="s">
        <v>78</v>
      </c>
      <c r="F273" s="1">
        <v>4941</v>
      </c>
      <c r="G273" s="1">
        <v>414</v>
      </c>
      <c r="H273" s="1">
        <v>266</v>
      </c>
      <c r="I273" s="1">
        <v>39528</v>
      </c>
      <c r="J273" s="1">
        <v>39154</v>
      </c>
      <c r="K273" s="1">
        <v>217</v>
      </c>
      <c r="L273" s="1" t="s">
        <v>25</v>
      </c>
      <c r="M273" s="1" t="s">
        <v>359</v>
      </c>
      <c r="N273" s="1" t="s">
        <v>359</v>
      </c>
      <c r="O273" s="8" t="s">
        <v>26</v>
      </c>
      <c r="P273" s="15">
        <f>(Table1_14[[#This Row],[Likes]]+Table1_14[[#This Row],[Shares]]+Table1_14[[#This Row],[Comments]])/Table1_14[[#This Row],[Impressions]]</f>
        <v>0.14220299534507186</v>
      </c>
    </row>
    <row r="274" spans="1:16" x14ac:dyDescent="0.3">
      <c r="A274" s="6" t="s">
        <v>326</v>
      </c>
      <c r="B274" s="1" t="s">
        <v>23</v>
      </c>
      <c r="C274" s="7">
        <v>45577</v>
      </c>
      <c r="D274" s="1" t="s">
        <v>29</v>
      </c>
      <c r="E274" s="1" t="s">
        <v>101</v>
      </c>
      <c r="F274" s="1">
        <v>3641</v>
      </c>
      <c r="G274" s="1">
        <v>226</v>
      </c>
      <c r="H274" s="1">
        <v>46</v>
      </c>
      <c r="I274" s="1">
        <v>40051</v>
      </c>
      <c r="J274" s="1">
        <v>39319</v>
      </c>
      <c r="K274" s="1">
        <v>296</v>
      </c>
      <c r="L274" s="1" t="s">
        <v>31</v>
      </c>
      <c r="M274" s="1" t="s">
        <v>359</v>
      </c>
      <c r="N274" s="1" t="s">
        <v>359</v>
      </c>
      <c r="O274" s="8" t="s">
        <v>32</v>
      </c>
      <c r="P274" s="15">
        <f>(Table1_14[[#This Row],[Likes]]+Table1_14[[#This Row],[Shares]]+Table1_14[[#This Row],[Comments]])/Table1_14[[#This Row],[Impressions]]</f>
        <v>9.7700431949264685E-2</v>
      </c>
    </row>
    <row r="275" spans="1:16" x14ac:dyDescent="0.3">
      <c r="A275" s="6" t="s">
        <v>327</v>
      </c>
      <c r="B275" s="1" t="s">
        <v>14</v>
      </c>
      <c r="C275" s="7">
        <v>45658</v>
      </c>
      <c r="D275" s="1" t="s">
        <v>36</v>
      </c>
      <c r="E275" s="1" t="s">
        <v>39</v>
      </c>
      <c r="F275" s="1">
        <v>3535</v>
      </c>
      <c r="G275" s="1">
        <v>494</v>
      </c>
      <c r="H275" s="1">
        <v>152</v>
      </c>
      <c r="I275" s="1">
        <v>53025</v>
      </c>
      <c r="J275" s="1">
        <v>52791</v>
      </c>
      <c r="K275" s="1">
        <v>44</v>
      </c>
      <c r="L275" s="1" t="s">
        <v>25</v>
      </c>
      <c r="M275" s="1" t="s">
        <v>359</v>
      </c>
      <c r="N275" s="1" t="s">
        <v>359</v>
      </c>
      <c r="O275" s="8" t="s">
        <v>32</v>
      </c>
      <c r="P275" s="15">
        <f>(Table1_14[[#This Row],[Likes]]+Table1_14[[#This Row],[Shares]]+Table1_14[[#This Row],[Comments]])/Table1_14[[#This Row],[Impressions]]</f>
        <v>7.8849599245638849E-2</v>
      </c>
    </row>
    <row r="276" spans="1:16" x14ac:dyDescent="0.3">
      <c r="A276" s="6" t="s">
        <v>328</v>
      </c>
      <c r="B276" s="1" t="s">
        <v>35</v>
      </c>
      <c r="C276" s="7">
        <v>45509</v>
      </c>
      <c r="D276" s="1" t="s">
        <v>15</v>
      </c>
      <c r="E276" s="1" t="s">
        <v>50</v>
      </c>
      <c r="F276" s="1">
        <v>1741</v>
      </c>
      <c r="G276" s="1">
        <v>831</v>
      </c>
      <c r="H276" s="1">
        <v>345</v>
      </c>
      <c r="I276" s="1">
        <v>17410</v>
      </c>
      <c r="J276" s="1">
        <v>16844</v>
      </c>
      <c r="K276" s="1">
        <v>58</v>
      </c>
      <c r="L276" s="1" t="s">
        <v>31</v>
      </c>
      <c r="M276" s="1" t="s">
        <v>359</v>
      </c>
      <c r="N276" s="1" t="s">
        <v>359</v>
      </c>
      <c r="O276" s="8" t="s">
        <v>26</v>
      </c>
      <c r="P276" s="15">
        <f>(Table1_14[[#This Row],[Likes]]+Table1_14[[#This Row],[Shares]]+Table1_14[[#This Row],[Comments]])/Table1_14[[#This Row],[Impressions]]</f>
        <v>0.16754738655944859</v>
      </c>
    </row>
    <row r="277" spans="1:16" x14ac:dyDescent="0.3">
      <c r="A277" s="6" t="s">
        <v>329</v>
      </c>
      <c r="B277" s="1" t="s">
        <v>14</v>
      </c>
      <c r="C277" s="7">
        <v>45450</v>
      </c>
      <c r="D277" s="1" t="s">
        <v>36</v>
      </c>
      <c r="E277" s="1" t="s">
        <v>39</v>
      </c>
      <c r="F277" s="1">
        <v>1556</v>
      </c>
      <c r="G277" s="1">
        <v>195</v>
      </c>
      <c r="H277" s="1">
        <v>131</v>
      </c>
      <c r="I277" s="1">
        <v>9336</v>
      </c>
      <c r="J277" s="1">
        <v>8875</v>
      </c>
      <c r="K277" s="1">
        <v>137</v>
      </c>
      <c r="L277" s="1" t="s">
        <v>25</v>
      </c>
      <c r="M277" s="1" t="s">
        <v>359</v>
      </c>
      <c r="N277" s="1" t="s">
        <v>359</v>
      </c>
      <c r="O277" s="8" t="s">
        <v>21</v>
      </c>
      <c r="P277" s="15">
        <f>(Table1_14[[#This Row],[Likes]]+Table1_14[[#This Row],[Shares]]+Table1_14[[#This Row],[Comments]])/Table1_14[[#This Row],[Impressions]]</f>
        <v>0.2015852613538989</v>
      </c>
    </row>
    <row r="278" spans="1:16" x14ac:dyDescent="0.3">
      <c r="A278" s="6" t="s">
        <v>330</v>
      </c>
      <c r="B278" s="1" t="s">
        <v>35</v>
      </c>
      <c r="C278" s="7">
        <v>45753</v>
      </c>
      <c r="D278" s="1" t="s">
        <v>41</v>
      </c>
      <c r="E278" s="1" t="s">
        <v>46</v>
      </c>
      <c r="F278" s="1">
        <v>4236</v>
      </c>
      <c r="G278" s="1">
        <v>711</v>
      </c>
      <c r="H278" s="1">
        <v>298</v>
      </c>
      <c r="I278" s="1">
        <v>21180</v>
      </c>
      <c r="J278" s="1">
        <v>20516</v>
      </c>
      <c r="K278" s="1">
        <v>238</v>
      </c>
      <c r="L278" s="1" t="s">
        <v>48</v>
      </c>
      <c r="M278" s="1" t="s">
        <v>359</v>
      </c>
      <c r="N278" s="1" t="s">
        <v>359</v>
      </c>
      <c r="O278" s="8" t="s">
        <v>17</v>
      </c>
      <c r="P278" s="15">
        <f>(Table1_14[[#This Row],[Likes]]+Table1_14[[#This Row],[Shares]]+Table1_14[[#This Row],[Comments]])/Table1_14[[#This Row],[Impressions]]</f>
        <v>0.24763928234183191</v>
      </c>
    </row>
    <row r="279" spans="1:16" x14ac:dyDescent="0.3">
      <c r="A279" s="6" t="s">
        <v>331</v>
      </c>
      <c r="B279" s="1" t="s">
        <v>14</v>
      </c>
      <c r="C279" s="7">
        <v>45622</v>
      </c>
      <c r="D279" s="1" t="s">
        <v>19</v>
      </c>
      <c r="E279" s="1" t="s">
        <v>20</v>
      </c>
      <c r="F279" s="1">
        <v>4516</v>
      </c>
      <c r="G279" s="1">
        <v>836</v>
      </c>
      <c r="H279" s="1">
        <v>169</v>
      </c>
      <c r="I279" s="1">
        <v>49676</v>
      </c>
      <c r="J279" s="1">
        <v>49257</v>
      </c>
      <c r="K279" s="1">
        <v>282</v>
      </c>
      <c r="L279" s="1" t="s">
        <v>31</v>
      </c>
      <c r="M279" s="1" t="s">
        <v>359</v>
      </c>
      <c r="N279" s="1" t="s">
        <v>359</v>
      </c>
      <c r="O279" s="8" t="s">
        <v>32</v>
      </c>
      <c r="P279" s="15">
        <f>(Table1_14[[#This Row],[Likes]]+Table1_14[[#This Row],[Shares]]+Table1_14[[#This Row],[Comments]])/Table1_14[[#This Row],[Impressions]]</f>
        <v>0.11114018842096787</v>
      </c>
    </row>
    <row r="280" spans="1:16" x14ac:dyDescent="0.3">
      <c r="A280" s="6" t="s">
        <v>332</v>
      </c>
      <c r="B280" s="1" t="s">
        <v>23</v>
      </c>
      <c r="C280" s="7">
        <v>45537</v>
      </c>
      <c r="D280" s="1" t="s">
        <v>41</v>
      </c>
      <c r="E280" s="1" t="s">
        <v>42</v>
      </c>
      <c r="F280" s="1">
        <v>4905</v>
      </c>
      <c r="G280" s="1">
        <v>845</v>
      </c>
      <c r="H280" s="1">
        <v>129</v>
      </c>
      <c r="I280" s="1">
        <v>98100</v>
      </c>
      <c r="J280" s="1">
        <v>97772</v>
      </c>
      <c r="K280" s="1">
        <v>279</v>
      </c>
      <c r="L280" s="1" t="s">
        <v>25</v>
      </c>
      <c r="M280" s="1" t="s">
        <v>359</v>
      </c>
      <c r="N280" s="1" t="s">
        <v>359</v>
      </c>
      <c r="O280" s="8" t="s">
        <v>21</v>
      </c>
      <c r="P280" s="15">
        <f>(Table1_14[[#This Row],[Likes]]+Table1_14[[#This Row],[Shares]]+Table1_14[[#This Row],[Comments]])/Table1_14[[#This Row],[Impressions]]</f>
        <v>5.9928644240570844E-2</v>
      </c>
    </row>
    <row r="281" spans="1:16" x14ac:dyDescent="0.3">
      <c r="A281" s="6" t="s">
        <v>333</v>
      </c>
      <c r="B281" s="1" t="s">
        <v>23</v>
      </c>
      <c r="C281" s="7">
        <v>45586</v>
      </c>
      <c r="D281" s="1" t="s">
        <v>56</v>
      </c>
      <c r="E281" s="1" t="s">
        <v>136</v>
      </c>
      <c r="F281" s="1">
        <v>4275</v>
      </c>
      <c r="G281" s="1">
        <v>680</v>
      </c>
      <c r="H281" s="1">
        <v>385</v>
      </c>
      <c r="I281" s="1">
        <v>64125</v>
      </c>
      <c r="J281" s="1">
        <v>63650</v>
      </c>
      <c r="K281" s="1">
        <v>104</v>
      </c>
      <c r="L281" s="1" t="s">
        <v>31</v>
      </c>
      <c r="M281" s="1" t="s">
        <v>25</v>
      </c>
      <c r="N281" s="1" t="s">
        <v>354</v>
      </c>
      <c r="O281" s="8" t="s">
        <v>32</v>
      </c>
      <c r="P281" s="15">
        <f>(Table1_14[[#This Row],[Likes]]+Table1_14[[#This Row],[Shares]]+Table1_14[[#This Row],[Comments]])/Table1_14[[#This Row],[Impressions]]</f>
        <v>8.3274853801169585E-2</v>
      </c>
    </row>
    <row r="282" spans="1:16" x14ac:dyDescent="0.3">
      <c r="A282" s="6" t="s">
        <v>334</v>
      </c>
      <c r="B282" s="1" t="s">
        <v>23</v>
      </c>
      <c r="C282" s="7">
        <v>45738</v>
      </c>
      <c r="D282" s="1" t="s">
        <v>41</v>
      </c>
      <c r="E282" s="1" t="s">
        <v>42</v>
      </c>
      <c r="F282" s="1">
        <v>3166</v>
      </c>
      <c r="G282" s="1">
        <v>90</v>
      </c>
      <c r="H282" s="1">
        <v>341</v>
      </c>
      <c r="I282" s="1">
        <v>56988</v>
      </c>
      <c r="J282" s="1">
        <v>56125</v>
      </c>
      <c r="K282" s="1">
        <v>135</v>
      </c>
      <c r="L282" s="1" t="s">
        <v>31</v>
      </c>
      <c r="M282" s="1" t="s">
        <v>359</v>
      </c>
      <c r="N282" s="1" t="s">
        <v>359</v>
      </c>
      <c r="O282" s="8" t="s">
        <v>21</v>
      </c>
      <c r="P282" s="15">
        <f>(Table1_14[[#This Row],[Likes]]+Table1_14[[#This Row],[Shares]]+Table1_14[[#This Row],[Comments]])/Table1_14[[#This Row],[Impressions]]</f>
        <v>6.3118551273952411E-2</v>
      </c>
    </row>
    <row r="283" spans="1:16" x14ac:dyDescent="0.3">
      <c r="A283" s="6" t="s">
        <v>335</v>
      </c>
      <c r="B283" s="1" t="s">
        <v>28</v>
      </c>
      <c r="C283" s="7">
        <v>45568</v>
      </c>
      <c r="D283" s="1" t="s">
        <v>56</v>
      </c>
      <c r="E283" s="1" t="s">
        <v>63</v>
      </c>
      <c r="F283" s="1">
        <v>1488</v>
      </c>
      <c r="G283" s="1">
        <v>417</v>
      </c>
      <c r="H283" s="1">
        <v>168</v>
      </c>
      <c r="I283" s="1">
        <v>19344</v>
      </c>
      <c r="J283" s="1">
        <v>18395</v>
      </c>
      <c r="K283" s="1">
        <v>30</v>
      </c>
      <c r="L283" s="1" t="s">
        <v>48</v>
      </c>
      <c r="M283" s="1" t="s">
        <v>359</v>
      </c>
      <c r="N283" s="1" t="s">
        <v>359</v>
      </c>
      <c r="O283" s="8" t="s">
        <v>26</v>
      </c>
      <c r="P283" s="15">
        <f>(Table1_14[[#This Row],[Likes]]+Table1_14[[#This Row],[Shares]]+Table1_14[[#This Row],[Comments]])/Table1_14[[#This Row],[Impressions]]</f>
        <v>0.1071650124069479</v>
      </c>
    </row>
    <row r="284" spans="1:16" x14ac:dyDescent="0.3">
      <c r="A284" s="6" t="s">
        <v>336</v>
      </c>
      <c r="B284" s="1" t="s">
        <v>14</v>
      </c>
      <c r="C284" s="7">
        <v>45786</v>
      </c>
      <c r="D284" s="1" t="s">
        <v>15</v>
      </c>
      <c r="E284" s="1" t="s">
        <v>16</v>
      </c>
      <c r="F284" s="1">
        <v>3367</v>
      </c>
      <c r="G284" s="1">
        <v>302</v>
      </c>
      <c r="H284" s="1">
        <v>57</v>
      </c>
      <c r="I284" s="1">
        <v>63973</v>
      </c>
      <c r="J284" s="1">
        <v>63789</v>
      </c>
      <c r="K284" s="1">
        <v>157</v>
      </c>
      <c r="L284" s="1" t="s">
        <v>48</v>
      </c>
      <c r="M284" s="1" t="s">
        <v>359</v>
      </c>
      <c r="N284" s="1" t="s">
        <v>359</v>
      </c>
      <c r="O284" s="8" t="s">
        <v>21</v>
      </c>
      <c r="P284" s="15">
        <f>(Table1_14[[#This Row],[Likes]]+Table1_14[[#This Row],[Shares]]+Table1_14[[#This Row],[Comments]])/Table1_14[[#This Row],[Impressions]]</f>
        <v>5.8243321401216137E-2</v>
      </c>
    </row>
    <row r="285" spans="1:16" x14ac:dyDescent="0.3">
      <c r="A285" s="6" t="s">
        <v>337</v>
      </c>
      <c r="B285" s="1" t="s">
        <v>14</v>
      </c>
      <c r="C285" s="7">
        <v>45552</v>
      </c>
      <c r="D285" s="1" t="s">
        <v>19</v>
      </c>
      <c r="E285" s="1" t="s">
        <v>20</v>
      </c>
      <c r="F285" s="1">
        <v>571</v>
      </c>
      <c r="G285" s="1">
        <v>190</v>
      </c>
      <c r="H285" s="1">
        <v>352</v>
      </c>
      <c r="I285" s="1">
        <v>9707</v>
      </c>
      <c r="J285" s="1">
        <v>9418</v>
      </c>
      <c r="K285" s="1">
        <v>231</v>
      </c>
      <c r="L285" s="1" t="s">
        <v>25</v>
      </c>
      <c r="M285" s="1" t="s">
        <v>359</v>
      </c>
      <c r="N285" s="1" t="s">
        <v>359</v>
      </c>
      <c r="O285" s="8" t="s">
        <v>32</v>
      </c>
      <c r="P285" s="15">
        <f>(Table1_14[[#This Row],[Likes]]+Table1_14[[#This Row],[Shares]]+Table1_14[[#This Row],[Comments]])/Table1_14[[#This Row],[Impressions]]</f>
        <v>0.11465952405480581</v>
      </c>
    </row>
    <row r="286" spans="1:16" x14ac:dyDescent="0.3">
      <c r="A286" s="6" t="s">
        <v>338</v>
      </c>
      <c r="B286" s="1" t="s">
        <v>23</v>
      </c>
      <c r="C286" s="7">
        <v>45491</v>
      </c>
      <c r="D286" s="1" t="s">
        <v>19</v>
      </c>
      <c r="E286" s="1" t="s">
        <v>73</v>
      </c>
      <c r="F286" s="1">
        <v>4021</v>
      </c>
      <c r="G286" s="1">
        <v>794</v>
      </c>
      <c r="H286" s="1">
        <v>77</v>
      </c>
      <c r="I286" s="1">
        <v>36189</v>
      </c>
      <c r="J286" s="1">
        <v>35505</v>
      </c>
      <c r="K286" s="1">
        <v>174</v>
      </c>
      <c r="L286" s="1" t="s">
        <v>31</v>
      </c>
      <c r="M286" s="1" t="s">
        <v>359</v>
      </c>
      <c r="N286" s="1" t="s">
        <v>359</v>
      </c>
      <c r="O286" s="8" t="s">
        <v>360</v>
      </c>
      <c r="P286" s="15">
        <f>(Table1_14[[#This Row],[Likes]]+Table1_14[[#This Row],[Shares]]+Table1_14[[#This Row],[Comments]])/Table1_14[[#This Row],[Impressions]]</f>
        <v>0.13517919809886983</v>
      </c>
    </row>
    <row r="287" spans="1:16" x14ac:dyDescent="0.3">
      <c r="A287" s="6" t="s">
        <v>339</v>
      </c>
      <c r="B287" s="1" t="s">
        <v>23</v>
      </c>
      <c r="C287" s="7">
        <v>45560</v>
      </c>
      <c r="D287" s="1" t="s">
        <v>56</v>
      </c>
      <c r="E287" s="1" t="s">
        <v>136</v>
      </c>
      <c r="F287" s="1">
        <v>3389</v>
      </c>
      <c r="G287" s="1">
        <v>344</v>
      </c>
      <c r="H287" s="1">
        <v>229</v>
      </c>
      <c r="I287" s="1">
        <v>20334</v>
      </c>
      <c r="J287" s="1">
        <v>19443</v>
      </c>
      <c r="K287" s="1">
        <v>228</v>
      </c>
      <c r="L287" s="1" t="s">
        <v>48</v>
      </c>
      <c r="M287" s="1" t="s">
        <v>359</v>
      </c>
      <c r="N287" s="1" t="s">
        <v>359</v>
      </c>
      <c r="O287" s="8" t="s">
        <v>26</v>
      </c>
      <c r="P287" s="15">
        <f>(Table1_14[[#This Row],[Likes]]+Table1_14[[#This Row],[Shares]]+Table1_14[[#This Row],[Comments]])/Table1_14[[#This Row],[Impressions]]</f>
        <v>0.19484607062063539</v>
      </c>
    </row>
    <row r="288" spans="1:16" x14ac:dyDescent="0.3">
      <c r="A288" s="6" t="s">
        <v>340</v>
      </c>
      <c r="B288" s="1" t="s">
        <v>28</v>
      </c>
      <c r="C288" s="7">
        <v>45519</v>
      </c>
      <c r="D288" s="1" t="s">
        <v>15</v>
      </c>
      <c r="E288" s="1" t="s">
        <v>61</v>
      </c>
      <c r="F288" s="1">
        <v>1164</v>
      </c>
      <c r="G288" s="1">
        <v>616</v>
      </c>
      <c r="H288" s="1">
        <v>324</v>
      </c>
      <c r="I288" s="1">
        <v>6984</v>
      </c>
      <c r="J288" s="1">
        <v>6636</v>
      </c>
      <c r="K288" s="1">
        <v>82</v>
      </c>
      <c r="L288" s="1" t="s">
        <v>31</v>
      </c>
      <c r="M288" s="1" t="s">
        <v>359</v>
      </c>
      <c r="N288" s="1" t="s">
        <v>359</v>
      </c>
      <c r="O288" s="8" t="s">
        <v>17</v>
      </c>
      <c r="P288" s="15">
        <f>(Table1_14[[#This Row],[Likes]]+Table1_14[[#This Row],[Shares]]+Table1_14[[#This Row],[Comments]])/Table1_14[[#This Row],[Impressions]]</f>
        <v>0.30126002290950743</v>
      </c>
    </row>
    <row r="289" spans="1:16" x14ac:dyDescent="0.3">
      <c r="A289" s="6" t="s">
        <v>341</v>
      </c>
      <c r="B289" s="1" t="s">
        <v>23</v>
      </c>
      <c r="C289" s="7">
        <v>45764</v>
      </c>
      <c r="D289" s="1" t="s">
        <v>36</v>
      </c>
      <c r="E289" s="1" t="s">
        <v>52</v>
      </c>
      <c r="F289" s="1">
        <v>4780</v>
      </c>
      <c r="G289" s="1">
        <v>691</v>
      </c>
      <c r="H289" s="1">
        <v>380</v>
      </c>
      <c r="I289" s="1">
        <v>86040</v>
      </c>
      <c r="J289" s="1">
        <v>85743</v>
      </c>
      <c r="K289" s="1">
        <v>262</v>
      </c>
      <c r="L289" s="1" t="s">
        <v>48</v>
      </c>
      <c r="M289" s="1" t="s">
        <v>359</v>
      </c>
      <c r="N289" s="1" t="s">
        <v>359</v>
      </c>
      <c r="O289" s="8" t="s">
        <v>26</v>
      </c>
      <c r="P289" s="15">
        <f>(Table1_14[[#This Row],[Likes]]+Table1_14[[#This Row],[Shares]]+Table1_14[[#This Row],[Comments]])/Table1_14[[#This Row],[Impressions]]</f>
        <v>6.800325430032543E-2</v>
      </c>
    </row>
    <row r="290" spans="1:16" x14ac:dyDescent="0.3">
      <c r="A290" s="6" t="s">
        <v>342</v>
      </c>
      <c r="B290" s="1" t="s">
        <v>35</v>
      </c>
      <c r="C290" s="7">
        <v>45624</v>
      </c>
      <c r="D290" s="1" t="s">
        <v>36</v>
      </c>
      <c r="E290" s="1" t="s">
        <v>37</v>
      </c>
      <c r="F290" s="1">
        <v>2751</v>
      </c>
      <c r="G290" s="1">
        <v>33</v>
      </c>
      <c r="H290" s="1">
        <v>430</v>
      </c>
      <c r="I290" s="1">
        <v>44016</v>
      </c>
      <c r="J290" s="1">
        <v>43415</v>
      </c>
      <c r="K290" s="1">
        <v>129</v>
      </c>
      <c r="L290" s="1" t="s">
        <v>48</v>
      </c>
      <c r="M290" s="1" t="s">
        <v>359</v>
      </c>
      <c r="N290" s="1" t="s">
        <v>359</v>
      </c>
      <c r="O290" s="8" t="s">
        <v>360</v>
      </c>
      <c r="P290" s="15">
        <f>(Table1_14[[#This Row],[Likes]]+Table1_14[[#This Row],[Shares]]+Table1_14[[#This Row],[Comments]])/Table1_14[[#This Row],[Impressions]]</f>
        <v>7.3018902217375503E-2</v>
      </c>
    </row>
    <row r="291" spans="1:16" x14ac:dyDescent="0.3">
      <c r="A291" s="6" t="s">
        <v>343</v>
      </c>
      <c r="B291" s="1" t="s">
        <v>28</v>
      </c>
      <c r="C291" s="7">
        <v>45646</v>
      </c>
      <c r="D291" s="1" t="s">
        <v>36</v>
      </c>
      <c r="E291" s="1" t="s">
        <v>65</v>
      </c>
      <c r="F291" s="1">
        <v>2107</v>
      </c>
      <c r="G291" s="1">
        <v>550</v>
      </c>
      <c r="H291" s="1">
        <v>349</v>
      </c>
      <c r="I291" s="1">
        <v>35819</v>
      </c>
      <c r="J291" s="1">
        <v>35340</v>
      </c>
      <c r="K291" s="1">
        <v>191</v>
      </c>
      <c r="L291" s="1" t="s">
        <v>31</v>
      </c>
      <c r="M291" s="1" t="s">
        <v>359</v>
      </c>
      <c r="N291" s="1" t="s">
        <v>359</v>
      </c>
      <c r="O291" s="8" t="s">
        <v>32</v>
      </c>
      <c r="P291" s="15">
        <f>(Table1_14[[#This Row],[Likes]]+Table1_14[[#This Row],[Shares]]+Table1_14[[#This Row],[Comments]])/Table1_14[[#This Row],[Impressions]]</f>
        <v>8.3921940869371006E-2</v>
      </c>
    </row>
    <row r="292" spans="1:16" x14ac:dyDescent="0.3">
      <c r="A292" s="6" t="s">
        <v>344</v>
      </c>
      <c r="B292" s="1" t="s">
        <v>35</v>
      </c>
      <c r="C292" s="7">
        <v>45602</v>
      </c>
      <c r="D292" s="1" t="s">
        <v>56</v>
      </c>
      <c r="E292" s="1" t="s">
        <v>57</v>
      </c>
      <c r="F292" s="1">
        <v>4663</v>
      </c>
      <c r="G292" s="1">
        <v>145</v>
      </c>
      <c r="H292" s="1">
        <v>225</v>
      </c>
      <c r="I292" s="1">
        <v>69945</v>
      </c>
      <c r="J292" s="1">
        <v>69596</v>
      </c>
      <c r="K292" s="1">
        <v>35</v>
      </c>
      <c r="L292" s="1" t="s">
        <v>31</v>
      </c>
      <c r="M292" s="1" t="s">
        <v>359</v>
      </c>
      <c r="N292" s="1" t="s">
        <v>359</v>
      </c>
      <c r="O292" s="8" t="s">
        <v>32</v>
      </c>
      <c r="P292" s="15">
        <f>(Table1_14[[#This Row],[Likes]]+Table1_14[[#This Row],[Shares]]+Table1_14[[#This Row],[Comments]])/Table1_14[[#This Row],[Impressions]]</f>
        <v>7.1956537279290869E-2</v>
      </c>
    </row>
    <row r="293" spans="1:16" x14ac:dyDescent="0.3">
      <c r="A293" s="6" t="s">
        <v>345</v>
      </c>
      <c r="B293" s="1" t="s">
        <v>35</v>
      </c>
      <c r="C293" s="7">
        <v>45613</v>
      </c>
      <c r="D293" s="1" t="s">
        <v>19</v>
      </c>
      <c r="E293" s="1" t="s">
        <v>44</v>
      </c>
      <c r="F293" s="1">
        <v>880</v>
      </c>
      <c r="G293" s="1">
        <v>297</v>
      </c>
      <c r="H293" s="1">
        <v>345</v>
      </c>
      <c r="I293" s="1">
        <v>12320</v>
      </c>
      <c r="J293" s="1">
        <v>11978</v>
      </c>
      <c r="K293" s="1">
        <v>238</v>
      </c>
      <c r="L293" s="1" t="s">
        <v>25</v>
      </c>
      <c r="M293" s="1" t="s">
        <v>354</v>
      </c>
      <c r="N293" s="1" t="s">
        <v>359</v>
      </c>
      <c r="O293" s="8" t="s">
        <v>360</v>
      </c>
      <c r="P293" s="15">
        <f>(Table1_14[[#This Row],[Likes]]+Table1_14[[#This Row],[Shares]]+Table1_14[[#This Row],[Comments]])/Table1_14[[#This Row],[Impressions]]</f>
        <v>0.12353896103896105</v>
      </c>
    </row>
    <row r="294" spans="1:16" x14ac:dyDescent="0.3">
      <c r="A294" s="6" t="s">
        <v>346</v>
      </c>
      <c r="B294" s="1" t="s">
        <v>35</v>
      </c>
      <c r="C294" s="7">
        <v>45791</v>
      </c>
      <c r="D294" s="1" t="s">
        <v>19</v>
      </c>
      <c r="E294" s="1" t="s">
        <v>44</v>
      </c>
      <c r="F294" s="1">
        <v>2634</v>
      </c>
      <c r="G294" s="1">
        <v>726</v>
      </c>
      <c r="H294" s="1">
        <v>241</v>
      </c>
      <c r="I294" s="1">
        <v>28974</v>
      </c>
      <c r="J294" s="1">
        <v>28102</v>
      </c>
      <c r="K294" s="1">
        <v>277</v>
      </c>
      <c r="L294" s="1" t="s">
        <v>31</v>
      </c>
      <c r="M294" s="1" t="s">
        <v>359</v>
      </c>
      <c r="N294" s="1" t="s">
        <v>359</v>
      </c>
      <c r="O294" s="8" t="s">
        <v>17</v>
      </c>
      <c r="P294" s="15">
        <f>(Table1_14[[#This Row],[Likes]]+Table1_14[[#This Row],[Shares]]+Table1_14[[#This Row],[Comments]])/Table1_14[[#This Row],[Impressions]]</f>
        <v>0.12428384068475185</v>
      </c>
    </row>
    <row r="295" spans="1:16" x14ac:dyDescent="0.3">
      <c r="A295" s="6" t="s">
        <v>347</v>
      </c>
      <c r="B295" s="1" t="s">
        <v>35</v>
      </c>
      <c r="C295" s="7">
        <v>45462</v>
      </c>
      <c r="D295" s="1" t="s">
        <v>36</v>
      </c>
      <c r="E295" s="1" t="s">
        <v>37</v>
      </c>
      <c r="F295" s="1">
        <v>4731</v>
      </c>
      <c r="G295" s="1">
        <v>173</v>
      </c>
      <c r="H295" s="1">
        <v>276</v>
      </c>
      <c r="I295" s="1">
        <v>28386</v>
      </c>
      <c r="J295" s="1">
        <v>28185</v>
      </c>
      <c r="K295" s="1">
        <v>89</v>
      </c>
      <c r="L295" s="1" t="s">
        <v>31</v>
      </c>
      <c r="M295" s="1" t="s">
        <v>359</v>
      </c>
      <c r="N295" s="1" t="s">
        <v>359</v>
      </c>
      <c r="O295" s="8" t="s">
        <v>26</v>
      </c>
      <c r="P295" s="15">
        <f>(Table1_14[[#This Row],[Likes]]+Table1_14[[#This Row],[Shares]]+Table1_14[[#This Row],[Comments]])/Table1_14[[#This Row],[Impressions]]</f>
        <v>0.18248432325794406</v>
      </c>
    </row>
    <row r="296" spans="1:16" x14ac:dyDescent="0.3">
      <c r="A296" s="6" t="s">
        <v>348</v>
      </c>
      <c r="B296" s="1" t="s">
        <v>14</v>
      </c>
      <c r="C296" s="7">
        <v>45783</v>
      </c>
      <c r="D296" s="1" t="s">
        <v>41</v>
      </c>
      <c r="E296" s="1" t="s">
        <v>88</v>
      </c>
      <c r="F296" s="1">
        <v>1952</v>
      </c>
      <c r="G296" s="1">
        <v>344</v>
      </c>
      <c r="H296" s="1">
        <v>287</v>
      </c>
      <c r="I296" s="1">
        <v>15616</v>
      </c>
      <c r="J296" s="1">
        <v>15403</v>
      </c>
      <c r="K296" s="1">
        <v>235</v>
      </c>
      <c r="L296" s="1" t="s">
        <v>48</v>
      </c>
      <c r="M296" s="1" t="s">
        <v>25</v>
      </c>
      <c r="N296" s="1" t="s">
        <v>354</v>
      </c>
      <c r="O296" s="8" t="s">
        <v>21</v>
      </c>
      <c r="P296" s="15">
        <f>(Table1_14[[#This Row],[Likes]]+Table1_14[[#This Row],[Shares]]+Table1_14[[#This Row],[Comments]])/Table1_14[[#This Row],[Impressions]]</f>
        <v>0.16540727459016394</v>
      </c>
    </row>
    <row r="297" spans="1:16" x14ac:dyDescent="0.3">
      <c r="A297" s="6" t="s">
        <v>349</v>
      </c>
      <c r="B297" s="1" t="s">
        <v>14</v>
      </c>
      <c r="C297" s="7">
        <v>45699</v>
      </c>
      <c r="D297" s="1" t="s">
        <v>56</v>
      </c>
      <c r="E297" s="1" t="s">
        <v>95</v>
      </c>
      <c r="F297" s="1">
        <v>3440</v>
      </c>
      <c r="G297" s="1">
        <v>13</v>
      </c>
      <c r="H297" s="1">
        <v>20</v>
      </c>
      <c r="I297" s="1">
        <v>58480</v>
      </c>
      <c r="J297" s="1">
        <v>58146</v>
      </c>
      <c r="K297" s="1">
        <v>210</v>
      </c>
      <c r="L297" s="1" t="s">
        <v>25</v>
      </c>
      <c r="M297" s="1" t="s">
        <v>356</v>
      </c>
      <c r="N297" s="1" t="s">
        <v>359</v>
      </c>
      <c r="O297" s="8" t="s">
        <v>32</v>
      </c>
      <c r="P297" s="15">
        <f>(Table1_14[[#This Row],[Likes]]+Table1_14[[#This Row],[Shares]]+Table1_14[[#This Row],[Comments]])/Table1_14[[#This Row],[Impressions]]</f>
        <v>5.9387824897400819E-2</v>
      </c>
    </row>
    <row r="298" spans="1:16" x14ac:dyDescent="0.3">
      <c r="A298" s="6" t="s">
        <v>350</v>
      </c>
      <c r="B298" s="1" t="s">
        <v>14</v>
      </c>
      <c r="C298" s="7">
        <v>45650</v>
      </c>
      <c r="D298" s="1" t="s">
        <v>19</v>
      </c>
      <c r="E298" s="1" t="s">
        <v>20</v>
      </c>
      <c r="F298" s="1">
        <v>2166</v>
      </c>
      <c r="G298" s="1">
        <v>354</v>
      </c>
      <c r="H298" s="1">
        <v>117</v>
      </c>
      <c r="I298" s="1">
        <v>10830</v>
      </c>
      <c r="J298" s="1">
        <v>10245</v>
      </c>
      <c r="K298" s="1">
        <v>24</v>
      </c>
      <c r="L298" s="1" t="s">
        <v>31</v>
      </c>
      <c r="M298" s="1" t="s">
        <v>359</v>
      </c>
      <c r="N298" s="1" t="s">
        <v>359</v>
      </c>
      <c r="O298" s="8" t="s">
        <v>32</v>
      </c>
      <c r="P298" s="15">
        <f>(Table1_14[[#This Row],[Likes]]+Table1_14[[#This Row],[Shares]]+Table1_14[[#This Row],[Comments]])/Table1_14[[#This Row],[Impressions]]</f>
        <v>0.24349030470914126</v>
      </c>
    </row>
    <row r="299" spans="1:16" x14ac:dyDescent="0.3">
      <c r="A299" s="6" t="s">
        <v>351</v>
      </c>
      <c r="B299" s="1" t="s">
        <v>35</v>
      </c>
      <c r="C299" s="7">
        <v>45589</v>
      </c>
      <c r="D299" s="1" t="s">
        <v>41</v>
      </c>
      <c r="E299" s="1" t="s">
        <v>46</v>
      </c>
      <c r="F299" s="1">
        <v>4303</v>
      </c>
      <c r="G299" s="1">
        <v>451</v>
      </c>
      <c r="H299" s="1">
        <v>286</v>
      </c>
      <c r="I299" s="1">
        <v>86060</v>
      </c>
      <c r="J299" s="1">
        <v>85823</v>
      </c>
      <c r="K299" s="1">
        <v>14</v>
      </c>
      <c r="L299" s="1" t="s">
        <v>25</v>
      </c>
      <c r="M299" s="1" t="s">
        <v>359</v>
      </c>
      <c r="N299" s="1" t="s">
        <v>359</v>
      </c>
      <c r="O299" s="8" t="s">
        <v>26</v>
      </c>
      <c r="P299" s="15">
        <f>(Table1_14[[#This Row],[Likes]]+Table1_14[[#This Row],[Shares]]+Table1_14[[#This Row],[Comments]])/Table1_14[[#This Row],[Impressions]]</f>
        <v>5.8563792702765516E-2</v>
      </c>
    </row>
    <row r="300" spans="1:16" x14ac:dyDescent="0.3">
      <c r="A300" s="6" t="s">
        <v>352</v>
      </c>
      <c r="B300" s="1" t="s">
        <v>35</v>
      </c>
      <c r="C300" s="7">
        <v>45530</v>
      </c>
      <c r="D300" s="1" t="s">
        <v>41</v>
      </c>
      <c r="E300" s="1" t="s">
        <v>46</v>
      </c>
      <c r="F300" s="1">
        <v>2581</v>
      </c>
      <c r="G300" s="1">
        <v>517</v>
      </c>
      <c r="H300" s="1">
        <v>117</v>
      </c>
      <c r="I300" s="1">
        <v>23229</v>
      </c>
      <c r="J300" s="1">
        <v>22331</v>
      </c>
      <c r="K300" s="1">
        <v>70</v>
      </c>
      <c r="L300" s="1" t="s">
        <v>48</v>
      </c>
      <c r="M300" s="1" t="s">
        <v>359</v>
      </c>
      <c r="N300" s="1" t="s">
        <v>359</v>
      </c>
      <c r="O300" s="8" t="s">
        <v>26</v>
      </c>
      <c r="P300" s="15">
        <f>(Table1_14[[#This Row],[Likes]]+Table1_14[[#This Row],[Shares]]+Table1_14[[#This Row],[Comments]])/Table1_14[[#This Row],[Impressions]]</f>
        <v>0.13840458048129492</v>
      </c>
    </row>
    <row r="301" spans="1:16" x14ac:dyDescent="0.3">
      <c r="A301" s="9" t="s">
        <v>353</v>
      </c>
      <c r="B301" s="10" t="s">
        <v>14</v>
      </c>
      <c r="C301" s="11">
        <v>45535</v>
      </c>
      <c r="D301" s="10" t="s">
        <v>36</v>
      </c>
      <c r="E301" s="10" t="s">
        <v>39</v>
      </c>
      <c r="F301" s="10">
        <v>4494</v>
      </c>
      <c r="G301" s="10">
        <v>717</v>
      </c>
      <c r="H301" s="10">
        <v>45</v>
      </c>
      <c r="I301" s="10">
        <v>62916</v>
      </c>
      <c r="J301" s="10">
        <v>62688</v>
      </c>
      <c r="K301" s="10">
        <v>191</v>
      </c>
      <c r="L301" s="10" t="s">
        <v>25</v>
      </c>
      <c r="M301" s="10" t="s">
        <v>31</v>
      </c>
      <c r="N301" s="10" t="s">
        <v>355</v>
      </c>
      <c r="O301" s="12" t="s">
        <v>17</v>
      </c>
      <c r="P301" s="16">
        <f>(Table1_14[[#This Row],[Likes]]+Table1_14[[#This Row],[Shares]]+Table1_14[[#This Row],[Comments]])/Table1_14[[#This Row],[Impressions]]</f>
        <v>8.3539958039290485E-2</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63EF6-DABA-48B9-B5A7-68E020513374}">
  <sheetPr codeName="Sheet3"/>
  <dimension ref="A1:P302"/>
  <sheetViews>
    <sheetView zoomScale="111" zoomScaleNormal="99" workbookViewId="0">
      <pane ySplit="2" topLeftCell="A141" activePane="bottomLeft" state="frozen"/>
      <selection pane="bottomLeft" activeCell="H292" sqref="H292"/>
    </sheetView>
  </sheetViews>
  <sheetFormatPr defaultRowHeight="14.4" x14ac:dyDescent="0.3"/>
  <cols>
    <col min="3" max="3" width="10.5546875" customWidth="1"/>
    <col min="5" max="5" width="37.5546875" customWidth="1"/>
    <col min="12" max="12" width="20.6640625" customWidth="1"/>
    <col min="13" max="13" width="18.21875" customWidth="1"/>
    <col min="14" max="14" width="17.33203125" customWidth="1"/>
    <col min="15" max="15" width="16" bestFit="1" customWidth="1"/>
    <col min="16" max="16" width="15.33203125" customWidth="1"/>
  </cols>
  <sheetData>
    <row r="1" spans="1:16" ht="31.2" customHeight="1" x14ac:dyDescent="0.55000000000000004">
      <c r="E1" s="23" t="s">
        <v>366</v>
      </c>
      <c r="F1" s="24"/>
      <c r="G1" s="24"/>
      <c r="H1" s="24"/>
      <c r="I1" s="24"/>
      <c r="J1" s="24"/>
      <c r="K1" s="24"/>
      <c r="L1" s="24"/>
      <c r="M1" s="24"/>
      <c r="N1" s="22"/>
      <c r="O1" s="22"/>
      <c r="P1" s="22"/>
    </row>
    <row r="2" spans="1:16" x14ac:dyDescent="0.3">
      <c r="A2" s="3" t="s">
        <v>0</v>
      </c>
      <c r="B2" s="4" t="s">
        <v>1</v>
      </c>
      <c r="C2" s="4" t="s">
        <v>2</v>
      </c>
      <c r="D2" s="4" t="s">
        <v>3</v>
      </c>
      <c r="E2" s="4" t="s">
        <v>4</v>
      </c>
      <c r="F2" s="4" t="s">
        <v>5</v>
      </c>
      <c r="G2" s="4" t="s">
        <v>6</v>
      </c>
      <c r="H2" s="4" t="s">
        <v>7</v>
      </c>
      <c r="I2" s="4" t="s">
        <v>8</v>
      </c>
      <c r="J2" s="4" t="s">
        <v>9</v>
      </c>
      <c r="K2" s="4" t="s">
        <v>10</v>
      </c>
      <c r="L2" s="4" t="s">
        <v>11</v>
      </c>
      <c r="M2" s="4" t="s">
        <v>357</v>
      </c>
      <c r="N2" s="4" t="s">
        <v>358</v>
      </c>
      <c r="O2" s="5" t="s">
        <v>12</v>
      </c>
      <c r="P2" s="4" t="s">
        <v>361</v>
      </c>
    </row>
    <row r="3" spans="1:16" x14ac:dyDescent="0.3">
      <c r="A3" s="6" t="s">
        <v>13</v>
      </c>
      <c r="B3" s="1" t="s">
        <v>14</v>
      </c>
      <c r="C3" s="7">
        <v>45649</v>
      </c>
      <c r="D3" s="1" t="s">
        <v>15</v>
      </c>
      <c r="E3" s="1" t="s">
        <v>16</v>
      </c>
      <c r="F3" s="1">
        <v>1461</v>
      </c>
      <c r="G3" s="1">
        <v>184</v>
      </c>
      <c r="H3" s="1">
        <v>344</v>
      </c>
      <c r="I3" s="1">
        <v>21915</v>
      </c>
      <c r="J3" s="1">
        <v>21675</v>
      </c>
      <c r="K3" s="1">
        <v>15</v>
      </c>
      <c r="L3" s="1" t="s">
        <v>48</v>
      </c>
      <c r="M3" s="1" t="s">
        <v>354</v>
      </c>
      <c r="N3" s="1" t="s">
        <v>359</v>
      </c>
      <c r="O3" s="8" t="s">
        <v>17</v>
      </c>
      <c r="P3" s="14">
        <f>(Table1_145[[#This Row],[Likes]]+Table1_145[[#This Row],[Shares]]+Table1_145[[#This Row],[Comments]])/Table1_145[[#This Row],[Impressions]]</f>
        <v>9.0759753593429152E-2</v>
      </c>
    </row>
    <row r="4" spans="1:16" x14ac:dyDescent="0.3">
      <c r="A4" s="6" t="s">
        <v>18</v>
      </c>
      <c r="B4" s="1" t="s">
        <v>14</v>
      </c>
      <c r="C4" s="7">
        <v>45750</v>
      </c>
      <c r="D4" s="1" t="s">
        <v>19</v>
      </c>
      <c r="E4" s="1" t="s">
        <v>20</v>
      </c>
      <c r="F4" s="1">
        <v>4054</v>
      </c>
      <c r="G4" s="1">
        <v>389</v>
      </c>
      <c r="H4" s="1">
        <v>493</v>
      </c>
      <c r="I4" s="1">
        <v>64864</v>
      </c>
      <c r="J4" s="1">
        <v>64383</v>
      </c>
      <c r="K4" s="1">
        <v>117</v>
      </c>
      <c r="L4" s="1" t="s">
        <v>25</v>
      </c>
      <c r="M4" s="1" t="s">
        <v>355</v>
      </c>
      <c r="N4" s="1" t="s">
        <v>359</v>
      </c>
      <c r="O4" s="8" t="s">
        <v>21</v>
      </c>
      <c r="P4" s="15">
        <f>(Table1_145[[#This Row],[Likes]]+Table1_145[[#This Row],[Shares]]+Table1_145[[#This Row],[Comments]])/Table1_145[[#This Row],[Impressions]]</f>
        <v>7.6097681302417369E-2</v>
      </c>
    </row>
    <row r="5" spans="1:16" x14ac:dyDescent="0.3">
      <c r="A5" s="6" t="s">
        <v>22</v>
      </c>
      <c r="B5" s="1" t="s">
        <v>23</v>
      </c>
      <c r="C5" s="7">
        <v>45789</v>
      </c>
      <c r="D5" s="1" t="s">
        <v>15</v>
      </c>
      <c r="E5" s="1" t="s">
        <v>24</v>
      </c>
      <c r="F5" s="1">
        <v>2795</v>
      </c>
      <c r="G5" s="1">
        <v>105</v>
      </c>
      <c r="H5" s="1">
        <v>49</v>
      </c>
      <c r="I5" s="1">
        <v>53105</v>
      </c>
      <c r="J5" s="1">
        <v>52307</v>
      </c>
      <c r="K5" s="1">
        <v>204</v>
      </c>
      <c r="L5" s="1" t="s">
        <v>25</v>
      </c>
      <c r="M5" s="1" t="s">
        <v>359</v>
      </c>
      <c r="N5" s="1" t="s">
        <v>359</v>
      </c>
      <c r="O5" s="8" t="s">
        <v>26</v>
      </c>
      <c r="P5" s="15">
        <f>(Table1_145[[#This Row],[Likes]]+Table1_145[[#This Row],[Shares]]+Table1_145[[#This Row],[Comments]])/Table1_145[[#This Row],[Impressions]]</f>
        <v>5.5531494209584788E-2</v>
      </c>
    </row>
    <row r="6" spans="1:16" x14ac:dyDescent="0.3">
      <c r="A6" s="6" t="s">
        <v>27</v>
      </c>
      <c r="B6" s="1" t="s">
        <v>28</v>
      </c>
      <c r="C6" s="7">
        <v>45516</v>
      </c>
      <c r="D6" s="1" t="s">
        <v>29</v>
      </c>
      <c r="E6" s="1" t="s">
        <v>30</v>
      </c>
      <c r="F6" s="1">
        <v>2404</v>
      </c>
      <c r="G6" s="1">
        <v>363</v>
      </c>
      <c r="H6" s="1">
        <v>138</v>
      </c>
      <c r="I6" s="1">
        <v>19232</v>
      </c>
      <c r="J6" s="1">
        <v>18636</v>
      </c>
      <c r="K6" s="1">
        <v>128</v>
      </c>
      <c r="L6" s="1" t="s">
        <v>31</v>
      </c>
      <c r="M6" s="1" t="s">
        <v>359</v>
      </c>
      <c r="N6" s="1" t="s">
        <v>359</v>
      </c>
      <c r="O6" s="8" t="s">
        <v>32</v>
      </c>
      <c r="P6" s="15">
        <f>(Table1_145[[#This Row],[Likes]]+Table1_145[[#This Row],[Shares]]+Table1_145[[#This Row],[Comments]])/Table1_145[[#This Row],[Impressions]]</f>
        <v>0.15105033277870217</v>
      </c>
    </row>
    <row r="7" spans="1:16" x14ac:dyDescent="0.3">
      <c r="A7" s="6" t="s">
        <v>33</v>
      </c>
      <c r="B7" s="1" t="s">
        <v>23</v>
      </c>
      <c r="C7" s="7">
        <v>45469</v>
      </c>
      <c r="D7" s="1" t="s">
        <v>15</v>
      </c>
      <c r="E7" s="1" t="s">
        <v>24</v>
      </c>
      <c r="F7" s="1">
        <v>3557</v>
      </c>
      <c r="G7" s="1">
        <v>687</v>
      </c>
      <c r="H7" s="1">
        <v>424</v>
      </c>
      <c r="I7" s="1">
        <v>71140</v>
      </c>
      <c r="J7" s="1">
        <v>70701</v>
      </c>
      <c r="K7" s="1">
        <v>224</v>
      </c>
      <c r="L7" s="1" t="s">
        <v>31</v>
      </c>
      <c r="M7" s="1" t="s">
        <v>25</v>
      </c>
      <c r="N7" s="1" t="s">
        <v>359</v>
      </c>
      <c r="O7" s="8" t="s">
        <v>17</v>
      </c>
      <c r="P7" s="15">
        <f>(Table1_145[[#This Row],[Likes]]+Table1_145[[#This Row],[Shares]]+Table1_145[[#This Row],[Comments]])/Table1_145[[#This Row],[Impressions]]</f>
        <v>6.5617093055946027E-2</v>
      </c>
    </row>
    <row r="8" spans="1:16" x14ac:dyDescent="0.3">
      <c r="A8" s="6" t="s">
        <v>34</v>
      </c>
      <c r="B8" s="1" t="s">
        <v>35</v>
      </c>
      <c r="C8" s="7">
        <v>45596</v>
      </c>
      <c r="D8" s="1" t="s">
        <v>36</v>
      </c>
      <c r="E8" s="1" t="s">
        <v>37</v>
      </c>
      <c r="F8" s="1">
        <v>2945</v>
      </c>
      <c r="G8" s="1">
        <v>930</v>
      </c>
      <c r="H8" s="1">
        <v>355</v>
      </c>
      <c r="I8" s="1">
        <v>23560</v>
      </c>
      <c r="J8" s="1">
        <v>23275</v>
      </c>
      <c r="K8" s="1">
        <v>256</v>
      </c>
      <c r="L8" s="1" t="s">
        <v>25</v>
      </c>
      <c r="M8" s="1" t="s">
        <v>359</v>
      </c>
      <c r="N8" s="1" t="s">
        <v>359</v>
      </c>
      <c r="O8" s="8" t="s">
        <v>21</v>
      </c>
      <c r="P8" s="15">
        <f>(Table1_145[[#This Row],[Likes]]+Table1_145[[#This Row],[Shares]]+Table1_145[[#This Row],[Comments]])/Table1_145[[#This Row],[Impressions]]</f>
        <v>0.17954159592529711</v>
      </c>
    </row>
    <row r="9" spans="1:16" x14ac:dyDescent="0.3">
      <c r="A9" s="6" t="s">
        <v>38</v>
      </c>
      <c r="B9" s="1" t="s">
        <v>14</v>
      </c>
      <c r="C9" s="7">
        <v>45467</v>
      </c>
      <c r="D9" s="1" t="s">
        <v>36</v>
      </c>
      <c r="E9" s="1" t="s">
        <v>39</v>
      </c>
      <c r="F9" s="1">
        <v>3860</v>
      </c>
      <c r="G9" s="1">
        <v>201</v>
      </c>
      <c r="H9" s="1">
        <v>279</v>
      </c>
      <c r="I9" s="1">
        <v>61760</v>
      </c>
      <c r="J9" s="1">
        <v>61660</v>
      </c>
      <c r="K9" s="1">
        <v>235</v>
      </c>
      <c r="L9" s="1" t="s">
        <v>25</v>
      </c>
      <c r="M9" s="1" t="s">
        <v>359</v>
      </c>
      <c r="N9" s="1" t="s">
        <v>359</v>
      </c>
      <c r="O9" s="8" t="s">
        <v>21</v>
      </c>
      <c r="P9" s="15">
        <f>(Table1_145[[#This Row],[Likes]]+Table1_145[[#This Row],[Shares]]+Table1_145[[#This Row],[Comments]])/Table1_145[[#This Row],[Impressions]]</f>
        <v>7.0272020725388601E-2</v>
      </c>
    </row>
    <row r="10" spans="1:16" x14ac:dyDescent="0.3">
      <c r="A10" s="6" t="s">
        <v>40</v>
      </c>
      <c r="B10" s="1" t="s">
        <v>23</v>
      </c>
      <c r="C10" s="7">
        <v>45486</v>
      </c>
      <c r="D10" s="1" t="s">
        <v>41</v>
      </c>
      <c r="E10" s="1" t="s">
        <v>42</v>
      </c>
      <c r="F10" s="1">
        <v>3929</v>
      </c>
      <c r="G10" s="1">
        <v>262</v>
      </c>
      <c r="H10" s="1">
        <v>278</v>
      </c>
      <c r="I10" s="1">
        <v>43219</v>
      </c>
      <c r="J10" s="1">
        <v>42841</v>
      </c>
      <c r="K10" s="1">
        <v>39</v>
      </c>
      <c r="L10" s="1" t="s">
        <v>31</v>
      </c>
      <c r="M10" s="1" t="s">
        <v>359</v>
      </c>
      <c r="N10" s="1" t="s">
        <v>359</v>
      </c>
      <c r="O10" s="8" t="s">
        <v>32</v>
      </c>
      <c r="P10" s="15">
        <f>(Table1_145[[#This Row],[Likes]]+Table1_145[[#This Row],[Shares]]+Table1_145[[#This Row],[Comments]])/Table1_145[[#This Row],[Impressions]]</f>
        <v>0.10340359564080613</v>
      </c>
    </row>
    <row r="11" spans="1:16" x14ac:dyDescent="0.3">
      <c r="A11" s="6" t="s">
        <v>43</v>
      </c>
      <c r="B11" s="1" t="s">
        <v>35</v>
      </c>
      <c r="C11" s="7">
        <v>45534</v>
      </c>
      <c r="D11" s="1" t="s">
        <v>19</v>
      </c>
      <c r="E11" s="1" t="s">
        <v>44</v>
      </c>
      <c r="F11" s="1">
        <v>3784</v>
      </c>
      <c r="G11" s="1">
        <v>808</v>
      </c>
      <c r="H11" s="1">
        <v>404</v>
      </c>
      <c r="I11" s="1">
        <v>56760</v>
      </c>
      <c r="J11" s="1">
        <v>56343</v>
      </c>
      <c r="K11" s="1">
        <v>131</v>
      </c>
      <c r="L11" s="1" t="s">
        <v>25</v>
      </c>
      <c r="M11" s="1" t="s">
        <v>359</v>
      </c>
      <c r="N11" s="1" t="s">
        <v>359</v>
      </c>
      <c r="O11" s="8" t="s">
        <v>21</v>
      </c>
      <c r="P11" s="15">
        <f>(Table1_145[[#This Row],[Likes]]+Table1_145[[#This Row],[Shares]]+Table1_145[[#This Row],[Comments]])/Table1_145[[#This Row],[Impressions]]</f>
        <v>8.8019732205778717E-2</v>
      </c>
    </row>
    <row r="12" spans="1:16" x14ac:dyDescent="0.3">
      <c r="A12" s="6" t="s">
        <v>45</v>
      </c>
      <c r="B12" s="1" t="s">
        <v>35</v>
      </c>
      <c r="C12" s="7">
        <v>45727</v>
      </c>
      <c r="D12" s="1" t="s">
        <v>41</v>
      </c>
      <c r="E12" s="1" t="s">
        <v>46</v>
      </c>
      <c r="F12" s="1">
        <v>4241</v>
      </c>
      <c r="G12" s="1">
        <v>902</v>
      </c>
      <c r="H12" s="1">
        <v>47</v>
      </c>
      <c r="I12" s="1">
        <v>72097</v>
      </c>
      <c r="J12" s="1">
        <v>71598</v>
      </c>
      <c r="K12" s="1">
        <v>167</v>
      </c>
      <c r="L12" s="1" t="s">
        <v>25</v>
      </c>
      <c r="M12" s="1" t="s">
        <v>359</v>
      </c>
      <c r="N12" s="1" t="s">
        <v>359</v>
      </c>
      <c r="O12" s="8" t="s">
        <v>21</v>
      </c>
      <c r="P12" s="15">
        <f>(Table1_145[[#This Row],[Likes]]+Table1_145[[#This Row],[Shares]]+Table1_145[[#This Row],[Comments]])/Table1_145[[#This Row],[Impressions]]</f>
        <v>7.198635172059864E-2</v>
      </c>
    </row>
    <row r="13" spans="1:16" x14ac:dyDescent="0.3">
      <c r="A13" s="6" t="s">
        <v>47</v>
      </c>
      <c r="B13" s="1" t="s">
        <v>28</v>
      </c>
      <c r="C13" s="7">
        <v>45690</v>
      </c>
      <c r="D13" s="1" t="s">
        <v>29</v>
      </c>
      <c r="E13" s="1" t="s">
        <v>30</v>
      </c>
      <c r="F13" s="1">
        <v>1792</v>
      </c>
      <c r="G13" s="1">
        <v>614</v>
      </c>
      <c r="H13" s="1">
        <v>497</v>
      </c>
      <c r="I13" s="1">
        <v>25088</v>
      </c>
      <c r="J13" s="1">
        <v>24675</v>
      </c>
      <c r="K13" s="1">
        <v>65</v>
      </c>
      <c r="L13" s="1" t="s">
        <v>48</v>
      </c>
      <c r="M13" s="1" t="s">
        <v>359</v>
      </c>
      <c r="N13" s="1" t="s">
        <v>359</v>
      </c>
      <c r="O13" s="8" t="s">
        <v>32</v>
      </c>
      <c r="P13" s="15">
        <f>(Table1_145[[#This Row],[Likes]]+Table1_145[[#This Row],[Shares]]+Table1_145[[#This Row],[Comments]])/Table1_145[[#This Row],[Impressions]]</f>
        <v>0.11571269132653061</v>
      </c>
    </row>
    <row r="14" spans="1:16" x14ac:dyDescent="0.3">
      <c r="A14" s="6" t="s">
        <v>49</v>
      </c>
      <c r="B14" s="1" t="s">
        <v>35</v>
      </c>
      <c r="C14" s="7">
        <v>45494</v>
      </c>
      <c r="D14" s="1" t="s">
        <v>15</v>
      </c>
      <c r="E14" s="1" t="s">
        <v>50</v>
      </c>
      <c r="F14" s="1">
        <v>1946</v>
      </c>
      <c r="G14" s="1">
        <v>686</v>
      </c>
      <c r="H14" s="1">
        <v>377</v>
      </c>
      <c r="I14" s="1">
        <v>23352</v>
      </c>
      <c r="J14" s="1">
        <v>22982</v>
      </c>
      <c r="K14" s="1">
        <v>213</v>
      </c>
      <c r="L14" s="1" t="s">
        <v>48</v>
      </c>
      <c r="M14" s="1" t="s">
        <v>359</v>
      </c>
      <c r="N14" s="1" t="s">
        <v>359</v>
      </c>
      <c r="O14" s="8" t="s">
        <v>26</v>
      </c>
      <c r="P14" s="15">
        <f>(Table1_145[[#This Row],[Likes]]+Table1_145[[#This Row],[Shares]]+Table1_145[[#This Row],[Comments]])/Table1_145[[#This Row],[Impressions]]</f>
        <v>0.12885405960945528</v>
      </c>
    </row>
    <row r="15" spans="1:16" x14ac:dyDescent="0.3">
      <c r="A15" s="6" t="s">
        <v>51</v>
      </c>
      <c r="B15" s="1" t="s">
        <v>23</v>
      </c>
      <c r="C15" s="7">
        <v>45614</v>
      </c>
      <c r="D15" s="1" t="s">
        <v>36</v>
      </c>
      <c r="E15" s="1" t="s">
        <v>52</v>
      </c>
      <c r="F15" s="1">
        <v>1171</v>
      </c>
      <c r="G15" s="1">
        <v>286</v>
      </c>
      <c r="H15" s="1">
        <v>231</v>
      </c>
      <c r="I15" s="1">
        <v>22249</v>
      </c>
      <c r="J15" s="1">
        <v>21282</v>
      </c>
      <c r="K15" s="1">
        <v>114</v>
      </c>
      <c r="L15" s="1" t="s">
        <v>31</v>
      </c>
      <c r="M15" s="1" t="s">
        <v>359</v>
      </c>
      <c r="N15" s="1" t="s">
        <v>359</v>
      </c>
      <c r="O15" s="8" t="s">
        <v>17</v>
      </c>
      <c r="P15" s="15">
        <f>(Table1_145[[#This Row],[Likes]]+Table1_145[[#This Row],[Shares]]+Table1_145[[#This Row],[Comments]])/Table1_145[[#This Row],[Impressions]]</f>
        <v>7.5868578363072495E-2</v>
      </c>
    </row>
    <row r="16" spans="1:16" x14ac:dyDescent="0.3">
      <c r="A16" s="6" t="s">
        <v>53</v>
      </c>
      <c r="B16" s="1" t="s">
        <v>35</v>
      </c>
      <c r="C16" s="7">
        <v>45704</v>
      </c>
      <c r="D16" s="1" t="s">
        <v>29</v>
      </c>
      <c r="E16" s="1" t="s">
        <v>54</v>
      </c>
      <c r="F16" s="1">
        <v>4242</v>
      </c>
      <c r="G16" s="1">
        <v>555</v>
      </c>
      <c r="H16" s="1">
        <v>131</v>
      </c>
      <c r="I16" s="1">
        <v>33936</v>
      </c>
      <c r="J16" s="1">
        <v>33802</v>
      </c>
      <c r="K16" s="1">
        <v>265</v>
      </c>
      <c r="L16" s="1" t="s">
        <v>48</v>
      </c>
      <c r="M16" s="1" t="s">
        <v>359</v>
      </c>
      <c r="N16" s="1" t="s">
        <v>359</v>
      </c>
      <c r="O16" s="8" t="s">
        <v>360</v>
      </c>
      <c r="P16" s="15">
        <f>(Table1_145[[#This Row],[Likes]]+Table1_145[[#This Row],[Shares]]+Table1_145[[#This Row],[Comments]])/Table1_145[[#This Row],[Impressions]]</f>
        <v>0.14521452145214522</v>
      </c>
    </row>
    <row r="17" spans="1:16" x14ac:dyDescent="0.3">
      <c r="A17" s="6" t="s">
        <v>55</v>
      </c>
      <c r="B17" s="1" t="s">
        <v>35</v>
      </c>
      <c r="C17" s="7">
        <v>45589</v>
      </c>
      <c r="D17" s="1" t="s">
        <v>56</v>
      </c>
      <c r="E17" s="1" t="s">
        <v>57</v>
      </c>
      <c r="F17" s="1">
        <v>3888</v>
      </c>
      <c r="G17" s="1">
        <v>604</v>
      </c>
      <c r="H17" s="1">
        <v>128</v>
      </c>
      <c r="I17" s="1">
        <v>77760</v>
      </c>
      <c r="J17" s="1">
        <v>77167</v>
      </c>
      <c r="K17" s="1">
        <v>20</v>
      </c>
      <c r="L17" s="1" t="s">
        <v>48</v>
      </c>
      <c r="M17" s="1" t="s">
        <v>359</v>
      </c>
      <c r="N17" s="1" t="s">
        <v>359</v>
      </c>
      <c r="O17" s="8" t="s">
        <v>17</v>
      </c>
      <c r="P17" s="15">
        <f>(Table1_145[[#This Row],[Likes]]+Table1_145[[#This Row],[Shares]]+Table1_145[[#This Row],[Comments]])/Table1_145[[#This Row],[Impressions]]</f>
        <v>5.941358024691358E-2</v>
      </c>
    </row>
    <row r="18" spans="1:16" x14ac:dyDescent="0.3">
      <c r="A18" s="6" t="s">
        <v>58</v>
      </c>
      <c r="B18" s="1" t="s">
        <v>35</v>
      </c>
      <c r="C18" s="7">
        <v>45530</v>
      </c>
      <c r="D18" s="1" t="s">
        <v>19</v>
      </c>
      <c r="E18" s="1" t="s">
        <v>44</v>
      </c>
      <c r="F18" s="1">
        <v>3452</v>
      </c>
      <c r="G18" s="1">
        <v>377</v>
      </c>
      <c r="H18" s="1">
        <v>360</v>
      </c>
      <c r="I18" s="1">
        <v>55232</v>
      </c>
      <c r="J18" s="1">
        <v>55075</v>
      </c>
      <c r="K18" s="1">
        <v>87</v>
      </c>
      <c r="L18" s="1" t="s">
        <v>48</v>
      </c>
      <c r="M18" s="1" t="s">
        <v>359</v>
      </c>
      <c r="N18" s="1" t="s">
        <v>359</v>
      </c>
      <c r="O18" s="8" t="s">
        <v>26</v>
      </c>
      <c r="P18" s="15">
        <f>(Table1_145[[#This Row],[Likes]]+Table1_145[[#This Row],[Shares]]+Table1_145[[#This Row],[Comments]])/Table1_145[[#This Row],[Impressions]]</f>
        <v>7.5843713789107758E-2</v>
      </c>
    </row>
    <row r="19" spans="1:16" x14ac:dyDescent="0.3">
      <c r="A19" s="6" t="s">
        <v>59</v>
      </c>
      <c r="B19" s="1" t="s">
        <v>35</v>
      </c>
      <c r="C19" s="7">
        <v>45782</v>
      </c>
      <c r="D19" s="1" t="s">
        <v>19</v>
      </c>
      <c r="E19" s="1" t="s">
        <v>44</v>
      </c>
      <c r="F19" s="1">
        <v>4441</v>
      </c>
      <c r="G19" s="1">
        <v>511</v>
      </c>
      <c r="H19" s="1">
        <v>70</v>
      </c>
      <c r="I19" s="1">
        <v>53292</v>
      </c>
      <c r="J19" s="1">
        <v>53082</v>
      </c>
      <c r="K19" s="1">
        <v>159</v>
      </c>
      <c r="L19" s="1" t="s">
        <v>31</v>
      </c>
      <c r="M19" s="1" t="s">
        <v>359</v>
      </c>
      <c r="N19" s="1" t="s">
        <v>359</v>
      </c>
      <c r="O19" s="8" t="s">
        <v>32</v>
      </c>
      <c r="P19" s="15">
        <f>(Table1_145[[#This Row],[Likes]]+Table1_145[[#This Row],[Shares]]+Table1_145[[#This Row],[Comments]])/Table1_145[[#This Row],[Impressions]]</f>
        <v>9.4235532537716729E-2</v>
      </c>
    </row>
    <row r="20" spans="1:16" x14ac:dyDescent="0.3">
      <c r="A20" s="6" t="s">
        <v>60</v>
      </c>
      <c r="B20" s="1" t="s">
        <v>28</v>
      </c>
      <c r="C20" s="7">
        <v>45523</v>
      </c>
      <c r="D20" s="1" t="s">
        <v>15</v>
      </c>
      <c r="E20" s="1" t="s">
        <v>61</v>
      </c>
      <c r="F20" s="1">
        <v>3000</v>
      </c>
      <c r="G20" s="1">
        <v>382</v>
      </c>
      <c r="H20" s="1">
        <v>325</v>
      </c>
      <c r="I20" s="1">
        <v>36000</v>
      </c>
      <c r="J20" s="1">
        <v>35819</v>
      </c>
      <c r="K20" s="1">
        <v>19</v>
      </c>
      <c r="L20" s="1" t="s">
        <v>48</v>
      </c>
      <c r="M20" s="1" t="s">
        <v>359</v>
      </c>
      <c r="N20" s="1" t="s">
        <v>359</v>
      </c>
      <c r="O20" s="8" t="s">
        <v>17</v>
      </c>
      <c r="P20" s="15">
        <f>(Table1_145[[#This Row],[Likes]]+Table1_145[[#This Row],[Shares]]+Table1_145[[#This Row],[Comments]])/Table1_145[[#This Row],[Impressions]]</f>
        <v>0.10297222222222223</v>
      </c>
    </row>
    <row r="21" spans="1:16" x14ac:dyDescent="0.3">
      <c r="A21" s="6" t="s">
        <v>62</v>
      </c>
      <c r="B21" s="1" t="s">
        <v>28</v>
      </c>
      <c r="C21" s="7">
        <v>45466</v>
      </c>
      <c r="D21" s="1" t="s">
        <v>56</v>
      </c>
      <c r="E21" s="1" t="s">
        <v>63</v>
      </c>
      <c r="F21" s="1">
        <v>1071</v>
      </c>
      <c r="G21" s="1">
        <v>519</v>
      </c>
      <c r="H21" s="1">
        <v>22</v>
      </c>
      <c r="I21" s="1">
        <v>16065</v>
      </c>
      <c r="J21" s="1">
        <v>15865</v>
      </c>
      <c r="K21" s="1">
        <v>103</v>
      </c>
      <c r="L21" s="1" t="s">
        <v>25</v>
      </c>
      <c r="M21" s="1" t="s">
        <v>359</v>
      </c>
      <c r="N21" s="1" t="s">
        <v>359</v>
      </c>
      <c r="O21" s="8" t="s">
        <v>32</v>
      </c>
      <c r="P21" s="15">
        <f>(Table1_145[[#This Row],[Likes]]+Table1_145[[#This Row],[Shares]]+Table1_145[[#This Row],[Comments]])/Table1_145[[#This Row],[Impressions]]</f>
        <v>0.10034235916588857</v>
      </c>
    </row>
    <row r="22" spans="1:16" x14ac:dyDescent="0.3">
      <c r="A22" s="6" t="s">
        <v>64</v>
      </c>
      <c r="B22" s="1" t="s">
        <v>28</v>
      </c>
      <c r="C22" s="7">
        <v>45544</v>
      </c>
      <c r="D22" s="1" t="s">
        <v>36</v>
      </c>
      <c r="E22" s="1" t="s">
        <v>65</v>
      </c>
      <c r="F22" s="1">
        <v>4054</v>
      </c>
      <c r="G22" s="1">
        <v>488</v>
      </c>
      <c r="H22" s="1">
        <v>373</v>
      </c>
      <c r="I22" s="1">
        <v>77026</v>
      </c>
      <c r="J22" s="1">
        <v>76881</v>
      </c>
      <c r="K22" s="1">
        <v>25</v>
      </c>
      <c r="L22" s="1" t="s">
        <v>25</v>
      </c>
      <c r="M22" s="1" t="s">
        <v>359</v>
      </c>
      <c r="N22" s="1" t="s">
        <v>359</v>
      </c>
      <c r="O22" s="8" t="s">
        <v>17</v>
      </c>
      <c r="P22" s="15">
        <f>(Table1_145[[#This Row],[Likes]]+Table1_145[[#This Row],[Shares]]+Table1_145[[#This Row],[Comments]])/Table1_145[[#This Row],[Impressions]]</f>
        <v>6.3809622724794221E-2</v>
      </c>
    </row>
    <row r="23" spans="1:16" x14ac:dyDescent="0.3">
      <c r="A23" s="6" t="s">
        <v>66</v>
      </c>
      <c r="B23" s="1" t="s">
        <v>28</v>
      </c>
      <c r="C23" s="7">
        <v>45661</v>
      </c>
      <c r="D23" s="1" t="s">
        <v>15</v>
      </c>
      <c r="E23" s="1" t="s">
        <v>61</v>
      </c>
      <c r="F23" s="1">
        <v>4838</v>
      </c>
      <c r="G23" s="1">
        <v>640</v>
      </c>
      <c r="H23" s="1">
        <v>128</v>
      </c>
      <c r="I23" s="1">
        <v>72570</v>
      </c>
      <c r="J23" s="1">
        <v>72396</v>
      </c>
      <c r="K23" s="1">
        <v>83</v>
      </c>
      <c r="L23" s="1" t="s">
        <v>48</v>
      </c>
      <c r="M23" s="1" t="s">
        <v>359</v>
      </c>
      <c r="N23" s="1" t="s">
        <v>359</v>
      </c>
      <c r="O23" s="8" t="s">
        <v>32</v>
      </c>
      <c r="P23" s="15">
        <f>(Table1_145[[#This Row],[Likes]]+Table1_145[[#This Row],[Shares]]+Table1_145[[#This Row],[Comments]])/Table1_145[[#This Row],[Impressions]]</f>
        <v>7.7249552156538517E-2</v>
      </c>
    </row>
    <row r="24" spans="1:16" x14ac:dyDescent="0.3">
      <c r="A24" s="6" t="s">
        <v>67</v>
      </c>
      <c r="B24" s="1" t="s">
        <v>35</v>
      </c>
      <c r="C24" s="7">
        <v>45715</v>
      </c>
      <c r="D24" s="1" t="s">
        <v>19</v>
      </c>
      <c r="E24" s="1" t="s">
        <v>44</v>
      </c>
      <c r="F24" s="1">
        <v>1570</v>
      </c>
      <c r="G24" s="1">
        <v>187</v>
      </c>
      <c r="H24" s="1">
        <v>260</v>
      </c>
      <c r="I24" s="1">
        <v>25120</v>
      </c>
      <c r="J24" s="1">
        <v>24613</v>
      </c>
      <c r="K24" s="1">
        <v>133</v>
      </c>
      <c r="L24" s="1" t="s">
        <v>25</v>
      </c>
      <c r="M24" s="1" t="s">
        <v>359</v>
      </c>
      <c r="N24" s="1" t="s">
        <v>359</v>
      </c>
      <c r="O24" s="8" t="s">
        <v>32</v>
      </c>
      <c r="P24" s="15">
        <f>(Table1_145[[#This Row],[Likes]]+Table1_145[[#This Row],[Shares]]+Table1_145[[#This Row],[Comments]])/Table1_145[[#This Row],[Impressions]]</f>
        <v>8.0294585987261149E-2</v>
      </c>
    </row>
    <row r="25" spans="1:16" x14ac:dyDescent="0.3">
      <c r="A25" s="6" t="s">
        <v>68</v>
      </c>
      <c r="B25" s="1" t="s">
        <v>35</v>
      </c>
      <c r="C25" s="7">
        <v>45602</v>
      </c>
      <c r="D25" s="1" t="s">
        <v>56</v>
      </c>
      <c r="E25" s="1" t="s">
        <v>57</v>
      </c>
      <c r="F25" s="1">
        <v>1606</v>
      </c>
      <c r="G25" s="1">
        <v>547</v>
      </c>
      <c r="H25" s="1">
        <v>316</v>
      </c>
      <c r="I25" s="1">
        <v>32120</v>
      </c>
      <c r="J25" s="1">
        <v>31736</v>
      </c>
      <c r="K25" s="1">
        <v>225</v>
      </c>
      <c r="L25" s="1" t="s">
        <v>25</v>
      </c>
      <c r="M25" s="1" t="s">
        <v>354</v>
      </c>
      <c r="N25" s="1" t="s">
        <v>359</v>
      </c>
      <c r="O25" s="8" t="s">
        <v>21</v>
      </c>
      <c r="P25" s="15">
        <f>(Table1_145[[#This Row],[Likes]]+Table1_145[[#This Row],[Shares]]+Table1_145[[#This Row],[Comments]])/Table1_145[[#This Row],[Impressions]]</f>
        <v>7.6867995018679955E-2</v>
      </c>
    </row>
    <row r="26" spans="1:16" x14ac:dyDescent="0.3">
      <c r="A26" s="6" t="s">
        <v>69</v>
      </c>
      <c r="B26" s="1" t="s">
        <v>35</v>
      </c>
      <c r="C26" s="7">
        <v>45680</v>
      </c>
      <c r="D26" s="1" t="s">
        <v>56</v>
      </c>
      <c r="E26" s="1" t="s">
        <v>57</v>
      </c>
      <c r="F26" s="1">
        <v>3961</v>
      </c>
      <c r="G26" s="1">
        <v>761</v>
      </c>
      <c r="H26" s="1">
        <v>131</v>
      </c>
      <c r="I26" s="1">
        <v>67337</v>
      </c>
      <c r="J26" s="1">
        <v>66615</v>
      </c>
      <c r="K26" s="1">
        <v>161</v>
      </c>
      <c r="L26" s="1" t="s">
        <v>48</v>
      </c>
      <c r="M26" s="1" t="s">
        <v>359</v>
      </c>
      <c r="N26" s="1" t="s">
        <v>359</v>
      </c>
      <c r="O26" s="8" t="s">
        <v>26</v>
      </c>
      <c r="P26" s="15">
        <f>(Table1_145[[#This Row],[Likes]]+Table1_145[[#This Row],[Shares]]+Table1_145[[#This Row],[Comments]])/Table1_145[[#This Row],[Impressions]]</f>
        <v>7.2070332803659209E-2</v>
      </c>
    </row>
    <row r="27" spans="1:16" x14ac:dyDescent="0.3">
      <c r="A27" s="6" t="s">
        <v>70</v>
      </c>
      <c r="B27" s="1" t="s">
        <v>14</v>
      </c>
      <c r="C27" s="7">
        <v>45757</v>
      </c>
      <c r="D27" s="1" t="s">
        <v>36</v>
      </c>
      <c r="E27" s="1" t="s">
        <v>39</v>
      </c>
      <c r="F27" s="1">
        <v>3128</v>
      </c>
      <c r="G27" s="1">
        <v>211</v>
      </c>
      <c r="H27" s="1">
        <v>197</v>
      </c>
      <c r="I27" s="1">
        <v>59432</v>
      </c>
      <c r="J27" s="1">
        <v>59182</v>
      </c>
      <c r="K27" s="1">
        <v>238</v>
      </c>
      <c r="L27" s="1" t="s">
        <v>31</v>
      </c>
      <c r="M27" s="1" t="s">
        <v>359</v>
      </c>
      <c r="N27" s="1" t="s">
        <v>359</v>
      </c>
      <c r="O27" s="8" t="s">
        <v>360</v>
      </c>
      <c r="P27" s="15">
        <f>(Table1_145[[#This Row],[Likes]]+Table1_145[[#This Row],[Shares]]+Table1_145[[#This Row],[Comments]])/Table1_145[[#This Row],[Impressions]]</f>
        <v>5.9496567505720827E-2</v>
      </c>
    </row>
    <row r="28" spans="1:16" x14ac:dyDescent="0.3">
      <c r="A28" s="6" t="s">
        <v>71</v>
      </c>
      <c r="B28" s="1" t="s">
        <v>23</v>
      </c>
      <c r="C28" s="7">
        <v>45752</v>
      </c>
      <c r="D28" s="1" t="s">
        <v>15</v>
      </c>
      <c r="E28" s="1" t="s">
        <v>24</v>
      </c>
      <c r="F28" s="1">
        <v>3009</v>
      </c>
      <c r="G28" s="1">
        <v>413</v>
      </c>
      <c r="H28" s="1">
        <v>358</v>
      </c>
      <c r="I28" s="1">
        <v>42126</v>
      </c>
      <c r="J28" s="1">
        <v>41309</v>
      </c>
      <c r="K28" s="1">
        <v>211</v>
      </c>
      <c r="L28" s="1" t="s">
        <v>48</v>
      </c>
      <c r="M28" s="1" t="s">
        <v>359</v>
      </c>
      <c r="N28" s="1" t="s">
        <v>359</v>
      </c>
      <c r="O28" s="8" t="s">
        <v>21</v>
      </c>
      <c r="P28" s="15">
        <f>(Table1_145[[#This Row],[Likes]]+Table1_145[[#This Row],[Shares]]+Table1_145[[#This Row],[Comments]])/Table1_145[[#This Row],[Impressions]]</f>
        <v>8.9730807577268201E-2</v>
      </c>
    </row>
    <row r="29" spans="1:16" x14ac:dyDescent="0.3">
      <c r="A29" s="6" t="s">
        <v>72</v>
      </c>
      <c r="B29" s="1" t="s">
        <v>23</v>
      </c>
      <c r="C29" s="7">
        <v>45552</v>
      </c>
      <c r="D29" s="1" t="s">
        <v>19</v>
      </c>
      <c r="E29" s="1" t="s">
        <v>73</v>
      </c>
      <c r="F29" s="1">
        <v>2076</v>
      </c>
      <c r="G29" s="1">
        <v>195</v>
      </c>
      <c r="H29" s="1">
        <v>104</v>
      </c>
      <c r="I29" s="1">
        <v>33216</v>
      </c>
      <c r="J29" s="1">
        <v>32244</v>
      </c>
      <c r="K29" s="1">
        <v>51</v>
      </c>
      <c r="L29" s="1" t="s">
        <v>48</v>
      </c>
      <c r="M29" s="1" t="s">
        <v>359</v>
      </c>
      <c r="N29" s="1" t="s">
        <v>359</v>
      </c>
      <c r="O29" s="8" t="s">
        <v>32</v>
      </c>
      <c r="P29" s="15">
        <f>(Table1_145[[#This Row],[Likes]]+Table1_145[[#This Row],[Shares]]+Table1_145[[#This Row],[Comments]])/Table1_145[[#This Row],[Impressions]]</f>
        <v>7.1501685934489398E-2</v>
      </c>
    </row>
    <row r="30" spans="1:16" x14ac:dyDescent="0.3">
      <c r="A30" s="6" t="s">
        <v>74</v>
      </c>
      <c r="B30" s="1" t="s">
        <v>28</v>
      </c>
      <c r="C30" s="7">
        <v>45720</v>
      </c>
      <c r="D30" s="1" t="s">
        <v>56</v>
      </c>
      <c r="E30" s="1" t="s">
        <v>63</v>
      </c>
      <c r="F30" s="1">
        <v>432</v>
      </c>
      <c r="G30" s="1">
        <v>624</v>
      </c>
      <c r="H30" s="1">
        <v>123</v>
      </c>
      <c r="I30" s="1">
        <v>6912</v>
      </c>
      <c r="J30" s="1">
        <v>6259</v>
      </c>
      <c r="K30" s="1">
        <v>79</v>
      </c>
      <c r="L30" s="1" t="s">
        <v>48</v>
      </c>
      <c r="M30" s="1" t="s">
        <v>359</v>
      </c>
      <c r="N30" s="1" t="s">
        <v>359</v>
      </c>
      <c r="O30" s="8" t="s">
        <v>32</v>
      </c>
      <c r="P30" s="15">
        <f>(Table1_145[[#This Row],[Likes]]+Table1_145[[#This Row],[Shares]]+Table1_145[[#This Row],[Comments]])/Table1_145[[#This Row],[Impressions]]</f>
        <v>0.17057291666666666</v>
      </c>
    </row>
    <row r="31" spans="1:16" x14ac:dyDescent="0.3">
      <c r="A31" s="6" t="s">
        <v>75</v>
      </c>
      <c r="B31" s="1" t="s">
        <v>28</v>
      </c>
      <c r="C31" s="7">
        <v>45688</v>
      </c>
      <c r="D31" s="1" t="s">
        <v>36</v>
      </c>
      <c r="E31" s="1" t="s">
        <v>65</v>
      </c>
      <c r="F31" s="1">
        <v>2566</v>
      </c>
      <c r="G31" s="1">
        <v>118</v>
      </c>
      <c r="H31" s="1">
        <v>37</v>
      </c>
      <c r="I31" s="1">
        <v>12830</v>
      </c>
      <c r="J31" s="1">
        <v>12264</v>
      </c>
      <c r="K31" s="1">
        <v>221</v>
      </c>
      <c r="L31" s="1" t="s">
        <v>48</v>
      </c>
      <c r="M31" s="1" t="s">
        <v>359</v>
      </c>
      <c r="N31" s="1" t="s">
        <v>359</v>
      </c>
      <c r="O31" s="8" t="s">
        <v>26</v>
      </c>
      <c r="P31" s="15">
        <f>(Table1_145[[#This Row],[Likes]]+Table1_145[[#This Row],[Shares]]+Table1_145[[#This Row],[Comments]])/Table1_145[[#This Row],[Impressions]]</f>
        <v>0.21208106001558846</v>
      </c>
    </row>
    <row r="32" spans="1:16" x14ac:dyDescent="0.3">
      <c r="A32" s="6" t="s">
        <v>76</v>
      </c>
      <c r="B32" s="1" t="s">
        <v>28</v>
      </c>
      <c r="C32" s="7">
        <v>45713</v>
      </c>
      <c r="D32" s="1" t="s">
        <v>56</v>
      </c>
      <c r="E32" s="1" t="s">
        <v>63</v>
      </c>
      <c r="F32" s="1">
        <v>3095</v>
      </c>
      <c r="G32" s="1">
        <v>39</v>
      </c>
      <c r="H32" s="1">
        <v>78</v>
      </c>
      <c r="I32" s="1">
        <v>55710</v>
      </c>
      <c r="J32" s="1">
        <v>54808</v>
      </c>
      <c r="K32" s="1">
        <v>93</v>
      </c>
      <c r="L32" s="1" t="s">
        <v>31</v>
      </c>
      <c r="M32" s="1" t="s">
        <v>359</v>
      </c>
      <c r="N32" s="1" t="s">
        <v>359</v>
      </c>
      <c r="O32" s="8" t="s">
        <v>360</v>
      </c>
      <c r="P32" s="15">
        <f>(Table1_145[[#This Row],[Likes]]+Table1_145[[#This Row],[Shares]]+Table1_145[[#This Row],[Comments]])/Table1_145[[#This Row],[Impressions]]</f>
        <v>5.7655717106444085E-2</v>
      </c>
    </row>
    <row r="33" spans="1:16" x14ac:dyDescent="0.3">
      <c r="A33" s="6" t="s">
        <v>77</v>
      </c>
      <c r="B33" s="1" t="s">
        <v>28</v>
      </c>
      <c r="C33" s="7">
        <v>45642</v>
      </c>
      <c r="D33" s="1" t="s">
        <v>19</v>
      </c>
      <c r="E33" s="1" t="s">
        <v>78</v>
      </c>
      <c r="F33" s="1">
        <v>438</v>
      </c>
      <c r="G33" s="1">
        <v>153</v>
      </c>
      <c r="H33" s="1">
        <v>275</v>
      </c>
      <c r="I33" s="1">
        <v>3066</v>
      </c>
      <c r="J33" s="1">
        <v>2701</v>
      </c>
      <c r="K33" s="1">
        <v>282</v>
      </c>
      <c r="L33" s="1" t="s">
        <v>25</v>
      </c>
      <c r="M33" s="1" t="s">
        <v>359</v>
      </c>
      <c r="N33" s="1" t="s">
        <v>359</v>
      </c>
      <c r="O33" s="8" t="s">
        <v>21</v>
      </c>
      <c r="P33" s="15">
        <f>(Table1_145[[#This Row],[Likes]]+Table1_145[[#This Row],[Shares]]+Table1_145[[#This Row],[Comments]])/Table1_145[[#This Row],[Impressions]]</f>
        <v>0.28245270711024134</v>
      </c>
    </row>
    <row r="34" spans="1:16" x14ac:dyDescent="0.3">
      <c r="A34" s="6" t="s">
        <v>79</v>
      </c>
      <c r="B34" s="1" t="s">
        <v>14</v>
      </c>
      <c r="C34" s="7">
        <v>45504</v>
      </c>
      <c r="D34" s="1" t="s">
        <v>36</v>
      </c>
      <c r="E34" s="1" t="s">
        <v>39</v>
      </c>
      <c r="F34" s="1">
        <v>2278</v>
      </c>
      <c r="G34" s="1">
        <v>10</v>
      </c>
      <c r="H34" s="1">
        <v>321</v>
      </c>
      <c r="I34" s="1">
        <v>13668</v>
      </c>
      <c r="J34" s="1">
        <v>12676</v>
      </c>
      <c r="K34" s="1">
        <v>275</v>
      </c>
      <c r="L34" s="1" t="s">
        <v>31</v>
      </c>
      <c r="M34" s="1" t="s">
        <v>359</v>
      </c>
      <c r="N34" s="1" t="s">
        <v>359</v>
      </c>
      <c r="O34" s="8" t="s">
        <v>17</v>
      </c>
      <c r="P34" s="15">
        <f>(Table1_145[[#This Row],[Likes]]+Table1_145[[#This Row],[Shares]]+Table1_145[[#This Row],[Comments]])/Table1_145[[#This Row],[Impressions]]</f>
        <v>0.19088381621305239</v>
      </c>
    </row>
    <row r="35" spans="1:16" x14ac:dyDescent="0.3">
      <c r="A35" s="6" t="s">
        <v>80</v>
      </c>
      <c r="B35" s="1" t="s">
        <v>35</v>
      </c>
      <c r="C35" s="7">
        <v>45525</v>
      </c>
      <c r="D35" s="1" t="s">
        <v>41</v>
      </c>
      <c r="E35" s="1" t="s">
        <v>46</v>
      </c>
      <c r="F35" s="1">
        <v>1407</v>
      </c>
      <c r="G35" s="1">
        <v>400</v>
      </c>
      <c r="H35" s="1">
        <v>351</v>
      </c>
      <c r="I35" s="1">
        <v>16884</v>
      </c>
      <c r="J35" s="1">
        <v>15954</v>
      </c>
      <c r="K35" s="1">
        <v>113</v>
      </c>
      <c r="L35" s="1" t="s">
        <v>25</v>
      </c>
      <c r="M35" s="1" t="s">
        <v>359</v>
      </c>
      <c r="N35" s="1" t="s">
        <v>359</v>
      </c>
      <c r="O35" s="8" t="s">
        <v>17</v>
      </c>
      <c r="P35" s="15">
        <f>(Table1_145[[#This Row],[Likes]]+Table1_145[[#This Row],[Shares]]+Table1_145[[#This Row],[Comments]])/Table1_145[[#This Row],[Impressions]]</f>
        <v>0.12781331438047855</v>
      </c>
    </row>
    <row r="36" spans="1:16" x14ac:dyDescent="0.3">
      <c r="A36" s="6" t="s">
        <v>81</v>
      </c>
      <c r="B36" s="1" t="s">
        <v>35</v>
      </c>
      <c r="C36" s="7">
        <v>45742</v>
      </c>
      <c r="D36" s="1" t="s">
        <v>19</v>
      </c>
      <c r="E36" s="1" t="s">
        <v>44</v>
      </c>
      <c r="F36" s="1">
        <v>1652</v>
      </c>
      <c r="G36" s="1">
        <v>89</v>
      </c>
      <c r="H36" s="1">
        <v>357</v>
      </c>
      <c r="I36" s="1">
        <v>29736</v>
      </c>
      <c r="J36" s="1">
        <v>28771</v>
      </c>
      <c r="K36" s="1">
        <v>215</v>
      </c>
      <c r="L36" s="1" t="s">
        <v>25</v>
      </c>
      <c r="M36" s="1" t="s">
        <v>359</v>
      </c>
      <c r="N36" s="1" t="s">
        <v>359</v>
      </c>
      <c r="O36" s="8" t="s">
        <v>26</v>
      </c>
      <c r="P36" s="15">
        <f>(Table1_145[[#This Row],[Likes]]+Table1_145[[#This Row],[Shares]]+Table1_145[[#This Row],[Comments]])/Table1_145[[#This Row],[Impressions]]</f>
        <v>7.055421038471886E-2</v>
      </c>
    </row>
    <row r="37" spans="1:16" x14ac:dyDescent="0.3">
      <c r="A37" s="6" t="s">
        <v>82</v>
      </c>
      <c r="B37" s="1" t="s">
        <v>28</v>
      </c>
      <c r="C37" s="7">
        <v>45626</v>
      </c>
      <c r="D37" s="1" t="s">
        <v>56</v>
      </c>
      <c r="E37" s="1" t="s">
        <v>63</v>
      </c>
      <c r="F37" s="1">
        <v>3775</v>
      </c>
      <c r="G37" s="1">
        <v>16</v>
      </c>
      <c r="H37" s="1">
        <v>239</v>
      </c>
      <c r="I37" s="1">
        <v>33975</v>
      </c>
      <c r="J37" s="1">
        <v>33310</v>
      </c>
      <c r="K37" s="1">
        <v>271</v>
      </c>
      <c r="L37" s="1" t="s">
        <v>48</v>
      </c>
      <c r="M37" s="1" t="s">
        <v>359</v>
      </c>
      <c r="N37" s="1" t="s">
        <v>359</v>
      </c>
      <c r="O37" s="8" t="s">
        <v>21</v>
      </c>
      <c r="P37" s="15">
        <f>(Table1_145[[#This Row],[Likes]]+Table1_145[[#This Row],[Shares]]+Table1_145[[#This Row],[Comments]])/Table1_145[[#This Row],[Impressions]]</f>
        <v>0.11861662987490802</v>
      </c>
    </row>
    <row r="38" spans="1:16" x14ac:dyDescent="0.3">
      <c r="A38" s="6" t="s">
        <v>83</v>
      </c>
      <c r="B38" s="1" t="s">
        <v>28</v>
      </c>
      <c r="C38" s="7">
        <v>45766</v>
      </c>
      <c r="D38" s="1" t="s">
        <v>29</v>
      </c>
      <c r="E38" s="1" t="s">
        <v>30</v>
      </c>
      <c r="F38" s="1">
        <v>4518</v>
      </c>
      <c r="G38" s="1">
        <v>285</v>
      </c>
      <c r="H38" s="1">
        <v>383</v>
      </c>
      <c r="I38" s="1">
        <v>67770</v>
      </c>
      <c r="J38" s="1">
        <v>67621</v>
      </c>
      <c r="K38" s="1">
        <v>31</v>
      </c>
      <c r="L38" s="1" t="s">
        <v>31</v>
      </c>
      <c r="M38" s="1" t="s">
        <v>359</v>
      </c>
      <c r="N38" s="1" t="s">
        <v>359</v>
      </c>
      <c r="O38" s="8" t="s">
        <v>21</v>
      </c>
      <c r="P38" s="15">
        <f>(Table1_145[[#This Row],[Likes]]+Table1_145[[#This Row],[Shares]]+Table1_145[[#This Row],[Comments]])/Table1_145[[#This Row],[Impressions]]</f>
        <v>7.6523535487678915E-2</v>
      </c>
    </row>
    <row r="39" spans="1:16" x14ac:dyDescent="0.3">
      <c r="A39" s="6" t="s">
        <v>84</v>
      </c>
      <c r="B39" s="1" t="s">
        <v>35</v>
      </c>
      <c r="C39" s="7">
        <v>45663</v>
      </c>
      <c r="D39" s="1" t="s">
        <v>36</v>
      </c>
      <c r="E39" s="1" t="s">
        <v>37</v>
      </c>
      <c r="F39" s="1">
        <v>3024</v>
      </c>
      <c r="G39" s="1">
        <v>925</v>
      </c>
      <c r="H39" s="1">
        <v>350</v>
      </c>
      <c r="I39" s="1">
        <v>24192</v>
      </c>
      <c r="J39" s="1">
        <v>23518</v>
      </c>
      <c r="K39" s="1">
        <v>36</v>
      </c>
      <c r="L39" s="1" t="s">
        <v>31</v>
      </c>
      <c r="M39" s="1" t="s">
        <v>359</v>
      </c>
      <c r="N39" s="1" t="s">
        <v>359</v>
      </c>
      <c r="O39" s="8" t="s">
        <v>21</v>
      </c>
      <c r="P39" s="15">
        <f>(Table1_145[[#This Row],[Likes]]+Table1_145[[#This Row],[Shares]]+Table1_145[[#This Row],[Comments]])/Table1_145[[#This Row],[Impressions]]</f>
        <v>0.17770337301587302</v>
      </c>
    </row>
    <row r="40" spans="1:16" x14ac:dyDescent="0.3">
      <c r="A40" s="6" t="s">
        <v>85</v>
      </c>
      <c r="B40" s="1" t="s">
        <v>23</v>
      </c>
      <c r="C40" s="7">
        <v>45705</v>
      </c>
      <c r="D40" s="1" t="s">
        <v>15</v>
      </c>
      <c r="E40" s="1" t="s">
        <v>24</v>
      </c>
      <c r="F40" s="1">
        <v>3138</v>
      </c>
      <c r="G40" s="1">
        <v>123</v>
      </c>
      <c r="H40" s="1">
        <v>291</v>
      </c>
      <c r="I40" s="1">
        <v>28242</v>
      </c>
      <c r="J40" s="1">
        <v>27550</v>
      </c>
      <c r="K40" s="1">
        <v>87</v>
      </c>
      <c r="L40" s="1" t="s">
        <v>25</v>
      </c>
      <c r="M40" s="1" t="s">
        <v>359</v>
      </c>
      <c r="N40" s="1" t="s">
        <v>359</v>
      </c>
      <c r="O40" s="8" t="s">
        <v>32</v>
      </c>
      <c r="P40" s="15">
        <f>(Table1_145[[#This Row],[Likes]]+Table1_145[[#This Row],[Shares]]+Table1_145[[#This Row],[Comments]])/Table1_145[[#This Row],[Impressions]]</f>
        <v>0.12577012959422137</v>
      </c>
    </row>
    <row r="41" spans="1:16" x14ac:dyDescent="0.3">
      <c r="A41" s="6" t="s">
        <v>86</v>
      </c>
      <c r="B41" s="1" t="s">
        <v>35</v>
      </c>
      <c r="C41" s="7">
        <v>45621</v>
      </c>
      <c r="D41" s="1" t="s">
        <v>41</v>
      </c>
      <c r="E41" s="1" t="s">
        <v>46</v>
      </c>
      <c r="F41" s="1">
        <v>3564</v>
      </c>
      <c r="G41" s="1">
        <v>629</v>
      </c>
      <c r="H41" s="1">
        <v>177</v>
      </c>
      <c r="I41" s="1">
        <v>60588</v>
      </c>
      <c r="J41" s="1">
        <v>59627</v>
      </c>
      <c r="K41" s="1">
        <v>92</v>
      </c>
      <c r="L41" s="1" t="s">
        <v>25</v>
      </c>
      <c r="M41" s="1" t="s">
        <v>359</v>
      </c>
      <c r="N41" s="1" t="s">
        <v>359</v>
      </c>
      <c r="O41" s="8" t="s">
        <v>360</v>
      </c>
      <c r="P41" s="15">
        <f>(Table1_145[[#This Row],[Likes]]+Table1_145[[#This Row],[Shares]]+Table1_145[[#This Row],[Comments]])/Table1_145[[#This Row],[Impressions]]</f>
        <v>7.2126493695121141E-2</v>
      </c>
    </row>
    <row r="42" spans="1:16" x14ac:dyDescent="0.3">
      <c r="A42" s="6" t="s">
        <v>87</v>
      </c>
      <c r="B42" s="1" t="s">
        <v>14</v>
      </c>
      <c r="C42" s="7">
        <v>45723</v>
      </c>
      <c r="D42" s="1" t="s">
        <v>41</v>
      </c>
      <c r="E42" s="1" t="s">
        <v>88</v>
      </c>
      <c r="F42" s="1">
        <v>4750</v>
      </c>
      <c r="G42" s="1">
        <v>151</v>
      </c>
      <c r="H42" s="1">
        <v>415</v>
      </c>
      <c r="I42" s="1">
        <v>38000</v>
      </c>
      <c r="J42" s="1">
        <v>37792</v>
      </c>
      <c r="K42" s="1">
        <v>299</v>
      </c>
      <c r="L42" s="1" t="s">
        <v>31</v>
      </c>
      <c r="M42" s="1" t="s">
        <v>359</v>
      </c>
      <c r="N42" s="1" t="s">
        <v>359</v>
      </c>
      <c r="O42" s="8" t="s">
        <v>32</v>
      </c>
      <c r="P42" s="15">
        <f>(Table1_145[[#This Row],[Likes]]+Table1_145[[#This Row],[Shares]]+Table1_145[[#This Row],[Comments]])/Table1_145[[#This Row],[Impressions]]</f>
        <v>0.13989473684210527</v>
      </c>
    </row>
    <row r="43" spans="1:16" x14ac:dyDescent="0.3">
      <c r="A43" s="6" t="s">
        <v>89</v>
      </c>
      <c r="B43" s="1" t="s">
        <v>28</v>
      </c>
      <c r="C43" s="7">
        <v>45724</v>
      </c>
      <c r="D43" s="1" t="s">
        <v>15</v>
      </c>
      <c r="E43" s="1" t="s">
        <v>61</v>
      </c>
      <c r="F43" s="1">
        <v>456</v>
      </c>
      <c r="G43" s="1">
        <v>629</v>
      </c>
      <c r="H43" s="1">
        <v>428</v>
      </c>
      <c r="I43" s="1">
        <v>8208</v>
      </c>
      <c r="J43" s="1">
        <v>7377</v>
      </c>
      <c r="K43" s="1">
        <v>205</v>
      </c>
      <c r="L43" s="1" t="s">
        <v>48</v>
      </c>
      <c r="M43" s="1" t="s">
        <v>359</v>
      </c>
      <c r="N43" s="1" t="s">
        <v>359</v>
      </c>
      <c r="O43" s="8" t="s">
        <v>32</v>
      </c>
      <c r="P43" s="15">
        <f>(Table1_145[[#This Row],[Likes]]+Table1_145[[#This Row],[Shares]]+Table1_145[[#This Row],[Comments]])/Table1_145[[#This Row],[Impressions]]</f>
        <v>0.18433235867446393</v>
      </c>
    </row>
    <row r="44" spans="1:16" x14ac:dyDescent="0.3">
      <c r="A44" s="6" t="s">
        <v>90</v>
      </c>
      <c r="B44" s="1" t="s">
        <v>23</v>
      </c>
      <c r="C44" s="7">
        <v>45721</v>
      </c>
      <c r="D44" s="1" t="s">
        <v>15</v>
      </c>
      <c r="E44" s="1" t="s">
        <v>24</v>
      </c>
      <c r="F44" s="1">
        <v>1543</v>
      </c>
      <c r="G44" s="1">
        <v>820</v>
      </c>
      <c r="H44" s="1">
        <v>333</v>
      </c>
      <c r="I44" s="1">
        <v>12344</v>
      </c>
      <c r="J44" s="1">
        <v>11496</v>
      </c>
      <c r="K44" s="1">
        <v>241</v>
      </c>
      <c r="L44" s="1" t="s">
        <v>31</v>
      </c>
      <c r="M44" s="1" t="s">
        <v>359</v>
      </c>
      <c r="N44" s="1" t="s">
        <v>359</v>
      </c>
      <c r="O44" s="8" t="s">
        <v>360</v>
      </c>
      <c r="P44" s="15">
        <f>(Table1_145[[#This Row],[Likes]]+Table1_145[[#This Row],[Shares]]+Table1_145[[#This Row],[Comments]])/Table1_145[[#This Row],[Impressions]]</f>
        <v>0.21840570317563188</v>
      </c>
    </row>
    <row r="45" spans="1:16" x14ac:dyDescent="0.3">
      <c r="A45" s="6" t="s">
        <v>91</v>
      </c>
      <c r="B45" s="1" t="s">
        <v>28</v>
      </c>
      <c r="C45" s="7">
        <v>45640</v>
      </c>
      <c r="D45" s="1" t="s">
        <v>36</v>
      </c>
      <c r="E45" s="1" t="s">
        <v>65</v>
      </c>
      <c r="F45" s="1">
        <v>2174</v>
      </c>
      <c r="G45" s="1">
        <v>658</v>
      </c>
      <c r="H45" s="1">
        <v>15</v>
      </c>
      <c r="I45" s="1">
        <v>13044</v>
      </c>
      <c r="J45" s="1">
        <v>12206</v>
      </c>
      <c r="K45" s="1">
        <v>137</v>
      </c>
      <c r="L45" s="1" t="s">
        <v>25</v>
      </c>
      <c r="M45" s="1" t="s">
        <v>359</v>
      </c>
      <c r="N45" s="1" t="s">
        <v>359</v>
      </c>
      <c r="O45" s="8" t="s">
        <v>26</v>
      </c>
      <c r="P45" s="15">
        <f>(Table1_145[[#This Row],[Likes]]+Table1_145[[#This Row],[Shares]]+Table1_145[[#This Row],[Comments]])/Table1_145[[#This Row],[Impressions]]</f>
        <v>0.21826126954921804</v>
      </c>
    </row>
    <row r="46" spans="1:16" x14ac:dyDescent="0.3">
      <c r="A46" s="6" t="s">
        <v>92</v>
      </c>
      <c r="B46" s="1" t="s">
        <v>14</v>
      </c>
      <c r="C46" s="7">
        <v>45718</v>
      </c>
      <c r="D46" s="1" t="s">
        <v>41</v>
      </c>
      <c r="E46" s="1" t="s">
        <v>88</v>
      </c>
      <c r="F46" s="1">
        <v>2358</v>
      </c>
      <c r="G46" s="1">
        <v>784</v>
      </c>
      <c r="H46" s="1">
        <v>344</v>
      </c>
      <c r="I46" s="1">
        <v>35370</v>
      </c>
      <c r="J46" s="1">
        <v>34475</v>
      </c>
      <c r="K46" s="1">
        <v>216</v>
      </c>
      <c r="L46" s="1" t="s">
        <v>25</v>
      </c>
      <c r="M46" s="1" t="s">
        <v>359</v>
      </c>
      <c r="N46" s="1" t="s">
        <v>359</v>
      </c>
      <c r="O46" s="8" t="s">
        <v>360</v>
      </c>
      <c r="P46" s="15">
        <f>(Table1_145[[#This Row],[Likes]]+Table1_145[[#This Row],[Shares]]+Table1_145[[#This Row],[Comments]])/Table1_145[[#This Row],[Impressions]]</f>
        <v>9.8558100084817649E-2</v>
      </c>
    </row>
    <row r="47" spans="1:16" x14ac:dyDescent="0.3">
      <c r="A47" s="6" t="s">
        <v>93</v>
      </c>
      <c r="B47" s="1" t="s">
        <v>35</v>
      </c>
      <c r="C47" s="7">
        <v>45597</v>
      </c>
      <c r="D47" s="1" t="s">
        <v>56</v>
      </c>
      <c r="E47" s="1" t="s">
        <v>57</v>
      </c>
      <c r="F47" s="1">
        <v>3371</v>
      </c>
      <c r="G47" s="1">
        <v>106</v>
      </c>
      <c r="H47" s="1">
        <v>327</v>
      </c>
      <c r="I47" s="1">
        <v>50565</v>
      </c>
      <c r="J47" s="1">
        <v>49816</v>
      </c>
      <c r="K47" s="1">
        <v>176</v>
      </c>
      <c r="L47" s="1" t="s">
        <v>48</v>
      </c>
      <c r="M47" s="1" t="s">
        <v>359</v>
      </c>
      <c r="N47" s="1" t="s">
        <v>359</v>
      </c>
      <c r="O47" s="8" t="s">
        <v>17</v>
      </c>
      <c r="P47" s="15">
        <f>(Table1_145[[#This Row],[Likes]]+Table1_145[[#This Row],[Shares]]+Table1_145[[#This Row],[Comments]])/Table1_145[[#This Row],[Impressions]]</f>
        <v>7.5229902106199939E-2</v>
      </c>
    </row>
    <row r="48" spans="1:16" x14ac:dyDescent="0.3">
      <c r="A48" s="6" t="s">
        <v>94</v>
      </c>
      <c r="B48" s="1" t="s">
        <v>14</v>
      </c>
      <c r="C48" s="7">
        <v>45779</v>
      </c>
      <c r="D48" s="1" t="s">
        <v>56</v>
      </c>
      <c r="E48" s="1" t="s">
        <v>95</v>
      </c>
      <c r="F48" s="1">
        <v>1108</v>
      </c>
      <c r="G48" s="1">
        <v>177</v>
      </c>
      <c r="H48" s="1">
        <v>212</v>
      </c>
      <c r="I48" s="1">
        <v>8864</v>
      </c>
      <c r="J48" s="1">
        <v>8710</v>
      </c>
      <c r="K48" s="1">
        <v>97</v>
      </c>
      <c r="L48" s="1" t="s">
        <v>25</v>
      </c>
      <c r="M48" s="1" t="s">
        <v>359</v>
      </c>
      <c r="N48" s="1" t="s">
        <v>359</v>
      </c>
      <c r="O48" s="8" t="s">
        <v>32</v>
      </c>
      <c r="P48" s="15">
        <f>(Table1_145[[#This Row],[Likes]]+Table1_145[[#This Row],[Shares]]+Table1_145[[#This Row],[Comments]])/Table1_145[[#This Row],[Impressions]]</f>
        <v>0.16888537906137185</v>
      </c>
    </row>
    <row r="49" spans="1:16" x14ac:dyDescent="0.3">
      <c r="A49" s="6" t="s">
        <v>96</v>
      </c>
      <c r="B49" s="1" t="s">
        <v>14</v>
      </c>
      <c r="C49" s="7">
        <v>45712</v>
      </c>
      <c r="D49" s="1" t="s">
        <v>36</v>
      </c>
      <c r="E49" s="1" t="s">
        <v>39</v>
      </c>
      <c r="F49" s="1">
        <v>2704</v>
      </c>
      <c r="G49" s="1">
        <v>752</v>
      </c>
      <c r="H49" s="1">
        <v>153</v>
      </c>
      <c r="I49" s="1">
        <v>21632</v>
      </c>
      <c r="J49" s="1">
        <v>20792</v>
      </c>
      <c r="K49" s="1">
        <v>127</v>
      </c>
      <c r="L49" s="1" t="s">
        <v>48</v>
      </c>
      <c r="M49" s="1" t="s">
        <v>359</v>
      </c>
      <c r="N49" s="1" t="s">
        <v>359</v>
      </c>
      <c r="O49" s="8" t="s">
        <v>360</v>
      </c>
      <c r="P49" s="15">
        <f>(Table1_145[[#This Row],[Likes]]+Table1_145[[#This Row],[Shares]]+Table1_145[[#This Row],[Comments]])/Table1_145[[#This Row],[Impressions]]</f>
        <v>0.16683616863905326</v>
      </c>
    </row>
    <row r="50" spans="1:16" x14ac:dyDescent="0.3">
      <c r="A50" s="6" t="s">
        <v>97</v>
      </c>
      <c r="B50" s="1" t="s">
        <v>14</v>
      </c>
      <c r="C50" s="7">
        <v>45727</v>
      </c>
      <c r="D50" s="1" t="s">
        <v>29</v>
      </c>
      <c r="E50" s="1" t="s">
        <v>98</v>
      </c>
      <c r="F50" s="1">
        <v>1950</v>
      </c>
      <c r="G50" s="1">
        <v>295</v>
      </c>
      <c r="H50" s="1">
        <v>478</v>
      </c>
      <c r="I50" s="1">
        <v>37050</v>
      </c>
      <c r="J50" s="1">
        <v>36272</v>
      </c>
      <c r="K50" s="1">
        <v>119</v>
      </c>
      <c r="L50" s="1" t="s">
        <v>25</v>
      </c>
      <c r="M50" s="1" t="s">
        <v>359</v>
      </c>
      <c r="N50" s="1" t="s">
        <v>359</v>
      </c>
      <c r="O50" s="8" t="s">
        <v>360</v>
      </c>
      <c r="P50" s="15">
        <f>(Table1_145[[#This Row],[Likes]]+Table1_145[[#This Row],[Shares]]+Table1_145[[#This Row],[Comments]])/Table1_145[[#This Row],[Impressions]]</f>
        <v>7.349527665317139E-2</v>
      </c>
    </row>
    <row r="51" spans="1:16" x14ac:dyDescent="0.3">
      <c r="A51" s="6" t="s">
        <v>99</v>
      </c>
      <c r="B51" s="1" t="s">
        <v>14</v>
      </c>
      <c r="C51" s="7">
        <v>45453</v>
      </c>
      <c r="D51" s="1" t="s">
        <v>29</v>
      </c>
      <c r="E51" s="1" t="s">
        <v>98</v>
      </c>
      <c r="F51" s="1">
        <v>2164</v>
      </c>
      <c r="G51" s="1">
        <v>549</v>
      </c>
      <c r="H51" s="1">
        <v>274</v>
      </c>
      <c r="I51" s="1">
        <v>28132</v>
      </c>
      <c r="J51" s="1">
        <v>27361</v>
      </c>
      <c r="K51" s="1">
        <v>177</v>
      </c>
      <c r="L51" s="1" t="s">
        <v>25</v>
      </c>
      <c r="M51" s="1" t="s">
        <v>359</v>
      </c>
      <c r="N51" s="1" t="s">
        <v>359</v>
      </c>
      <c r="O51" s="8" t="s">
        <v>32</v>
      </c>
      <c r="P51" s="15">
        <f>(Table1_145[[#This Row],[Likes]]+Table1_145[[#This Row],[Shares]]+Table1_145[[#This Row],[Comments]])/Table1_145[[#This Row],[Impressions]]</f>
        <v>0.10617801791554102</v>
      </c>
    </row>
    <row r="52" spans="1:16" x14ac:dyDescent="0.3">
      <c r="A52" s="6" t="s">
        <v>100</v>
      </c>
      <c r="B52" s="1" t="s">
        <v>23</v>
      </c>
      <c r="C52" s="7">
        <v>45476</v>
      </c>
      <c r="D52" s="1" t="s">
        <v>29</v>
      </c>
      <c r="E52" s="1" t="s">
        <v>101</v>
      </c>
      <c r="F52" s="1">
        <v>2754</v>
      </c>
      <c r="G52" s="1">
        <v>130</v>
      </c>
      <c r="H52" s="1">
        <v>90</v>
      </c>
      <c r="I52" s="1">
        <v>22032</v>
      </c>
      <c r="J52" s="1">
        <v>21288</v>
      </c>
      <c r="K52" s="1">
        <v>112</v>
      </c>
      <c r="L52" s="1" t="s">
        <v>25</v>
      </c>
      <c r="M52" s="1" t="s">
        <v>359</v>
      </c>
      <c r="N52" s="1" t="s">
        <v>359</v>
      </c>
      <c r="O52" s="8" t="s">
        <v>26</v>
      </c>
      <c r="P52" s="15">
        <f>(Table1_145[[#This Row],[Likes]]+Table1_145[[#This Row],[Shares]]+Table1_145[[#This Row],[Comments]])/Table1_145[[#This Row],[Impressions]]</f>
        <v>0.13498547567175018</v>
      </c>
    </row>
    <row r="53" spans="1:16" x14ac:dyDescent="0.3">
      <c r="A53" s="6" t="s">
        <v>102</v>
      </c>
      <c r="B53" s="1" t="s">
        <v>35</v>
      </c>
      <c r="C53" s="7">
        <v>45456</v>
      </c>
      <c r="D53" s="1" t="s">
        <v>36</v>
      </c>
      <c r="E53" s="1" t="s">
        <v>37</v>
      </c>
      <c r="F53" s="1">
        <v>2200</v>
      </c>
      <c r="G53" s="1">
        <v>504</v>
      </c>
      <c r="H53" s="1">
        <v>239</v>
      </c>
      <c r="I53" s="1">
        <v>37400</v>
      </c>
      <c r="J53" s="1">
        <v>36938</v>
      </c>
      <c r="K53" s="1">
        <v>225</v>
      </c>
      <c r="L53" s="1" t="s">
        <v>48</v>
      </c>
      <c r="M53" s="1" t="s">
        <v>359</v>
      </c>
      <c r="N53" s="1" t="s">
        <v>359</v>
      </c>
      <c r="O53" s="8" t="s">
        <v>21</v>
      </c>
      <c r="P53" s="15">
        <f>(Table1_145[[#This Row],[Likes]]+Table1_145[[#This Row],[Shares]]+Table1_145[[#This Row],[Comments]])/Table1_145[[#This Row],[Impressions]]</f>
        <v>7.8689839572192513E-2</v>
      </c>
    </row>
    <row r="54" spans="1:16" x14ac:dyDescent="0.3">
      <c r="A54" s="6" t="s">
        <v>103</v>
      </c>
      <c r="B54" s="1" t="s">
        <v>35</v>
      </c>
      <c r="C54" s="7">
        <v>45660</v>
      </c>
      <c r="D54" s="1" t="s">
        <v>41</v>
      </c>
      <c r="E54" s="1" t="s">
        <v>46</v>
      </c>
      <c r="F54" s="1">
        <v>947</v>
      </c>
      <c r="G54" s="1">
        <v>338</v>
      </c>
      <c r="H54" s="1">
        <v>350</v>
      </c>
      <c r="I54" s="1">
        <v>10417</v>
      </c>
      <c r="J54" s="1">
        <v>9730</v>
      </c>
      <c r="K54" s="1">
        <v>34</v>
      </c>
      <c r="L54" s="1" t="s">
        <v>25</v>
      </c>
      <c r="M54" s="1" t="s">
        <v>359</v>
      </c>
      <c r="N54" s="1" t="s">
        <v>359</v>
      </c>
      <c r="O54" s="8" t="s">
        <v>32</v>
      </c>
      <c r="P54" s="15">
        <f>(Table1_145[[#This Row],[Likes]]+Table1_145[[#This Row],[Shares]]+Table1_145[[#This Row],[Comments]])/Table1_145[[#This Row],[Impressions]]</f>
        <v>0.1569549774407219</v>
      </c>
    </row>
    <row r="55" spans="1:16" x14ac:dyDescent="0.3">
      <c r="A55" s="6" t="s">
        <v>104</v>
      </c>
      <c r="B55" s="1" t="s">
        <v>23</v>
      </c>
      <c r="C55" s="7">
        <v>45712</v>
      </c>
      <c r="D55" s="1" t="s">
        <v>36</v>
      </c>
      <c r="E55" s="1" t="s">
        <v>52</v>
      </c>
      <c r="F55" s="1">
        <v>804</v>
      </c>
      <c r="G55" s="1">
        <v>639</v>
      </c>
      <c r="H55" s="1">
        <v>43</v>
      </c>
      <c r="I55" s="1">
        <v>4020</v>
      </c>
      <c r="J55" s="1">
        <v>3144</v>
      </c>
      <c r="K55" s="1">
        <v>11</v>
      </c>
      <c r="L55" s="1" t="s">
        <v>31</v>
      </c>
      <c r="M55" s="1" t="s">
        <v>355</v>
      </c>
      <c r="N55" s="1" t="s">
        <v>359</v>
      </c>
      <c r="O55" s="8" t="s">
        <v>360</v>
      </c>
      <c r="P55" s="15">
        <f>(Table1_145[[#This Row],[Likes]]+Table1_145[[#This Row],[Shares]]+Table1_145[[#This Row],[Comments]])/Table1_145[[#This Row],[Impressions]]</f>
        <v>0.36965174129353234</v>
      </c>
    </row>
    <row r="56" spans="1:16" x14ac:dyDescent="0.3">
      <c r="A56" s="6" t="s">
        <v>105</v>
      </c>
      <c r="B56" s="1" t="s">
        <v>23</v>
      </c>
      <c r="C56" s="7">
        <v>45729</v>
      </c>
      <c r="D56" s="1" t="s">
        <v>36</v>
      </c>
      <c r="E56" s="1" t="s">
        <v>52</v>
      </c>
      <c r="F56" s="1">
        <v>1686</v>
      </c>
      <c r="G56" s="1">
        <v>904</v>
      </c>
      <c r="H56" s="1">
        <v>472</v>
      </c>
      <c r="I56" s="1">
        <v>18546</v>
      </c>
      <c r="J56" s="1">
        <v>18171</v>
      </c>
      <c r="K56" s="1">
        <v>52</v>
      </c>
      <c r="L56" s="1" t="s">
        <v>48</v>
      </c>
      <c r="M56" s="1" t="s">
        <v>359</v>
      </c>
      <c r="N56" s="1" t="s">
        <v>359</v>
      </c>
      <c r="O56" s="8" t="s">
        <v>21</v>
      </c>
      <c r="P56" s="15">
        <f>(Table1_145[[#This Row],[Likes]]+Table1_145[[#This Row],[Shares]]+Table1_145[[#This Row],[Comments]])/Table1_145[[#This Row],[Impressions]]</f>
        <v>0.16510298716704411</v>
      </c>
    </row>
    <row r="57" spans="1:16" x14ac:dyDescent="0.3">
      <c r="A57" s="6" t="s">
        <v>106</v>
      </c>
      <c r="B57" s="1" t="s">
        <v>35</v>
      </c>
      <c r="C57" s="7">
        <v>45460</v>
      </c>
      <c r="D57" s="1" t="s">
        <v>41</v>
      </c>
      <c r="E57" s="1" t="s">
        <v>46</v>
      </c>
      <c r="F57" s="1">
        <v>1226</v>
      </c>
      <c r="G57" s="1">
        <v>119</v>
      </c>
      <c r="H57" s="1">
        <v>7</v>
      </c>
      <c r="I57" s="1">
        <v>14712</v>
      </c>
      <c r="J57" s="1">
        <v>14049</v>
      </c>
      <c r="K57" s="1">
        <v>123</v>
      </c>
      <c r="L57" s="1" t="s">
        <v>31</v>
      </c>
      <c r="M57" s="1" t="s">
        <v>359</v>
      </c>
      <c r="N57" s="1" t="s">
        <v>359</v>
      </c>
      <c r="O57" s="8" t="s">
        <v>32</v>
      </c>
      <c r="P57" s="15">
        <f>(Table1_145[[#This Row],[Likes]]+Table1_145[[#This Row],[Shares]]+Table1_145[[#This Row],[Comments]])/Table1_145[[#This Row],[Impressions]]</f>
        <v>9.1897770527460579E-2</v>
      </c>
    </row>
    <row r="58" spans="1:16" x14ac:dyDescent="0.3">
      <c r="A58" s="6" t="s">
        <v>107</v>
      </c>
      <c r="B58" s="1" t="s">
        <v>35</v>
      </c>
      <c r="C58" s="7">
        <v>45644</v>
      </c>
      <c r="D58" s="1" t="s">
        <v>36</v>
      </c>
      <c r="E58" s="1" t="s">
        <v>37</v>
      </c>
      <c r="F58" s="1">
        <v>2946</v>
      </c>
      <c r="G58" s="1">
        <v>498</v>
      </c>
      <c r="H58" s="1">
        <v>367</v>
      </c>
      <c r="I58" s="1">
        <v>29460</v>
      </c>
      <c r="J58" s="1">
        <v>28527</v>
      </c>
      <c r="K58" s="1">
        <v>60</v>
      </c>
      <c r="L58" s="1" t="s">
        <v>48</v>
      </c>
      <c r="M58" s="1" t="s">
        <v>359</v>
      </c>
      <c r="N58" s="1" t="s">
        <v>359</v>
      </c>
      <c r="O58" s="8" t="s">
        <v>26</v>
      </c>
      <c r="P58" s="15">
        <f>(Table1_145[[#This Row],[Likes]]+Table1_145[[#This Row],[Shares]]+Table1_145[[#This Row],[Comments]])/Table1_145[[#This Row],[Impressions]]</f>
        <v>0.12936184657162253</v>
      </c>
    </row>
    <row r="59" spans="1:16" x14ac:dyDescent="0.3">
      <c r="A59" s="6" t="s">
        <v>108</v>
      </c>
      <c r="B59" s="1" t="s">
        <v>14</v>
      </c>
      <c r="C59" s="7">
        <v>45586</v>
      </c>
      <c r="D59" s="1" t="s">
        <v>56</v>
      </c>
      <c r="E59" s="1" t="s">
        <v>95</v>
      </c>
      <c r="F59" s="1">
        <v>2825</v>
      </c>
      <c r="G59" s="1">
        <v>535</v>
      </c>
      <c r="H59" s="1">
        <v>295</v>
      </c>
      <c r="I59" s="1">
        <v>45200</v>
      </c>
      <c r="J59" s="1">
        <v>44739</v>
      </c>
      <c r="K59" s="1">
        <v>169</v>
      </c>
      <c r="L59" s="1" t="s">
        <v>25</v>
      </c>
      <c r="M59" s="1" t="s">
        <v>359</v>
      </c>
      <c r="N59" s="1" t="s">
        <v>359</v>
      </c>
      <c r="O59" s="8" t="s">
        <v>17</v>
      </c>
      <c r="P59" s="15">
        <f>(Table1_145[[#This Row],[Likes]]+Table1_145[[#This Row],[Shares]]+Table1_145[[#This Row],[Comments]])/Table1_145[[#This Row],[Impressions]]</f>
        <v>8.0862831858407078E-2</v>
      </c>
    </row>
    <row r="60" spans="1:16" x14ac:dyDescent="0.3">
      <c r="A60" s="6" t="s">
        <v>109</v>
      </c>
      <c r="B60" s="1" t="s">
        <v>28</v>
      </c>
      <c r="C60" s="7">
        <v>45762</v>
      </c>
      <c r="D60" s="1" t="s">
        <v>15</v>
      </c>
      <c r="E60" s="1" t="s">
        <v>61</v>
      </c>
      <c r="F60" s="1">
        <v>103</v>
      </c>
      <c r="G60" s="1">
        <v>770</v>
      </c>
      <c r="H60" s="1">
        <v>19</v>
      </c>
      <c r="I60" s="1">
        <v>1030</v>
      </c>
      <c r="J60" s="1">
        <v>410</v>
      </c>
      <c r="K60" s="1">
        <v>262</v>
      </c>
      <c r="L60" s="1" t="s">
        <v>25</v>
      </c>
      <c r="M60" s="1" t="s">
        <v>359</v>
      </c>
      <c r="N60" s="1" t="s">
        <v>359</v>
      </c>
      <c r="O60" s="8" t="s">
        <v>32</v>
      </c>
      <c r="P60" s="15">
        <f>(Table1_145[[#This Row],[Likes]]+Table1_145[[#This Row],[Shares]]+Table1_145[[#This Row],[Comments]])/Table1_145[[#This Row],[Impressions]]</f>
        <v>0.86601941747572819</v>
      </c>
    </row>
    <row r="61" spans="1:16" x14ac:dyDescent="0.3">
      <c r="A61" s="6" t="s">
        <v>110</v>
      </c>
      <c r="B61" s="1" t="s">
        <v>28</v>
      </c>
      <c r="C61" s="7">
        <v>45465</v>
      </c>
      <c r="D61" s="1" t="s">
        <v>19</v>
      </c>
      <c r="E61" s="1" t="s">
        <v>78</v>
      </c>
      <c r="F61" s="1">
        <v>2180</v>
      </c>
      <c r="G61" s="1">
        <v>263</v>
      </c>
      <c r="H61" s="1">
        <v>387</v>
      </c>
      <c r="I61" s="1">
        <v>30520</v>
      </c>
      <c r="J61" s="1">
        <v>30059</v>
      </c>
      <c r="K61" s="1">
        <v>174</v>
      </c>
      <c r="L61" s="1" t="s">
        <v>31</v>
      </c>
      <c r="M61" s="1" t="s">
        <v>359</v>
      </c>
      <c r="N61" s="1" t="s">
        <v>359</v>
      </c>
      <c r="O61" s="8" t="s">
        <v>360</v>
      </c>
      <c r="P61" s="15">
        <f>(Table1_145[[#This Row],[Likes]]+Table1_145[[#This Row],[Shares]]+Table1_145[[#This Row],[Comments]])/Table1_145[[#This Row],[Impressions]]</f>
        <v>9.2726081258191345E-2</v>
      </c>
    </row>
    <row r="62" spans="1:16" x14ac:dyDescent="0.3">
      <c r="A62" s="6" t="s">
        <v>111</v>
      </c>
      <c r="B62" s="1" t="s">
        <v>28</v>
      </c>
      <c r="C62" s="7">
        <v>45685</v>
      </c>
      <c r="D62" s="1" t="s">
        <v>56</v>
      </c>
      <c r="E62" s="1" t="s">
        <v>63</v>
      </c>
      <c r="F62" s="1">
        <v>904</v>
      </c>
      <c r="G62" s="1">
        <v>973</v>
      </c>
      <c r="H62" s="1">
        <v>63</v>
      </c>
      <c r="I62" s="1">
        <v>11752</v>
      </c>
      <c r="J62" s="1">
        <v>11580</v>
      </c>
      <c r="K62" s="1">
        <v>84</v>
      </c>
      <c r="L62" s="1" t="s">
        <v>31</v>
      </c>
      <c r="M62" s="1" t="s">
        <v>25</v>
      </c>
      <c r="N62" s="1" t="s">
        <v>354</v>
      </c>
      <c r="O62" s="8" t="s">
        <v>26</v>
      </c>
      <c r="P62" s="15">
        <f>(Table1_145[[#This Row],[Likes]]+Table1_145[[#This Row],[Shares]]+Table1_145[[#This Row],[Comments]])/Table1_145[[#This Row],[Impressions]]</f>
        <v>0.1650782845473111</v>
      </c>
    </row>
    <row r="63" spans="1:16" x14ac:dyDescent="0.3">
      <c r="A63" s="6" t="s">
        <v>112</v>
      </c>
      <c r="B63" s="1" t="s">
        <v>14</v>
      </c>
      <c r="C63" s="7">
        <v>45540</v>
      </c>
      <c r="D63" s="1" t="s">
        <v>56</v>
      </c>
      <c r="E63" s="1" t="s">
        <v>95</v>
      </c>
      <c r="F63" s="1">
        <v>4886</v>
      </c>
      <c r="G63" s="1">
        <v>983</v>
      </c>
      <c r="H63" s="1">
        <v>409</v>
      </c>
      <c r="I63" s="1">
        <v>43974</v>
      </c>
      <c r="J63" s="1">
        <v>43239</v>
      </c>
      <c r="K63" s="1">
        <v>65</v>
      </c>
      <c r="L63" s="1" t="s">
        <v>25</v>
      </c>
      <c r="M63" s="1" t="s">
        <v>359</v>
      </c>
      <c r="N63" s="1" t="s">
        <v>359</v>
      </c>
      <c r="O63" s="8" t="s">
        <v>17</v>
      </c>
      <c r="P63" s="15">
        <f>(Table1_145[[#This Row],[Likes]]+Table1_145[[#This Row],[Shares]]+Table1_145[[#This Row],[Comments]])/Table1_145[[#This Row],[Impressions]]</f>
        <v>0.14276618001546368</v>
      </c>
    </row>
    <row r="64" spans="1:16" x14ac:dyDescent="0.3">
      <c r="A64" s="6" t="s">
        <v>113</v>
      </c>
      <c r="B64" s="1" t="s">
        <v>14</v>
      </c>
      <c r="C64" s="7">
        <v>45618</v>
      </c>
      <c r="D64" s="1" t="s">
        <v>36</v>
      </c>
      <c r="E64" s="1" t="s">
        <v>39</v>
      </c>
      <c r="F64" s="1">
        <v>53</v>
      </c>
      <c r="G64" s="1">
        <v>81</v>
      </c>
      <c r="H64" s="1">
        <v>379</v>
      </c>
      <c r="I64" s="1">
        <v>954</v>
      </c>
      <c r="J64" s="1">
        <v>7</v>
      </c>
      <c r="K64" s="1">
        <v>148</v>
      </c>
      <c r="L64" s="1" t="s">
        <v>25</v>
      </c>
      <c r="M64" s="1" t="s">
        <v>359</v>
      </c>
      <c r="N64" s="1" t="s">
        <v>359</v>
      </c>
      <c r="O64" s="8" t="s">
        <v>26</v>
      </c>
      <c r="P64" s="15">
        <f>(Table1_145[[#This Row],[Likes]]+Table1_145[[#This Row],[Shares]]+Table1_145[[#This Row],[Comments]])/Table1_145[[#This Row],[Impressions]]</f>
        <v>0.53773584905660377</v>
      </c>
    </row>
    <row r="65" spans="1:16" x14ac:dyDescent="0.3">
      <c r="A65" s="6" t="s">
        <v>114</v>
      </c>
      <c r="B65" s="1" t="s">
        <v>14</v>
      </c>
      <c r="C65" s="7">
        <v>45504</v>
      </c>
      <c r="D65" s="1" t="s">
        <v>36</v>
      </c>
      <c r="E65" s="1" t="s">
        <v>39</v>
      </c>
      <c r="F65" s="1">
        <v>4507</v>
      </c>
      <c r="G65" s="1">
        <v>217</v>
      </c>
      <c r="H65" s="1">
        <v>13</v>
      </c>
      <c r="I65" s="1">
        <v>90140</v>
      </c>
      <c r="J65" s="1">
        <v>89591</v>
      </c>
      <c r="K65" s="1">
        <v>125</v>
      </c>
      <c r="L65" s="1" t="s">
        <v>48</v>
      </c>
      <c r="M65" s="1" t="s">
        <v>359</v>
      </c>
      <c r="N65" s="1" t="s">
        <v>359</v>
      </c>
      <c r="O65" s="8" t="s">
        <v>26</v>
      </c>
      <c r="P65" s="15">
        <f>(Table1_145[[#This Row],[Likes]]+Table1_145[[#This Row],[Shares]]+Table1_145[[#This Row],[Comments]])/Table1_145[[#This Row],[Impressions]]</f>
        <v>5.2551586421122697E-2</v>
      </c>
    </row>
    <row r="66" spans="1:16" x14ac:dyDescent="0.3">
      <c r="A66" s="6" t="s">
        <v>115</v>
      </c>
      <c r="B66" s="1" t="s">
        <v>35</v>
      </c>
      <c r="C66" s="7">
        <v>45521</v>
      </c>
      <c r="D66" s="1" t="s">
        <v>41</v>
      </c>
      <c r="E66" s="1" t="s">
        <v>46</v>
      </c>
      <c r="F66" s="1">
        <v>2878</v>
      </c>
      <c r="G66" s="1">
        <v>248</v>
      </c>
      <c r="H66" s="1">
        <v>416</v>
      </c>
      <c r="I66" s="1">
        <v>43170</v>
      </c>
      <c r="J66" s="1">
        <v>42667</v>
      </c>
      <c r="K66" s="1">
        <v>75</v>
      </c>
      <c r="L66" s="1" t="s">
        <v>48</v>
      </c>
      <c r="M66" s="1" t="s">
        <v>359</v>
      </c>
      <c r="N66" s="1" t="s">
        <v>359</v>
      </c>
      <c r="O66" s="8" t="s">
        <v>26</v>
      </c>
      <c r="P66" s="15">
        <f>(Table1_145[[#This Row],[Likes]]+Table1_145[[#This Row],[Shares]]+Table1_145[[#This Row],[Comments]])/Table1_145[[#This Row],[Impressions]]</f>
        <v>8.2047718322909427E-2</v>
      </c>
    </row>
    <row r="67" spans="1:16" x14ac:dyDescent="0.3">
      <c r="A67" s="6" t="s">
        <v>116</v>
      </c>
      <c r="B67" s="1" t="s">
        <v>28</v>
      </c>
      <c r="C67" s="7">
        <v>45744</v>
      </c>
      <c r="D67" s="1" t="s">
        <v>29</v>
      </c>
      <c r="E67" s="1" t="s">
        <v>30</v>
      </c>
      <c r="F67" s="1">
        <v>1881</v>
      </c>
      <c r="G67" s="1">
        <v>501</v>
      </c>
      <c r="H67" s="1">
        <v>99</v>
      </c>
      <c r="I67" s="1">
        <v>20691</v>
      </c>
      <c r="J67" s="1">
        <v>19987</v>
      </c>
      <c r="K67" s="1">
        <v>289</v>
      </c>
      <c r="L67" s="1" t="s">
        <v>31</v>
      </c>
      <c r="M67" s="1" t="s">
        <v>359</v>
      </c>
      <c r="N67" s="1" t="s">
        <v>359</v>
      </c>
      <c r="O67" s="8" t="s">
        <v>360</v>
      </c>
      <c r="P67" s="15">
        <f>(Table1_145[[#This Row],[Likes]]+Table1_145[[#This Row],[Shares]]+Table1_145[[#This Row],[Comments]])/Table1_145[[#This Row],[Impressions]]</f>
        <v>0.11990720603160794</v>
      </c>
    </row>
    <row r="68" spans="1:16" x14ac:dyDescent="0.3">
      <c r="A68" s="6" t="s">
        <v>117</v>
      </c>
      <c r="B68" s="1" t="s">
        <v>14</v>
      </c>
      <c r="C68" s="7">
        <v>45499</v>
      </c>
      <c r="D68" s="1" t="s">
        <v>36</v>
      </c>
      <c r="E68" s="1" t="s">
        <v>39</v>
      </c>
      <c r="F68" s="1">
        <v>432</v>
      </c>
      <c r="G68" s="1">
        <v>171</v>
      </c>
      <c r="H68" s="1">
        <v>280</v>
      </c>
      <c r="I68" s="1">
        <v>3024</v>
      </c>
      <c r="J68" s="1">
        <v>2285</v>
      </c>
      <c r="K68" s="1">
        <v>184</v>
      </c>
      <c r="L68" s="1" t="s">
        <v>31</v>
      </c>
      <c r="M68" s="1" t="s">
        <v>359</v>
      </c>
      <c r="N68" s="1" t="s">
        <v>359</v>
      </c>
      <c r="O68" s="8" t="s">
        <v>17</v>
      </c>
      <c r="P68" s="15">
        <f>(Table1_145[[#This Row],[Likes]]+Table1_145[[#This Row],[Shares]]+Table1_145[[#This Row],[Comments]])/Table1_145[[#This Row],[Impressions]]</f>
        <v>0.29199735449735448</v>
      </c>
    </row>
    <row r="69" spans="1:16" x14ac:dyDescent="0.3">
      <c r="A69" s="6" t="s">
        <v>118</v>
      </c>
      <c r="B69" s="1" t="s">
        <v>35</v>
      </c>
      <c r="C69" s="7">
        <v>45745</v>
      </c>
      <c r="D69" s="1" t="s">
        <v>36</v>
      </c>
      <c r="E69" s="1" t="s">
        <v>37</v>
      </c>
      <c r="F69" s="1">
        <v>4712</v>
      </c>
      <c r="G69" s="1">
        <v>568</v>
      </c>
      <c r="H69" s="1">
        <v>127</v>
      </c>
      <c r="I69" s="1">
        <v>84816</v>
      </c>
      <c r="J69" s="1">
        <v>84691</v>
      </c>
      <c r="K69" s="1">
        <v>100</v>
      </c>
      <c r="L69" s="1" t="s">
        <v>31</v>
      </c>
      <c r="M69" s="1" t="s">
        <v>359</v>
      </c>
      <c r="N69" s="1" t="s">
        <v>359</v>
      </c>
      <c r="O69" s="8" t="s">
        <v>26</v>
      </c>
      <c r="P69" s="15">
        <f>(Table1_145[[#This Row],[Likes]]+Table1_145[[#This Row],[Shares]]+Table1_145[[#This Row],[Comments]])/Table1_145[[#This Row],[Impressions]]</f>
        <v>6.3749764195434822E-2</v>
      </c>
    </row>
    <row r="70" spans="1:16" x14ac:dyDescent="0.3">
      <c r="A70" s="6" t="s">
        <v>119</v>
      </c>
      <c r="B70" s="1" t="s">
        <v>28</v>
      </c>
      <c r="C70" s="7">
        <v>45634</v>
      </c>
      <c r="D70" s="1" t="s">
        <v>29</v>
      </c>
      <c r="E70" s="1" t="s">
        <v>30</v>
      </c>
      <c r="F70" s="1">
        <v>2610</v>
      </c>
      <c r="G70" s="1">
        <v>126</v>
      </c>
      <c r="H70" s="1">
        <v>288</v>
      </c>
      <c r="I70" s="1">
        <v>15660</v>
      </c>
      <c r="J70" s="1">
        <v>15145</v>
      </c>
      <c r="K70" s="1">
        <v>73</v>
      </c>
      <c r="L70" s="1" t="s">
        <v>31</v>
      </c>
      <c r="M70" s="1" t="s">
        <v>359</v>
      </c>
      <c r="N70" s="1" t="s">
        <v>359</v>
      </c>
      <c r="O70" s="8" t="s">
        <v>360</v>
      </c>
      <c r="P70" s="15">
        <f>(Table1_145[[#This Row],[Likes]]+Table1_145[[#This Row],[Shares]]+Table1_145[[#This Row],[Comments]])/Table1_145[[#This Row],[Impressions]]</f>
        <v>0.19310344827586207</v>
      </c>
    </row>
    <row r="71" spans="1:16" x14ac:dyDescent="0.3">
      <c r="A71" s="6" t="s">
        <v>120</v>
      </c>
      <c r="B71" s="1" t="s">
        <v>14</v>
      </c>
      <c r="C71" s="7">
        <v>45724</v>
      </c>
      <c r="D71" s="1" t="s">
        <v>19</v>
      </c>
      <c r="E71" s="1" t="s">
        <v>20</v>
      </c>
      <c r="F71" s="1">
        <v>1292</v>
      </c>
      <c r="G71" s="1">
        <v>626</v>
      </c>
      <c r="H71" s="1">
        <v>496</v>
      </c>
      <c r="I71" s="1">
        <v>25840</v>
      </c>
      <c r="J71" s="1">
        <v>24916</v>
      </c>
      <c r="K71" s="1">
        <v>149</v>
      </c>
      <c r="L71" s="1" t="s">
        <v>48</v>
      </c>
      <c r="M71" s="1" t="s">
        <v>359</v>
      </c>
      <c r="N71" s="1" t="s">
        <v>359</v>
      </c>
      <c r="O71" s="8" t="s">
        <v>26</v>
      </c>
      <c r="P71" s="15">
        <f>(Table1_145[[#This Row],[Likes]]+Table1_145[[#This Row],[Shares]]+Table1_145[[#This Row],[Comments]])/Table1_145[[#This Row],[Impressions]]</f>
        <v>9.3421052631578946E-2</v>
      </c>
    </row>
    <row r="72" spans="1:16" x14ac:dyDescent="0.3">
      <c r="A72" s="6" t="s">
        <v>121</v>
      </c>
      <c r="B72" s="1" t="s">
        <v>35</v>
      </c>
      <c r="C72" s="7">
        <v>45749</v>
      </c>
      <c r="D72" s="1" t="s">
        <v>56</v>
      </c>
      <c r="E72" s="1" t="s">
        <v>57</v>
      </c>
      <c r="F72" s="1">
        <v>199</v>
      </c>
      <c r="G72" s="1">
        <v>772</v>
      </c>
      <c r="H72" s="1">
        <v>400</v>
      </c>
      <c r="I72" s="1">
        <v>3582</v>
      </c>
      <c r="J72" s="1">
        <v>2988</v>
      </c>
      <c r="K72" s="1">
        <v>43</v>
      </c>
      <c r="L72" s="1" t="s">
        <v>25</v>
      </c>
      <c r="M72" s="1" t="s">
        <v>359</v>
      </c>
      <c r="N72" s="1" t="s">
        <v>359</v>
      </c>
      <c r="O72" s="8" t="s">
        <v>360</v>
      </c>
      <c r="P72" s="15">
        <f>(Table1_145[[#This Row],[Likes]]+Table1_145[[#This Row],[Shares]]+Table1_145[[#This Row],[Comments]])/Table1_145[[#This Row],[Impressions]]</f>
        <v>0.38274706867671693</v>
      </c>
    </row>
    <row r="73" spans="1:16" x14ac:dyDescent="0.3">
      <c r="A73" s="6" t="s">
        <v>122</v>
      </c>
      <c r="B73" s="1" t="s">
        <v>23</v>
      </c>
      <c r="C73" s="7">
        <v>45537</v>
      </c>
      <c r="D73" s="1" t="s">
        <v>36</v>
      </c>
      <c r="E73" s="1" t="s">
        <v>52</v>
      </c>
      <c r="F73" s="1">
        <v>2551</v>
      </c>
      <c r="G73" s="1">
        <v>915</v>
      </c>
      <c r="H73" s="1">
        <v>205</v>
      </c>
      <c r="I73" s="1">
        <v>30612</v>
      </c>
      <c r="J73" s="1">
        <v>30360</v>
      </c>
      <c r="K73" s="1">
        <v>227</v>
      </c>
      <c r="L73" s="1" t="s">
        <v>25</v>
      </c>
      <c r="M73" s="1" t="s">
        <v>359</v>
      </c>
      <c r="N73" s="1" t="s">
        <v>359</v>
      </c>
      <c r="O73" s="8" t="s">
        <v>21</v>
      </c>
      <c r="P73" s="15">
        <f>(Table1_145[[#This Row],[Likes]]+Table1_145[[#This Row],[Shares]]+Table1_145[[#This Row],[Comments]])/Table1_145[[#This Row],[Impressions]]</f>
        <v>0.1199202926956749</v>
      </c>
    </row>
    <row r="74" spans="1:16" x14ac:dyDescent="0.3">
      <c r="A74" s="6" t="s">
        <v>123</v>
      </c>
      <c r="B74" s="1" t="s">
        <v>23</v>
      </c>
      <c r="C74" s="7">
        <v>45719</v>
      </c>
      <c r="D74" s="1" t="s">
        <v>15</v>
      </c>
      <c r="E74" s="1" t="s">
        <v>24</v>
      </c>
      <c r="F74" s="1">
        <v>296</v>
      </c>
      <c r="G74" s="1">
        <v>60</v>
      </c>
      <c r="H74" s="1">
        <v>141</v>
      </c>
      <c r="I74" s="1">
        <v>5624</v>
      </c>
      <c r="J74" s="1">
        <v>5239</v>
      </c>
      <c r="K74" s="1">
        <v>88</v>
      </c>
      <c r="L74" s="1" t="s">
        <v>31</v>
      </c>
      <c r="M74" s="1" t="s">
        <v>359</v>
      </c>
      <c r="N74" s="1" t="s">
        <v>359</v>
      </c>
      <c r="O74" s="8" t="s">
        <v>21</v>
      </c>
      <c r="P74" s="15">
        <f>(Table1_145[[#This Row],[Likes]]+Table1_145[[#This Row],[Shares]]+Table1_145[[#This Row],[Comments]])/Table1_145[[#This Row],[Impressions]]</f>
        <v>8.837126600284495E-2</v>
      </c>
    </row>
    <row r="75" spans="1:16" x14ac:dyDescent="0.3">
      <c r="A75" s="6" t="s">
        <v>124</v>
      </c>
      <c r="B75" s="1" t="s">
        <v>35</v>
      </c>
      <c r="C75" s="7">
        <v>45583</v>
      </c>
      <c r="D75" s="1" t="s">
        <v>29</v>
      </c>
      <c r="E75" s="1" t="s">
        <v>54</v>
      </c>
      <c r="F75" s="1">
        <v>4126</v>
      </c>
      <c r="G75" s="1">
        <v>426</v>
      </c>
      <c r="H75" s="1">
        <v>486</v>
      </c>
      <c r="I75" s="1">
        <v>78394</v>
      </c>
      <c r="J75" s="1">
        <v>77798</v>
      </c>
      <c r="K75" s="1">
        <v>88</v>
      </c>
      <c r="L75" s="1" t="s">
        <v>48</v>
      </c>
      <c r="M75" s="1" t="s">
        <v>359</v>
      </c>
      <c r="N75" s="1" t="s">
        <v>359</v>
      </c>
      <c r="O75" s="8" t="s">
        <v>32</v>
      </c>
      <c r="P75" s="15">
        <f>(Table1_145[[#This Row],[Likes]]+Table1_145[[#This Row],[Shares]]+Table1_145[[#This Row],[Comments]])/Table1_145[[#This Row],[Impressions]]</f>
        <v>6.4265122330790625E-2</v>
      </c>
    </row>
    <row r="76" spans="1:16" x14ac:dyDescent="0.3">
      <c r="A76" s="6" t="s">
        <v>125</v>
      </c>
      <c r="B76" s="1" t="s">
        <v>23</v>
      </c>
      <c r="C76" s="7">
        <v>45593</v>
      </c>
      <c r="D76" s="1" t="s">
        <v>15</v>
      </c>
      <c r="E76" s="1" t="s">
        <v>24</v>
      </c>
      <c r="F76" s="1">
        <v>1855</v>
      </c>
      <c r="G76" s="1">
        <v>200</v>
      </c>
      <c r="H76" s="1">
        <v>174</v>
      </c>
      <c r="I76" s="1">
        <v>16695</v>
      </c>
      <c r="J76" s="1">
        <v>16330</v>
      </c>
      <c r="K76" s="1">
        <v>123</v>
      </c>
      <c r="L76" s="1" t="s">
        <v>25</v>
      </c>
      <c r="M76" s="1" t="s">
        <v>359</v>
      </c>
      <c r="N76" s="1" t="s">
        <v>359</v>
      </c>
      <c r="O76" s="8" t="s">
        <v>26</v>
      </c>
      <c r="P76" s="15">
        <f>(Table1_145[[#This Row],[Likes]]+Table1_145[[#This Row],[Shares]]+Table1_145[[#This Row],[Comments]])/Table1_145[[#This Row],[Impressions]]</f>
        <v>0.13351302785265048</v>
      </c>
    </row>
    <row r="77" spans="1:16" x14ac:dyDescent="0.3">
      <c r="A77" s="6" t="s">
        <v>126</v>
      </c>
      <c r="B77" s="1" t="s">
        <v>28</v>
      </c>
      <c r="C77" s="7">
        <v>45505</v>
      </c>
      <c r="D77" s="1" t="s">
        <v>15</v>
      </c>
      <c r="E77" s="1" t="s">
        <v>61</v>
      </c>
      <c r="F77" s="1">
        <v>1674</v>
      </c>
      <c r="G77" s="1">
        <v>929</v>
      </c>
      <c r="H77" s="1">
        <v>37</v>
      </c>
      <c r="I77" s="1">
        <v>21762</v>
      </c>
      <c r="J77" s="1">
        <v>20998</v>
      </c>
      <c r="K77" s="1">
        <v>255</v>
      </c>
      <c r="L77" s="1" t="s">
        <v>25</v>
      </c>
      <c r="M77" s="1" t="s">
        <v>359</v>
      </c>
      <c r="N77" s="1" t="s">
        <v>359</v>
      </c>
      <c r="O77" s="8" t="s">
        <v>32</v>
      </c>
      <c r="P77" s="15">
        <f>(Table1_145[[#This Row],[Likes]]+Table1_145[[#This Row],[Shares]]+Table1_145[[#This Row],[Comments]])/Table1_145[[#This Row],[Impressions]]</f>
        <v>0.12131237937689551</v>
      </c>
    </row>
    <row r="78" spans="1:16" x14ac:dyDescent="0.3">
      <c r="A78" s="6" t="s">
        <v>127</v>
      </c>
      <c r="B78" s="1" t="s">
        <v>14</v>
      </c>
      <c r="C78" s="7">
        <v>45603</v>
      </c>
      <c r="D78" s="1" t="s">
        <v>29</v>
      </c>
      <c r="E78" s="1" t="s">
        <v>98</v>
      </c>
      <c r="F78" s="1">
        <v>1121</v>
      </c>
      <c r="G78" s="1">
        <v>135</v>
      </c>
      <c r="H78" s="1">
        <v>18</v>
      </c>
      <c r="I78" s="1">
        <v>15694</v>
      </c>
      <c r="J78" s="1">
        <v>14957</v>
      </c>
      <c r="K78" s="1">
        <v>99</v>
      </c>
      <c r="L78" s="1" t="s">
        <v>25</v>
      </c>
      <c r="M78" s="1" t="s">
        <v>359</v>
      </c>
      <c r="N78" s="1" t="s">
        <v>359</v>
      </c>
      <c r="O78" s="8" t="s">
        <v>32</v>
      </c>
      <c r="P78" s="15">
        <f>(Table1_145[[#This Row],[Likes]]+Table1_145[[#This Row],[Shares]]+Table1_145[[#This Row],[Comments]])/Table1_145[[#This Row],[Impressions]]</f>
        <v>8.1177520071364848E-2</v>
      </c>
    </row>
    <row r="79" spans="1:16" x14ac:dyDescent="0.3">
      <c r="A79" s="6" t="s">
        <v>128</v>
      </c>
      <c r="B79" s="1" t="s">
        <v>35</v>
      </c>
      <c r="C79" s="7">
        <v>45720</v>
      </c>
      <c r="D79" s="1" t="s">
        <v>29</v>
      </c>
      <c r="E79" s="1" t="s">
        <v>54</v>
      </c>
      <c r="F79" s="1">
        <v>1249</v>
      </c>
      <c r="G79" s="1">
        <v>116</v>
      </c>
      <c r="H79" s="1">
        <v>420</v>
      </c>
      <c r="I79" s="1">
        <v>8743</v>
      </c>
      <c r="J79" s="1">
        <v>8538</v>
      </c>
      <c r="K79" s="1">
        <v>63</v>
      </c>
      <c r="L79" s="1" t="s">
        <v>25</v>
      </c>
      <c r="M79" s="1" t="s">
        <v>359</v>
      </c>
      <c r="N79" s="1" t="s">
        <v>359</v>
      </c>
      <c r="O79" s="8" t="s">
        <v>360</v>
      </c>
      <c r="P79" s="15">
        <f>(Table1_145[[#This Row],[Likes]]+Table1_145[[#This Row],[Shares]]+Table1_145[[#This Row],[Comments]])/Table1_145[[#This Row],[Impressions]]</f>
        <v>0.20416333066453163</v>
      </c>
    </row>
    <row r="80" spans="1:16" x14ac:dyDescent="0.3">
      <c r="A80" s="6" t="s">
        <v>129</v>
      </c>
      <c r="B80" s="1" t="s">
        <v>14</v>
      </c>
      <c r="C80" s="7">
        <v>45460</v>
      </c>
      <c r="D80" s="1" t="s">
        <v>41</v>
      </c>
      <c r="E80" s="1" t="s">
        <v>88</v>
      </c>
      <c r="F80" s="1">
        <v>954</v>
      </c>
      <c r="G80" s="1">
        <v>324</v>
      </c>
      <c r="H80" s="1">
        <v>288</v>
      </c>
      <c r="I80" s="1">
        <v>19080</v>
      </c>
      <c r="J80" s="1">
        <v>18859</v>
      </c>
      <c r="K80" s="1">
        <v>21</v>
      </c>
      <c r="L80" s="1" t="s">
        <v>48</v>
      </c>
      <c r="M80" s="1" t="s">
        <v>359</v>
      </c>
      <c r="N80" s="1" t="s">
        <v>359</v>
      </c>
      <c r="O80" s="8" t="s">
        <v>32</v>
      </c>
      <c r="P80" s="15">
        <f>(Table1_145[[#This Row],[Likes]]+Table1_145[[#This Row],[Shares]]+Table1_145[[#This Row],[Comments]])/Table1_145[[#This Row],[Impressions]]</f>
        <v>8.2075471698113203E-2</v>
      </c>
    </row>
    <row r="81" spans="1:16" x14ac:dyDescent="0.3">
      <c r="A81" s="6" t="s">
        <v>130</v>
      </c>
      <c r="B81" s="1" t="s">
        <v>28</v>
      </c>
      <c r="C81" s="7">
        <v>45574</v>
      </c>
      <c r="D81" s="1" t="s">
        <v>36</v>
      </c>
      <c r="E81" s="1" t="s">
        <v>65</v>
      </c>
      <c r="F81" s="1">
        <v>3068</v>
      </c>
      <c r="G81" s="1">
        <v>137</v>
      </c>
      <c r="H81" s="1">
        <v>329</v>
      </c>
      <c r="I81" s="1">
        <v>39884</v>
      </c>
      <c r="J81" s="1">
        <v>39404</v>
      </c>
      <c r="K81" s="1">
        <v>266</v>
      </c>
      <c r="L81" s="1" t="s">
        <v>31</v>
      </c>
      <c r="M81" s="1" t="s">
        <v>359</v>
      </c>
      <c r="N81" s="1" t="s">
        <v>359</v>
      </c>
      <c r="O81" s="8" t="s">
        <v>21</v>
      </c>
      <c r="P81" s="15">
        <f>(Table1_145[[#This Row],[Likes]]+Table1_145[[#This Row],[Shares]]+Table1_145[[#This Row],[Comments]])/Table1_145[[#This Row],[Impressions]]</f>
        <v>8.860696018453515E-2</v>
      </c>
    </row>
    <row r="82" spans="1:16" x14ac:dyDescent="0.3">
      <c r="A82" s="6" t="s">
        <v>131</v>
      </c>
      <c r="B82" s="1" t="s">
        <v>28</v>
      </c>
      <c r="C82" s="7">
        <v>45456</v>
      </c>
      <c r="D82" s="1" t="s">
        <v>29</v>
      </c>
      <c r="E82" s="1" t="s">
        <v>30</v>
      </c>
      <c r="F82" s="1">
        <v>2103</v>
      </c>
      <c r="G82" s="1">
        <v>892</v>
      </c>
      <c r="H82" s="1">
        <v>103</v>
      </c>
      <c r="I82" s="1">
        <v>39957</v>
      </c>
      <c r="J82" s="1">
        <v>39466</v>
      </c>
      <c r="K82" s="1">
        <v>28</v>
      </c>
      <c r="L82" s="1" t="s">
        <v>48</v>
      </c>
      <c r="M82" s="1" t="s">
        <v>359</v>
      </c>
      <c r="N82" s="1" t="s">
        <v>359</v>
      </c>
      <c r="O82" s="8" t="s">
        <v>360</v>
      </c>
      <c r="P82" s="15">
        <f>(Table1_145[[#This Row],[Likes]]+Table1_145[[#This Row],[Shares]]+Table1_145[[#This Row],[Comments]])/Table1_145[[#This Row],[Impressions]]</f>
        <v>7.7533348349475686E-2</v>
      </c>
    </row>
    <row r="83" spans="1:16" x14ac:dyDescent="0.3">
      <c r="A83" s="6" t="s">
        <v>132</v>
      </c>
      <c r="B83" s="1" t="s">
        <v>28</v>
      </c>
      <c r="C83" s="7">
        <v>45584</v>
      </c>
      <c r="D83" s="1" t="s">
        <v>29</v>
      </c>
      <c r="E83" s="1" t="s">
        <v>30</v>
      </c>
      <c r="F83" s="1">
        <v>1816</v>
      </c>
      <c r="G83" s="1">
        <v>29</v>
      </c>
      <c r="H83" s="1">
        <v>41</v>
      </c>
      <c r="I83" s="1">
        <v>19976</v>
      </c>
      <c r="J83" s="1">
        <v>19262</v>
      </c>
      <c r="K83" s="1">
        <v>283</v>
      </c>
      <c r="L83" s="1" t="s">
        <v>25</v>
      </c>
      <c r="M83" s="1" t="s">
        <v>359</v>
      </c>
      <c r="N83" s="1" t="s">
        <v>359</v>
      </c>
      <c r="O83" s="8" t="s">
        <v>26</v>
      </c>
      <c r="P83" s="15">
        <f>(Table1_145[[#This Row],[Likes]]+Table1_145[[#This Row],[Shares]]+Table1_145[[#This Row],[Comments]])/Table1_145[[#This Row],[Impressions]]</f>
        <v>9.4413295955146179E-2</v>
      </c>
    </row>
    <row r="84" spans="1:16" x14ac:dyDescent="0.3">
      <c r="A84" s="6" t="s">
        <v>133</v>
      </c>
      <c r="B84" s="1" t="s">
        <v>28</v>
      </c>
      <c r="C84" s="7">
        <v>45497</v>
      </c>
      <c r="D84" s="1" t="s">
        <v>41</v>
      </c>
      <c r="E84" s="1" t="s">
        <v>134</v>
      </c>
      <c r="F84" s="1">
        <v>725</v>
      </c>
      <c r="G84" s="1">
        <v>88</v>
      </c>
      <c r="H84" s="1">
        <v>428</v>
      </c>
      <c r="I84" s="1">
        <v>14500</v>
      </c>
      <c r="J84" s="1">
        <v>13637</v>
      </c>
      <c r="K84" s="1">
        <v>200</v>
      </c>
      <c r="L84" s="1" t="s">
        <v>48</v>
      </c>
      <c r="M84" s="1" t="s">
        <v>25</v>
      </c>
      <c r="N84" s="1" t="s">
        <v>354</v>
      </c>
      <c r="O84" s="8" t="s">
        <v>26</v>
      </c>
      <c r="P84" s="15">
        <f>(Table1_145[[#This Row],[Likes]]+Table1_145[[#This Row],[Shares]]+Table1_145[[#This Row],[Comments]])/Table1_145[[#This Row],[Impressions]]</f>
        <v>8.558620689655172E-2</v>
      </c>
    </row>
    <row r="85" spans="1:16" x14ac:dyDescent="0.3">
      <c r="A85" s="6" t="s">
        <v>135</v>
      </c>
      <c r="B85" s="1" t="s">
        <v>23</v>
      </c>
      <c r="C85" s="7">
        <v>45580</v>
      </c>
      <c r="D85" s="1" t="s">
        <v>56</v>
      </c>
      <c r="E85" s="1" t="s">
        <v>136</v>
      </c>
      <c r="F85" s="1">
        <v>1094</v>
      </c>
      <c r="G85" s="1">
        <v>472</v>
      </c>
      <c r="H85" s="1">
        <v>21</v>
      </c>
      <c r="I85" s="1">
        <v>9846</v>
      </c>
      <c r="J85" s="1">
        <v>9609</v>
      </c>
      <c r="K85" s="1">
        <v>112</v>
      </c>
      <c r="L85" s="1" t="s">
        <v>31</v>
      </c>
      <c r="M85" s="1" t="s">
        <v>359</v>
      </c>
      <c r="N85" s="1" t="s">
        <v>359</v>
      </c>
      <c r="O85" s="8" t="s">
        <v>360</v>
      </c>
      <c r="P85" s="15">
        <f>(Table1_145[[#This Row],[Likes]]+Table1_145[[#This Row],[Shares]]+Table1_145[[#This Row],[Comments]])/Table1_145[[#This Row],[Impressions]]</f>
        <v>0.16118220597196831</v>
      </c>
    </row>
    <row r="86" spans="1:16" x14ac:dyDescent="0.3">
      <c r="A86" s="6" t="s">
        <v>137</v>
      </c>
      <c r="B86" s="1" t="s">
        <v>35</v>
      </c>
      <c r="C86" s="7">
        <v>45635</v>
      </c>
      <c r="D86" s="1" t="s">
        <v>41</v>
      </c>
      <c r="E86" s="1" t="s">
        <v>46</v>
      </c>
      <c r="F86" s="1">
        <v>1841</v>
      </c>
      <c r="G86" s="1">
        <v>851</v>
      </c>
      <c r="H86" s="1">
        <v>342</v>
      </c>
      <c r="I86" s="1">
        <v>34979</v>
      </c>
      <c r="J86" s="1">
        <v>34154</v>
      </c>
      <c r="K86" s="1">
        <v>255</v>
      </c>
      <c r="L86" s="1" t="s">
        <v>48</v>
      </c>
      <c r="M86" s="1" t="s">
        <v>359</v>
      </c>
      <c r="N86" s="1" t="s">
        <v>359</v>
      </c>
      <c r="O86" s="8" t="s">
        <v>32</v>
      </c>
      <c r="P86" s="15">
        <f>(Table1_145[[#This Row],[Likes]]+Table1_145[[#This Row],[Shares]]+Table1_145[[#This Row],[Comments]])/Table1_145[[#This Row],[Impressions]]</f>
        <v>8.6737756939878216E-2</v>
      </c>
    </row>
    <row r="87" spans="1:16" x14ac:dyDescent="0.3">
      <c r="A87" s="6" t="s">
        <v>138</v>
      </c>
      <c r="B87" s="1" t="s">
        <v>28</v>
      </c>
      <c r="C87" s="7">
        <v>45766</v>
      </c>
      <c r="D87" s="1" t="s">
        <v>41</v>
      </c>
      <c r="E87" s="1" t="s">
        <v>134</v>
      </c>
      <c r="F87" s="1">
        <v>4177</v>
      </c>
      <c r="G87" s="1">
        <v>569</v>
      </c>
      <c r="H87" s="1">
        <v>55</v>
      </c>
      <c r="I87" s="1">
        <v>25062</v>
      </c>
      <c r="J87" s="1">
        <v>24847</v>
      </c>
      <c r="K87" s="1">
        <v>230</v>
      </c>
      <c r="L87" s="1" t="s">
        <v>48</v>
      </c>
      <c r="M87" s="1" t="s">
        <v>359</v>
      </c>
      <c r="N87" s="1" t="s">
        <v>359</v>
      </c>
      <c r="O87" s="8" t="s">
        <v>17</v>
      </c>
      <c r="P87" s="15">
        <f>(Table1_145[[#This Row],[Likes]]+Table1_145[[#This Row],[Shares]]+Table1_145[[#This Row],[Comments]])/Table1_145[[#This Row],[Impressions]]</f>
        <v>0.19156491900087783</v>
      </c>
    </row>
    <row r="88" spans="1:16" x14ac:dyDescent="0.3">
      <c r="A88" s="6" t="s">
        <v>139</v>
      </c>
      <c r="B88" s="1" t="s">
        <v>23</v>
      </c>
      <c r="C88" s="7">
        <v>45684</v>
      </c>
      <c r="D88" s="1" t="s">
        <v>19</v>
      </c>
      <c r="E88" s="1" t="s">
        <v>73</v>
      </c>
      <c r="F88" s="1">
        <v>3428</v>
      </c>
      <c r="G88" s="1">
        <v>305</v>
      </c>
      <c r="H88" s="1">
        <v>85</v>
      </c>
      <c r="I88" s="1">
        <v>58276</v>
      </c>
      <c r="J88" s="1">
        <v>58052</v>
      </c>
      <c r="K88" s="1">
        <v>242</v>
      </c>
      <c r="L88" s="1" t="s">
        <v>31</v>
      </c>
      <c r="M88" s="1" t="s">
        <v>355</v>
      </c>
      <c r="N88" s="1" t="s">
        <v>359</v>
      </c>
      <c r="O88" s="8" t="s">
        <v>32</v>
      </c>
      <c r="P88" s="15">
        <f>(Table1_145[[#This Row],[Likes]]+Table1_145[[#This Row],[Shares]]+Table1_145[[#This Row],[Comments]])/Table1_145[[#This Row],[Impressions]]</f>
        <v>6.5515821264328367E-2</v>
      </c>
    </row>
    <row r="89" spans="1:16" x14ac:dyDescent="0.3">
      <c r="A89" s="6" t="s">
        <v>140</v>
      </c>
      <c r="B89" s="1" t="s">
        <v>14</v>
      </c>
      <c r="C89" s="7">
        <v>45449</v>
      </c>
      <c r="D89" s="1" t="s">
        <v>56</v>
      </c>
      <c r="E89" s="1" t="s">
        <v>95</v>
      </c>
      <c r="F89" s="1">
        <v>1436</v>
      </c>
      <c r="G89" s="1">
        <v>765</v>
      </c>
      <c r="H89" s="1">
        <v>496</v>
      </c>
      <c r="I89" s="1">
        <v>12924</v>
      </c>
      <c r="J89" s="1">
        <v>12701</v>
      </c>
      <c r="K89" s="1">
        <v>197</v>
      </c>
      <c r="L89" s="1" t="s">
        <v>48</v>
      </c>
      <c r="M89" s="1" t="s">
        <v>359</v>
      </c>
      <c r="N89" s="1" t="s">
        <v>359</v>
      </c>
      <c r="O89" s="8" t="s">
        <v>26</v>
      </c>
      <c r="P89" s="15">
        <f>(Table1_145[[#This Row],[Likes]]+Table1_145[[#This Row],[Shares]]+Table1_145[[#This Row],[Comments]])/Table1_145[[#This Row],[Impressions]]</f>
        <v>0.20868152274837512</v>
      </c>
    </row>
    <row r="90" spans="1:16" x14ac:dyDescent="0.3">
      <c r="A90" s="6" t="s">
        <v>141</v>
      </c>
      <c r="B90" s="1" t="s">
        <v>35</v>
      </c>
      <c r="C90" s="7">
        <v>45480</v>
      </c>
      <c r="D90" s="1" t="s">
        <v>29</v>
      </c>
      <c r="E90" s="1" t="s">
        <v>54</v>
      </c>
      <c r="F90" s="1">
        <v>302</v>
      </c>
      <c r="G90" s="1">
        <v>47</v>
      </c>
      <c r="H90" s="1">
        <v>430</v>
      </c>
      <c r="I90" s="1">
        <v>5738</v>
      </c>
      <c r="J90" s="1">
        <v>4890</v>
      </c>
      <c r="K90" s="1">
        <v>25</v>
      </c>
      <c r="L90" s="1" t="s">
        <v>25</v>
      </c>
      <c r="M90" s="1" t="s">
        <v>359</v>
      </c>
      <c r="N90" s="1" t="s">
        <v>359</v>
      </c>
      <c r="O90" s="8" t="s">
        <v>32</v>
      </c>
      <c r="P90" s="15">
        <f>(Table1_145[[#This Row],[Likes]]+Table1_145[[#This Row],[Shares]]+Table1_145[[#This Row],[Comments]])/Table1_145[[#This Row],[Impressions]]</f>
        <v>0.13576158940397351</v>
      </c>
    </row>
    <row r="91" spans="1:16" x14ac:dyDescent="0.3">
      <c r="A91" s="6" t="s">
        <v>142</v>
      </c>
      <c r="B91" s="1" t="s">
        <v>14</v>
      </c>
      <c r="C91" s="7">
        <v>45667</v>
      </c>
      <c r="D91" s="1" t="s">
        <v>41</v>
      </c>
      <c r="E91" s="1" t="s">
        <v>88</v>
      </c>
      <c r="F91" s="1">
        <v>2214</v>
      </c>
      <c r="G91" s="1">
        <v>249</v>
      </c>
      <c r="H91" s="1">
        <v>152</v>
      </c>
      <c r="I91" s="1">
        <v>15498</v>
      </c>
      <c r="J91" s="1">
        <v>14800</v>
      </c>
      <c r="K91" s="1">
        <v>180</v>
      </c>
      <c r="L91" s="1" t="s">
        <v>31</v>
      </c>
      <c r="M91" s="1" t="s">
        <v>359</v>
      </c>
      <c r="N91" s="1" t="s">
        <v>359</v>
      </c>
      <c r="O91" s="8" t="s">
        <v>360</v>
      </c>
      <c r="P91" s="15">
        <f>(Table1_145[[#This Row],[Likes]]+Table1_145[[#This Row],[Shares]]+Table1_145[[#This Row],[Comments]])/Table1_145[[#This Row],[Impressions]]</f>
        <v>0.16873144921925409</v>
      </c>
    </row>
    <row r="92" spans="1:16" x14ac:dyDescent="0.3">
      <c r="A92" s="6" t="s">
        <v>143</v>
      </c>
      <c r="B92" s="1" t="s">
        <v>28</v>
      </c>
      <c r="C92" s="7">
        <v>45446</v>
      </c>
      <c r="D92" s="1" t="s">
        <v>41</v>
      </c>
      <c r="E92" s="1" t="s">
        <v>134</v>
      </c>
      <c r="F92" s="1">
        <v>3861</v>
      </c>
      <c r="G92" s="1">
        <v>960</v>
      </c>
      <c r="H92" s="1">
        <v>101</v>
      </c>
      <c r="I92" s="1">
        <v>69498</v>
      </c>
      <c r="J92" s="1">
        <v>68817</v>
      </c>
      <c r="K92" s="1">
        <v>297</v>
      </c>
      <c r="L92" s="1" t="s">
        <v>25</v>
      </c>
      <c r="M92" s="1" t="s">
        <v>359</v>
      </c>
      <c r="N92" s="1" t="s">
        <v>359</v>
      </c>
      <c r="O92" s="8" t="s">
        <v>32</v>
      </c>
      <c r="P92" s="15">
        <f>(Table1_145[[#This Row],[Likes]]+Table1_145[[#This Row],[Shares]]+Table1_145[[#This Row],[Comments]])/Table1_145[[#This Row],[Impressions]]</f>
        <v>7.0822181933293038E-2</v>
      </c>
    </row>
    <row r="93" spans="1:16" x14ac:dyDescent="0.3">
      <c r="A93" s="6" t="s">
        <v>144</v>
      </c>
      <c r="B93" s="1" t="s">
        <v>35</v>
      </c>
      <c r="C93" s="7">
        <v>45740</v>
      </c>
      <c r="D93" s="1" t="s">
        <v>41</v>
      </c>
      <c r="E93" s="1" t="s">
        <v>46</v>
      </c>
      <c r="F93" s="1">
        <v>1263</v>
      </c>
      <c r="G93" s="1">
        <v>397</v>
      </c>
      <c r="H93" s="1">
        <v>357</v>
      </c>
      <c r="I93" s="1">
        <v>25260</v>
      </c>
      <c r="J93" s="1">
        <v>24615</v>
      </c>
      <c r="K93" s="1">
        <v>137</v>
      </c>
      <c r="L93" s="1" t="s">
        <v>31</v>
      </c>
      <c r="M93" s="1" t="s">
        <v>359</v>
      </c>
      <c r="N93" s="1" t="s">
        <v>359</v>
      </c>
      <c r="O93" s="8" t="s">
        <v>32</v>
      </c>
      <c r="P93" s="15">
        <f>(Table1_145[[#This Row],[Likes]]+Table1_145[[#This Row],[Shares]]+Table1_145[[#This Row],[Comments]])/Table1_145[[#This Row],[Impressions]]</f>
        <v>7.984956452889945E-2</v>
      </c>
    </row>
    <row r="94" spans="1:16" x14ac:dyDescent="0.3">
      <c r="A94" s="6" t="s">
        <v>145</v>
      </c>
      <c r="B94" s="1" t="s">
        <v>14</v>
      </c>
      <c r="C94" s="7">
        <v>45586</v>
      </c>
      <c r="D94" s="1" t="s">
        <v>29</v>
      </c>
      <c r="E94" s="1" t="s">
        <v>98</v>
      </c>
      <c r="F94" s="1">
        <v>3801</v>
      </c>
      <c r="G94" s="1">
        <v>967</v>
      </c>
      <c r="H94" s="1">
        <v>401</v>
      </c>
      <c r="I94" s="1">
        <v>38010</v>
      </c>
      <c r="J94" s="1">
        <v>37625</v>
      </c>
      <c r="K94" s="1">
        <v>236</v>
      </c>
      <c r="L94" s="1" t="s">
        <v>48</v>
      </c>
      <c r="M94" s="1" t="s">
        <v>359</v>
      </c>
      <c r="N94" s="1" t="s">
        <v>359</v>
      </c>
      <c r="O94" s="8" t="s">
        <v>26</v>
      </c>
      <c r="P94" s="15">
        <f>(Table1_145[[#This Row],[Likes]]+Table1_145[[#This Row],[Shares]]+Table1_145[[#This Row],[Comments]])/Table1_145[[#This Row],[Impressions]]</f>
        <v>0.13599052880820836</v>
      </c>
    </row>
    <row r="95" spans="1:16" x14ac:dyDescent="0.3">
      <c r="A95" s="6" t="s">
        <v>146</v>
      </c>
      <c r="B95" s="1" t="s">
        <v>28</v>
      </c>
      <c r="C95" s="7">
        <v>45637</v>
      </c>
      <c r="D95" s="1" t="s">
        <v>56</v>
      </c>
      <c r="E95" s="1" t="s">
        <v>63</v>
      </c>
      <c r="F95" s="1">
        <v>1431</v>
      </c>
      <c r="G95" s="1">
        <v>951</v>
      </c>
      <c r="H95" s="1">
        <v>26</v>
      </c>
      <c r="I95" s="1">
        <v>8586</v>
      </c>
      <c r="J95" s="1">
        <v>8396</v>
      </c>
      <c r="K95" s="1">
        <v>150</v>
      </c>
      <c r="L95" s="1" t="s">
        <v>31</v>
      </c>
      <c r="M95" s="1" t="s">
        <v>359</v>
      </c>
      <c r="N95" s="1" t="s">
        <v>359</v>
      </c>
      <c r="O95" s="8" t="s">
        <v>26</v>
      </c>
      <c r="P95" s="15">
        <f>(Table1_145[[#This Row],[Likes]]+Table1_145[[#This Row],[Shares]]+Table1_145[[#This Row],[Comments]])/Table1_145[[#This Row],[Impressions]]</f>
        <v>0.28045655718611695</v>
      </c>
    </row>
    <row r="96" spans="1:16" x14ac:dyDescent="0.3">
      <c r="A96" s="6" t="s">
        <v>147</v>
      </c>
      <c r="B96" s="1" t="s">
        <v>28</v>
      </c>
      <c r="C96" s="7">
        <v>45603</v>
      </c>
      <c r="D96" s="1" t="s">
        <v>41</v>
      </c>
      <c r="E96" s="1" t="s">
        <v>134</v>
      </c>
      <c r="F96" s="1">
        <v>2647</v>
      </c>
      <c r="G96" s="1">
        <v>304</v>
      </c>
      <c r="H96" s="1">
        <v>170</v>
      </c>
      <c r="I96" s="1">
        <v>18529</v>
      </c>
      <c r="J96" s="1">
        <v>17841</v>
      </c>
      <c r="K96" s="1">
        <v>46</v>
      </c>
      <c r="L96" s="1" t="s">
        <v>48</v>
      </c>
      <c r="M96" s="1" t="s">
        <v>359</v>
      </c>
      <c r="N96" s="1" t="s">
        <v>359</v>
      </c>
      <c r="O96" s="8" t="s">
        <v>26</v>
      </c>
      <c r="P96" s="15">
        <f>(Table1_145[[#This Row],[Likes]]+Table1_145[[#This Row],[Shares]]+Table1_145[[#This Row],[Comments]])/Table1_145[[#This Row],[Impressions]]</f>
        <v>0.16843866371633656</v>
      </c>
    </row>
    <row r="97" spans="1:16" x14ac:dyDescent="0.3">
      <c r="A97" s="6" t="s">
        <v>148</v>
      </c>
      <c r="B97" s="1" t="s">
        <v>28</v>
      </c>
      <c r="C97" s="7">
        <v>45604</v>
      </c>
      <c r="D97" s="1" t="s">
        <v>19</v>
      </c>
      <c r="E97" s="1" t="s">
        <v>78</v>
      </c>
      <c r="F97" s="1">
        <v>3182</v>
      </c>
      <c r="G97" s="1">
        <v>559</v>
      </c>
      <c r="H97" s="1">
        <v>160</v>
      </c>
      <c r="I97" s="1">
        <v>57276</v>
      </c>
      <c r="J97" s="1">
        <v>56890</v>
      </c>
      <c r="K97" s="1">
        <v>163</v>
      </c>
      <c r="L97" s="1" t="s">
        <v>48</v>
      </c>
      <c r="M97" s="1" t="s">
        <v>359</v>
      </c>
      <c r="N97" s="1" t="s">
        <v>359</v>
      </c>
      <c r="O97" s="8" t="s">
        <v>32</v>
      </c>
      <c r="P97" s="15">
        <f>(Table1_145[[#This Row],[Likes]]+Table1_145[[#This Row],[Shares]]+Table1_145[[#This Row],[Comments]])/Table1_145[[#This Row],[Impressions]]</f>
        <v>6.8108806480899509E-2</v>
      </c>
    </row>
    <row r="98" spans="1:16" x14ac:dyDescent="0.3">
      <c r="A98" s="6" t="s">
        <v>149</v>
      </c>
      <c r="B98" s="1" t="s">
        <v>14</v>
      </c>
      <c r="C98" s="7">
        <v>45545</v>
      </c>
      <c r="D98" s="1" t="s">
        <v>41</v>
      </c>
      <c r="E98" s="1" t="s">
        <v>88</v>
      </c>
      <c r="F98" s="1">
        <v>1238</v>
      </c>
      <c r="G98" s="1">
        <v>366</v>
      </c>
      <c r="H98" s="1">
        <v>444</v>
      </c>
      <c r="I98" s="1">
        <v>19808</v>
      </c>
      <c r="J98" s="1">
        <v>19334</v>
      </c>
      <c r="K98" s="1">
        <v>123</v>
      </c>
      <c r="L98" s="1" t="s">
        <v>48</v>
      </c>
      <c r="M98" s="1" t="s">
        <v>359</v>
      </c>
      <c r="N98" s="1" t="s">
        <v>359</v>
      </c>
      <c r="O98" s="8" t="s">
        <v>360</v>
      </c>
      <c r="P98" s="15">
        <f>(Table1_145[[#This Row],[Likes]]+Table1_145[[#This Row],[Shares]]+Table1_145[[#This Row],[Comments]])/Table1_145[[#This Row],[Impressions]]</f>
        <v>0.10339256865912763</v>
      </c>
    </row>
    <row r="99" spans="1:16" x14ac:dyDescent="0.3">
      <c r="A99" s="6" t="s">
        <v>150</v>
      </c>
      <c r="B99" s="1" t="s">
        <v>28</v>
      </c>
      <c r="C99" s="7">
        <v>45517</v>
      </c>
      <c r="D99" s="1" t="s">
        <v>41</v>
      </c>
      <c r="E99" s="1" t="s">
        <v>134</v>
      </c>
      <c r="F99" s="1">
        <v>4739</v>
      </c>
      <c r="G99" s="1">
        <v>527</v>
      </c>
      <c r="H99" s="1">
        <v>135</v>
      </c>
      <c r="I99" s="1">
        <v>61607</v>
      </c>
      <c r="J99" s="1">
        <v>61333</v>
      </c>
      <c r="K99" s="1">
        <v>36</v>
      </c>
      <c r="L99" s="1" t="s">
        <v>25</v>
      </c>
      <c r="M99" s="1" t="s">
        <v>354</v>
      </c>
      <c r="N99" s="1" t="s">
        <v>359</v>
      </c>
      <c r="O99" s="8" t="s">
        <v>21</v>
      </c>
      <c r="P99" s="15">
        <f>(Table1_145[[#This Row],[Likes]]+Table1_145[[#This Row],[Shares]]+Table1_145[[#This Row],[Comments]])/Table1_145[[#This Row],[Impressions]]</f>
        <v>8.7668609086629767E-2</v>
      </c>
    </row>
    <row r="100" spans="1:16" x14ac:dyDescent="0.3">
      <c r="A100" s="6" t="s">
        <v>151</v>
      </c>
      <c r="B100" s="1" t="s">
        <v>14</v>
      </c>
      <c r="C100" s="7">
        <v>45453</v>
      </c>
      <c r="D100" s="1" t="s">
        <v>29</v>
      </c>
      <c r="E100" s="1" t="s">
        <v>98</v>
      </c>
      <c r="F100" s="1">
        <v>1575</v>
      </c>
      <c r="G100" s="1">
        <v>771</v>
      </c>
      <c r="H100" s="1">
        <v>486</v>
      </c>
      <c r="I100" s="1">
        <v>25200</v>
      </c>
      <c r="J100" s="1">
        <v>24826</v>
      </c>
      <c r="K100" s="1">
        <v>17</v>
      </c>
      <c r="L100" s="1" t="s">
        <v>48</v>
      </c>
      <c r="M100" s="1" t="s">
        <v>359</v>
      </c>
      <c r="N100" s="1" t="s">
        <v>359</v>
      </c>
      <c r="O100" s="8" t="s">
        <v>32</v>
      </c>
      <c r="P100" s="15">
        <f>(Table1_145[[#This Row],[Likes]]+Table1_145[[#This Row],[Shares]]+Table1_145[[#This Row],[Comments]])/Table1_145[[#This Row],[Impressions]]</f>
        <v>0.11238095238095239</v>
      </c>
    </row>
    <row r="101" spans="1:16" x14ac:dyDescent="0.3">
      <c r="A101" s="6" t="s">
        <v>152</v>
      </c>
      <c r="B101" s="1" t="s">
        <v>23</v>
      </c>
      <c r="C101" s="7">
        <v>45475</v>
      </c>
      <c r="D101" s="1" t="s">
        <v>36</v>
      </c>
      <c r="E101" s="1" t="s">
        <v>52</v>
      </c>
      <c r="F101" s="1">
        <v>4171</v>
      </c>
      <c r="G101" s="1">
        <v>548</v>
      </c>
      <c r="H101" s="1">
        <v>86</v>
      </c>
      <c r="I101" s="1">
        <v>66736</v>
      </c>
      <c r="J101" s="1">
        <v>66634</v>
      </c>
      <c r="K101" s="1">
        <v>173</v>
      </c>
      <c r="L101" s="1" t="s">
        <v>48</v>
      </c>
      <c r="M101" s="1" t="s">
        <v>359</v>
      </c>
      <c r="N101" s="1" t="s">
        <v>359</v>
      </c>
      <c r="O101" s="8" t="s">
        <v>26</v>
      </c>
      <c r="P101" s="15">
        <f>(Table1_145[[#This Row],[Likes]]+Table1_145[[#This Row],[Shares]]+Table1_145[[#This Row],[Comments]])/Table1_145[[#This Row],[Impressions]]</f>
        <v>7.2000119875329657E-2</v>
      </c>
    </row>
    <row r="102" spans="1:16" x14ac:dyDescent="0.3">
      <c r="A102" s="6" t="s">
        <v>153</v>
      </c>
      <c r="B102" s="1" t="s">
        <v>23</v>
      </c>
      <c r="C102" s="7">
        <v>45698</v>
      </c>
      <c r="D102" s="1" t="s">
        <v>56</v>
      </c>
      <c r="E102" s="1" t="s">
        <v>136</v>
      </c>
      <c r="F102" s="1">
        <v>1766</v>
      </c>
      <c r="G102" s="1">
        <v>92</v>
      </c>
      <c r="H102" s="1">
        <v>424</v>
      </c>
      <c r="I102" s="1">
        <v>24724</v>
      </c>
      <c r="J102" s="1">
        <v>24333</v>
      </c>
      <c r="K102" s="1">
        <v>52</v>
      </c>
      <c r="L102" s="1" t="s">
        <v>31</v>
      </c>
      <c r="M102" s="1" t="s">
        <v>359</v>
      </c>
      <c r="N102" s="1" t="s">
        <v>359</v>
      </c>
      <c r="O102" s="8" t="s">
        <v>360</v>
      </c>
      <c r="P102" s="15">
        <f>(Table1_145[[#This Row],[Likes]]+Table1_145[[#This Row],[Shares]]+Table1_145[[#This Row],[Comments]])/Table1_145[[#This Row],[Impressions]]</f>
        <v>9.2298980747451867E-2</v>
      </c>
    </row>
    <row r="103" spans="1:16" x14ac:dyDescent="0.3">
      <c r="A103" s="6" t="s">
        <v>154</v>
      </c>
      <c r="B103" s="1" t="s">
        <v>23</v>
      </c>
      <c r="C103" s="7">
        <v>45583</v>
      </c>
      <c r="D103" s="1" t="s">
        <v>56</v>
      </c>
      <c r="E103" s="1" t="s">
        <v>136</v>
      </c>
      <c r="F103" s="1">
        <v>4450</v>
      </c>
      <c r="G103" s="1">
        <v>983</v>
      </c>
      <c r="H103" s="1">
        <v>143</v>
      </c>
      <c r="I103" s="1">
        <v>75650</v>
      </c>
      <c r="J103" s="1">
        <v>75008</v>
      </c>
      <c r="K103" s="1">
        <v>12</v>
      </c>
      <c r="L103" s="1" t="s">
        <v>48</v>
      </c>
      <c r="M103" s="1" t="s">
        <v>359</v>
      </c>
      <c r="N103" s="1" t="s">
        <v>359</v>
      </c>
      <c r="O103" s="8" t="s">
        <v>26</v>
      </c>
      <c r="P103" s="15">
        <f>(Table1_145[[#This Row],[Likes]]+Table1_145[[#This Row],[Shares]]+Table1_145[[#This Row],[Comments]])/Table1_145[[#This Row],[Impressions]]</f>
        <v>7.3707865168539333E-2</v>
      </c>
    </row>
    <row r="104" spans="1:16" x14ac:dyDescent="0.3">
      <c r="A104" s="6" t="s">
        <v>155</v>
      </c>
      <c r="B104" s="1" t="s">
        <v>14</v>
      </c>
      <c r="C104" s="7">
        <v>45553</v>
      </c>
      <c r="D104" s="1" t="s">
        <v>15</v>
      </c>
      <c r="E104" s="1" t="s">
        <v>16</v>
      </c>
      <c r="F104" s="1">
        <v>1000</v>
      </c>
      <c r="G104" s="1">
        <v>978</v>
      </c>
      <c r="H104" s="1">
        <v>162</v>
      </c>
      <c r="I104" s="1">
        <v>6000</v>
      </c>
      <c r="J104" s="1">
        <v>5221</v>
      </c>
      <c r="K104" s="1">
        <v>223</v>
      </c>
      <c r="L104" s="1" t="s">
        <v>31</v>
      </c>
      <c r="M104" s="1" t="s">
        <v>359</v>
      </c>
      <c r="N104" s="1" t="s">
        <v>359</v>
      </c>
      <c r="O104" s="8" t="s">
        <v>21</v>
      </c>
      <c r="P104" s="15">
        <f>(Table1_145[[#This Row],[Likes]]+Table1_145[[#This Row],[Shares]]+Table1_145[[#This Row],[Comments]])/Table1_145[[#This Row],[Impressions]]</f>
        <v>0.35666666666666669</v>
      </c>
    </row>
    <row r="105" spans="1:16" x14ac:dyDescent="0.3">
      <c r="A105" s="6" t="s">
        <v>156</v>
      </c>
      <c r="B105" s="1" t="s">
        <v>35</v>
      </c>
      <c r="C105" s="7">
        <v>45454</v>
      </c>
      <c r="D105" s="1" t="s">
        <v>41</v>
      </c>
      <c r="E105" s="1" t="s">
        <v>46</v>
      </c>
      <c r="F105" s="1">
        <v>3689</v>
      </c>
      <c r="G105" s="1">
        <v>48</v>
      </c>
      <c r="H105" s="1">
        <v>306</v>
      </c>
      <c r="I105" s="1">
        <v>40579</v>
      </c>
      <c r="J105" s="1">
        <v>39588</v>
      </c>
      <c r="K105" s="1">
        <v>212</v>
      </c>
      <c r="L105" s="1" t="s">
        <v>31</v>
      </c>
      <c r="M105" s="1" t="s">
        <v>359</v>
      </c>
      <c r="N105" s="1" t="s">
        <v>359</v>
      </c>
      <c r="O105" s="8" t="s">
        <v>21</v>
      </c>
      <c r="P105" s="15">
        <f>(Table1_145[[#This Row],[Likes]]+Table1_145[[#This Row],[Shares]]+Table1_145[[#This Row],[Comments]])/Table1_145[[#This Row],[Impressions]]</f>
        <v>9.9632815002833983E-2</v>
      </c>
    </row>
    <row r="106" spans="1:16" x14ac:dyDescent="0.3">
      <c r="A106" s="6" t="s">
        <v>157</v>
      </c>
      <c r="B106" s="1" t="s">
        <v>23</v>
      </c>
      <c r="C106" s="7">
        <v>45739</v>
      </c>
      <c r="D106" s="1" t="s">
        <v>29</v>
      </c>
      <c r="E106" s="1" t="s">
        <v>101</v>
      </c>
      <c r="F106" s="1">
        <v>3655</v>
      </c>
      <c r="G106" s="1">
        <v>568</v>
      </c>
      <c r="H106" s="1">
        <v>286</v>
      </c>
      <c r="I106" s="1">
        <v>32895</v>
      </c>
      <c r="J106" s="1">
        <v>32015</v>
      </c>
      <c r="K106" s="1">
        <v>199</v>
      </c>
      <c r="L106" s="1" t="s">
        <v>25</v>
      </c>
      <c r="M106" s="1" t="s">
        <v>359</v>
      </c>
      <c r="N106" s="1" t="s">
        <v>359</v>
      </c>
      <c r="O106" s="8" t="s">
        <v>26</v>
      </c>
      <c r="P106" s="15">
        <f>(Table1_145[[#This Row],[Likes]]+Table1_145[[#This Row],[Shares]]+Table1_145[[#This Row],[Comments]])/Table1_145[[#This Row],[Impressions]]</f>
        <v>0.13707250341997265</v>
      </c>
    </row>
    <row r="107" spans="1:16" x14ac:dyDescent="0.3">
      <c r="A107" s="6" t="s">
        <v>158</v>
      </c>
      <c r="B107" s="1" t="s">
        <v>28</v>
      </c>
      <c r="C107" s="7">
        <v>45457</v>
      </c>
      <c r="D107" s="1" t="s">
        <v>36</v>
      </c>
      <c r="E107" s="1" t="s">
        <v>65</v>
      </c>
      <c r="F107" s="1">
        <v>498</v>
      </c>
      <c r="G107" s="1">
        <v>38</v>
      </c>
      <c r="H107" s="1">
        <v>42</v>
      </c>
      <c r="I107" s="1">
        <v>4482</v>
      </c>
      <c r="J107" s="1">
        <v>3647</v>
      </c>
      <c r="K107" s="1">
        <v>32</v>
      </c>
      <c r="L107" s="1" t="s">
        <v>48</v>
      </c>
      <c r="M107" s="1" t="s">
        <v>359</v>
      </c>
      <c r="N107" s="1" t="s">
        <v>359</v>
      </c>
      <c r="O107" s="8" t="s">
        <v>17</v>
      </c>
      <c r="P107" s="15">
        <f>(Table1_145[[#This Row],[Likes]]+Table1_145[[#This Row],[Shares]]+Table1_145[[#This Row],[Comments]])/Table1_145[[#This Row],[Impressions]]</f>
        <v>0.12896028558679162</v>
      </c>
    </row>
    <row r="108" spans="1:16" x14ac:dyDescent="0.3">
      <c r="A108" s="6" t="s">
        <v>159</v>
      </c>
      <c r="B108" s="1" t="s">
        <v>28</v>
      </c>
      <c r="C108" s="7">
        <v>45692</v>
      </c>
      <c r="D108" s="1" t="s">
        <v>41</v>
      </c>
      <c r="E108" s="1" t="s">
        <v>134</v>
      </c>
      <c r="F108" s="1">
        <v>4619</v>
      </c>
      <c r="G108" s="1">
        <v>821</v>
      </c>
      <c r="H108" s="1">
        <v>499</v>
      </c>
      <c r="I108" s="1">
        <v>69285</v>
      </c>
      <c r="J108" s="1">
        <v>69141</v>
      </c>
      <c r="K108" s="1">
        <v>298</v>
      </c>
      <c r="L108" s="1" t="s">
        <v>25</v>
      </c>
      <c r="M108" s="1" t="s">
        <v>359</v>
      </c>
      <c r="N108" s="1" t="s">
        <v>359</v>
      </c>
      <c r="O108" s="8" t="s">
        <v>32</v>
      </c>
      <c r="P108" s="15">
        <f>(Table1_145[[#This Row],[Likes]]+Table1_145[[#This Row],[Shares]]+Table1_145[[#This Row],[Comments]])/Table1_145[[#This Row],[Impressions]]</f>
        <v>8.5718409468138843E-2</v>
      </c>
    </row>
    <row r="109" spans="1:16" x14ac:dyDescent="0.3">
      <c r="A109" s="6" t="s">
        <v>160</v>
      </c>
      <c r="B109" s="1" t="s">
        <v>23</v>
      </c>
      <c r="C109" s="7">
        <v>45464</v>
      </c>
      <c r="D109" s="1" t="s">
        <v>41</v>
      </c>
      <c r="E109" s="1" t="s">
        <v>42</v>
      </c>
      <c r="F109" s="1">
        <v>4832</v>
      </c>
      <c r="G109" s="1">
        <v>893</v>
      </c>
      <c r="H109" s="1">
        <v>10</v>
      </c>
      <c r="I109" s="1">
        <v>91808</v>
      </c>
      <c r="J109" s="1">
        <v>91296</v>
      </c>
      <c r="K109" s="1">
        <v>182</v>
      </c>
      <c r="L109" s="1" t="s">
        <v>25</v>
      </c>
      <c r="M109" s="1" t="s">
        <v>359</v>
      </c>
      <c r="N109" s="1" t="s">
        <v>359</v>
      </c>
      <c r="O109" s="8" t="s">
        <v>360</v>
      </c>
      <c r="P109" s="15">
        <f>(Table1_145[[#This Row],[Likes]]+Table1_145[[#This Row],[Shares]]+Table1_145[[#This Row],[Comments]])/Table1_145[[#This Row],[Impressions]]</f>
        <v>6.2467323109097243E-2</v>
      </c>
    </row>
    <row r="110" spans="1:16" x14ac:dyDescent="0.3">
      <c r="A110" s="6" t="s">
        <v>161</v>
      </c>
      <c r="B110" s="1" t="s">
        <v>14</v>
      </c>
      <c r="C110" s="7">
        <v>45741</v>
      </c>
      <c r="D110" s="1" t="s">
        <v>56</v>
      </c>
      <c r="E110" s="1" t="s">
        <v>95</v>
      </c>
      <c r="F110" s="1">
        <v>4050</v>
      </c>
      <c r="G110" s="1">
        <v>871</v>
      </c>
      <c r="H110" s="1">
        <v>347</v>
      </c>
      <c r="I110" s="1">
        <v>52650</v>
      </c>
      <c r="J110" s="1">
        <v>51755</v>
      </c>
      <c r="K110" s="1">
        <v>209</v>
      </c>
      <c r="L110" s="1" t="s">
        <v>25</v>
      </c>
      <c r="M110" s="1" t="s">
        <v>359</v>
      </c>
      <c r="N110" s="1" t="s">
        <v>359</v>
      </c>
      <c r="O110" s="8" t="s">
        <v>21</v>
      </c>
      <c r="P110" s="15">
        <f>(Table1_145[[#This Row],[Likes]]+Table1_145[[#This Row],[Shares]]+Table1_145[[#This Row],[Comments]])/Table1_145[[#This Row],[Impressions]]</f>
        <v>0.10005698005698006</v>
      </c>
    </row>
    <row r="111" spans="1:16" x14ac:dyDescent="0.3">
      <c r="A111" s="6" t="s">
        <v>162</v>
      </c>
      <c r="B111" s="1" t="s">
        <v>14</v>
      </c>
      <c r="C111" s="7">
        <v>45512</v>
      </c>
      <c r="D111" s="1" t="s">
        <v>29</v>
      </c>
      <c r="E111" s="1" t="s">
        <v>98</v>
      </c>
      <c r="F111" s="1">
        <v>3649</v>
      </c>
      <c r="G111" s="1">
        <v>215</v>
      </c>
      <c r="H111" s="1">
        <v>413</v>
      </c>
      <c r="I111" s="1">
        <v>25543</v>
      </c>
      <c r="J111" s="1">
        <v>24963</v>
      </c>
      <c r="K111" s="1">
        <v>167</v>
      </c>
      <c r="L111" s="1" t="s">
        <v>48</v>
      </c>
      <c r="M111" s="1" t="s">
        <v>359</v>
      </c>
      <c r="N111" s="1" t="s">
        <v>359</v>
      </c>
      <c r="O111" s="8" t="s">
        <v>26</v>
      </c>
      <c r="P111" s="15">
        <f>(Table1_145[[#This Row],[Likes]]+Table1_145[[#This Row],[Shares]]+Table1_145[[#This Row],[Comments]])/Table1_145[[#This Row],[Impressions]]</f>
        <v>0.16744313510550835</v>
      </c>
    </row>
    <row r="112" spans="1:16" x14ac:dyDescent="0.3">
      <c r="A112" s="6" t="s">
        <v>163</v>
      </c>
      <c r="B112" s="1" t="s">
        <v>28</v>
      </c>
      <c r="C112" s="7">
        <v>45502</v>
      </c>
      <c r="D112" s="1" t="s">
        <v>15</v>
      </c>
      <c r="E112" s="1" t="s">
        <v>61</v>
      </c>
      <c r="F112" s="1">
        <v>3523</v>
      </c>
      <c r="G112" s="1">
        <v>753</v>
      </c>
      <c r="H112" s="1">
        <v>482</v>
      </c>
      <c r="I112" s="1">
        <v>38753</v>
      </c>
      <c r="J112" s="1">
        <v>38579</v>
      </c>
      <c r="K112" s="1">
        <v>270</v>
      </c>
      <c r="L112" s="1" t="s">
        <v>31</v>
      </c>
      <c r="M112" s="1" t="s">
        <v>359</v>
      </c>
      <c r="N112" s="1" t="s">
        <v>359</v>
      </c>
      <c r="O112" s="8" t="s">
        <v>21</v>
      </c>
      <c r="P112" s="15">
        <f>(Table1_145[[#This Row],[Likes]]+Table1_145[[#This Row],[Shares]]+Table1_145[[#This Row],[Comments]])/Table1_145[[#This Row],[Impressions]]</f>
        <v>0.12277759141227776</v>
      </c>
    </row>
    <row r="113" spans="1:16" x14ac:dyDescent="0.3">
      <c r="A113" s="6" t="s">
        <v>164</v>
      </c>
      <c r="B113" s="1" t="s">
        <v>23</v>
      </c>
      <c r="C113" s="7">
        <v>45619</v>
      </c>
      <c r="D113" s="1" t="s">
        <v>41</v>
      </c>
      <c r="E113" s="1" t="s">
        <v>42</v>
      </c>
      <c r="F113" s="1">
        <v>2719</v>
      </c>
      <c r="G113" s="1">
        <v>17</v>
      </c>
      <c r="H113" s="1">
        <v>285</v>
      </c>
      <c r="I113" s="1">
        <v>40785</v>
      </c>
      <c r="J113" s="1">
        <v>40281</v>
      </c>
      <c r="K113" s="1">
        <v>40</v>
      </c>
      <c r="L113" s="1" t="s">
        <v>25</v>
      </c>
      <c r="M113" s="1" t="s">
        <v>359</v>
      </c>
      <c r="N113" s="1" t="s">
        <v>359</v>
      </c>
      <c r="O113" s="8" t="s">
        <v>21</v>
      </c>
      <c r="P113" s="15">
        <f>(Table1_145[[#This Row],[Likes]]+Table1_145[[#This Row],[Shares]]+Table1_145[[#This Row],[Comments]])/Table1_145[[#This Row],[Impressions]]</f>
        <v>7.4071349760941527E-2</v>
      </c>
    </row>
    <row r="114" spans="1:16" x14ac:dyDescent="0.3">
      <c r="A114" s="6" t="s">
        <v>165</v>
      </c>
      <c r="B114" s="1" t="s">
        <v>14</v>
      </c>
      <c r="C114" s="7">
        <v>45570</v>
      </c>
      <c r="D114" s="1" t="s">
        <v>29</v>
      </c>
      <c r="E114" s="1" t="s">
        <v>98</v>
      </c>
      <c r="F114" s="1">
        <v>1957</v>
      </c>
      <c r="G114" s="1">
        <v>877</v>
      </c>
      <c r="H114" s="1">
        <v>238</v>
      </c>
      <c r="I114" s="1">
        <v>17613</v>
      </c>
      <c r="J114" s="1">
        <v>16865</v>
      </c>
      <c r="K114" s="1">
        <v>297</v>
      </c>
      <c r="L114" s="1" t="s">
        <v>48</v>
      </c>
      <c r="M114" s="1" t="s">
        <v>359</v>
      </c>
      <c r="N114" s="1" t="s">
        <v>359</v>
      </c>
      <c r="O114" s="8" t="s">
        <v>26</v>
      </c>
      <c r="P114" s="15">
        <f>(Table1_145[[#This Row],[Likes]]+Table1_145[[#This Row],[Shares]]+Table1_145[[#This Row],[Comments]])/Table1_145[[#This Row],[Impressions]]</f>
        <v>0.17441662408448305</v>
      </c>
    </row>
    <row r="115" spans="1:16" x14ac:dyDescent="0.3">
      <c r="A115" s="6" t="s">
        <v>166</v>
      </c>
      <c r="B115" s="1" t="s">
        <v>14</v>
      </c>
      <c r="C115" s="7">
        <v>45567</v>
      </c>
      <c r="D115" s="1" t="s">
        <v>36</v>
      </c>
      <c r="E115" s="1" t="s">
        <v>39</v>
      </c>
      <c r="F115" s="1">
        <v>4419</v>
      </c>
      <c r="G115" s="1">
        <v>236</v>
      </c>
      <c r="H115" s="1">
        <v>369</v>
      </c>
      <c r="I115" s="1">
        <v>44190</v>
      </c>
      <c r="J115" s="1">
        <v>43582</v>
      </c>
      <c r="K115" s="1">
        <v>10</v>
      </c>
      <c r="L115" s="1" t="s">
        <v>31</v>
      </c>
      <c r="M115" s="1" t="s">
        <v>359</v>
      </c>
      <c r="N115" s="1" t="s">
        <v>359</v>
      </c>
      <c r="O115" s="8" t="s">
        <v>17</v>
      </c>
      <c r="P115" s="15">
        <f>(Table1_145[[#This Row],[Likes]]+Table1_145[[#This Row],[Shares]]+Table1_145[[#This Row],[Comments]])/Table1_145[[#This Row],[Impressions]]</f>
        <v>0.11369088028965829</v>
      </c>
    </row>
    <row r="116" spans="1:16" x14ac:dyDescent="0.3">
      <c r="A116" s="6" t="s">
        <v>167</v>
      </c>
      <c r="B116" s="1" t="s">
        <v>14</v>
      </c>
      <c r="C116" s="7">
        <v>45610</v>
      </c>
      <c r="D116" s="1" t="s">
        <v>29</v>
      </c>
      <c r="E116" s="1" t="s">
        <v>98</v>
      </c>
      <c r="F116" s="1">
        <v>4000</v>
      </c>
      <c r="G116" s="1">
        <v>689</v>
      </c>
      <c r="H116" s="1">
        <v>488</v>
      </c>
      <c r="I116" s="1">
        <v>40000</v>
      </c>
      <c r="J116" s="1">
        <v>39569</v>
      </c>
      <c r="K116" s="1">
        <v>44</v>
      </c>
      <c r="L116" s="1" t="s">
        <v>48</v>
      </c>
      <c r="M116" s="1" t="s">
        <v>359</v>
      </c>
      <c r="N116" s="1" t="s">
        <v>359</v>
      </c>
      <c r="O116" s="8" t="s">
        <v>17</v>
      </c>
      <c r="P116" s="15">
        <f>(Table1_145[[#This Row],[Likes]]+Table1_145[[#This Row],[Shares]]+Table1_145[[#This Row],[Comments]])/Table1_145[[#This Row],[Impressions]]</f>
        <v>0.12942500000000001</v>
      </c>
    </row>
    <row r="117" spans="1:16" x14ac:dyDescent="0.3">
      <c r="A117" s="6" t="s">
        <v>168</v>
      </c>
      <c r="B117" s="1" t="s">
        <v>14</v>
      </c>
      <c r="C117" s="7">
        <v>45788</v>
      </c>
      <c r="D117" s="1" t="s">
        <v>41</v>
      </c>
      <c r="E117" s="1" t="s">
        <v>88</v>
      </c>
      <c r="F117" s="1">
        <v>2493</v>
      </c>
      <c r="G117" s="1">
        <v>97</v>
      </c>
      <c r="H117" s="1">
        <v>44</v>
      </c>
      <c r="I117" s="1">
        <v>42381</v>
      </c>
      <c r="J117" s="1">
        <v>41991</v>
      </c>
      <c r="K117" s="1">
        <v>242</v>
      </c>
      <c r="L117" s="1" t="s">
        <v>25</v>
      </c>
      <c r="M117" s="1" t="s">
        <v>354</v>
      </c>
      <c r="N117" s="1" t="s">
        <v>359</v>
      </c>
      <c r="O117" s="8" t="s">
        <v>32</v>
      </c>
      <c r="P117" s="15">
        <f>(Table1_145[[#This Row],[Likes]]+Table1_145[[#This Row],[Shares]]+Table1_145[[#This Row],[Comments]])/Table1_145[[#This Row],[Impressions]]</f>
        <v>6.2150491965739366E-2</v>
      </c>
    </row>
    <row r="118" spans="1:16" x14ac:dyDescent="0.3">
      <c r="A118" s="6" t="s">
        <v>169</v>
      </c>
      <c r="B118" s="1" t="s">
        <v>23</v>
      </c>
      <c r="C118" s="7">
        <v>45734</v>
      </c>
      <c r="D118" s="1" t="s">
        <v>15</v>
      </c>
      <c r="E118" s="1" t="s">
        <v>24</v>
      </c>
      <c r="F118" s="1">
        <v>3704</v>
      </c>
      <c r="G118" s="1">
        <v>186</v>
      </c>
      <c r="H118" s="1">
        <v>458</v>
      </c>
      <c r="I118" s="1">
        <v>25928</v>
      </c>
      <c r="J118" s="1">
        <v>25081</v>
      </c>
      <c r="K118" s="1">
        <v>131</v>
      </c>
      <c r="L118" s="1" t="s">
        <v>25</v>
      </c>
      <c r="M118" s="1" t="s">
        <v>359</v>
      </c>
      <c r="N118" s="1" t="s">
        <v>359</v>
      </c>
      <c r="O118" s="8" t="s">
        <v>360</v>
      </c>
      <c r="P118" s="15">
        <f>(Table1_145[[#This Row],[Likes]]+Table1_145[[#This Row],[Shares]]+Table1_145[[#This Row],[Comments]])/Table1_145[[#This Row],[Impressions]]</f>
        <v>0.16769515581610614</v>
      </c>
    </row>
    <row r="119" spans="1:16" x14ac:dyDescent="0.3">
      <c r="A119" s="6" t="s">
        <v>170</v>
      </c>
      <c r="B119" s="1" t="s">
        <v>14</v>
      </c>
      <c r="C119" s="7">
        <v>45600</v>
      </c>
      <c r="D119" s="1" t="s">
        <v>41</v>
      </c>
      <c r="E119" s="1" t="s">
        <v>88</v>
      </c>
      <c r="F119" s="1">
        <v>1606</v>
      </c>
      <c r="G119" s="1">
        <v>451</v>
      </c>
      <c r="H119" s="1">
        <v>405</v>
      </c>
      <c r="I119" s="1">
        <v>20878</v>
      </c>
      <c r="J119" s="1">
        <v>20190</v>
      </c>
      <c r="K119" s="1">
        <v>219</v>
      </c>
      <c r="L119" s="1" t="s">
        <v>31</v>
      </c>
      <c r="M119" s="1" t="s">
        <v>359</v>
      </c>
      <c r="N119" s="1" t="s">
        <v>359</v>
      </c>
      <c r="O119" s="8" t="s">
        <v>32</v>
      </c>
      <c r="P119" s="15">
        <f>(Table1_145[[#This Row],[Likes]]+Table1_145[[#This Row],[Shares]]+Table1_145[[#This Row],[Comments]])/Table1_145[[#This Row],[Impressions]]</f>
        <v>0.11792317271769326</v>
      </c>
    </row>
    <row r="120" spans="1:16" x14ac:dyDescent="0.3">
      <c r="A120" s="6" t="s">
        <v>171</v>
      </c>
      <c r="B120" s="1" t="s">
        <v>35</v>
      </c>
      <c r="C120" s="7">
        <v>45600</v>
      </c>
      <c r="D120" s="1" t="s">
        <v>41</v>
      </c>
      <c r="E120" s="1" t="s">
        <v>46</v>
      </c>
      <c r="F120" s="1">
        <v>4551</v>
      </c>
      <c r="G120" s="1">
        <v>714</v>
      </c>
      <c r="H120" s="1">
        <v>207</v>
      </c>
      <c r="I120" s="1">
        <v>68265</v>
      </c>
      <c r="J120" s="1">
        <v>67754</v>
      </c>
      <c r="K120" s="1">
        <v>57</v>
      </c>
      <c r="L120" s="1" t="s">
        <v>48</v>
      </c>
      <c r="M120" s="1" t="s">
        <v>359</v>
      </c>
      <c r="N120" s="1" t="s">
        <v>359</v>
      </c>
      <c r="O120" s="8" t="s">
        <v>26</v>
      </c>
      <c r="P120" s="15">
        <f>(Table1_145[[#This Row],[Likes]]+Table1_145[[#This Row],[Shares]]+Table1_145[[#This Row],[Comments]])/Table1_145[[#This Row],[Impressions]]</f>
        <v>8.0158206987475278E-2</v>
      </c>
    </row>
    <row r="121" spans="1:16" x14ac:dyDescent="0.3">
      <c r="A121" s="6" t="s">
        <v>172</v>
      </c>
      <c r="B121" s="1" t="s">
        <v>28</v>
      </c>
      <c r="C121" s="7">
        <v>45695</v>
      </c>
      <c r="D121" s="1" t="s">
        <v>15</v>
      </c>
      <c r="E121" s="1" t="s">
        <v>61</v>
      </c>
      <c r="F121" s="1">
        <v>1970</v>
      </c>
      <c r="G121" s="1">
        <v>675</v>
      </c>
      <c r="H121" s="1">
        <v>478</v>
      </c>
      <c r="I121" s="1">
        <v>9850</v>
      </c>
      <c r="J121" s="1">
        <v>8924</v>
      </c>
      <c r="K121" s="1">
        <v>117</v>
      </c>
      <c r="L121" s="1" t="s">
        <v>48</v>
      </c>
      <c r="M121" s="1" t="s">
        <v>359</v>
      </c>
      <c r="N121" s="1" t="s">
        <v>359</v>
      </c>
      <c r="O121" s="8" t="s">
        <v>360</v>
      </c>
      <c r="P121" s="15">
        <f>(Table1_145[[#This Row],[Likes]]+Table1_145[[#This Row],[Shares]]+Table1_145[[#This Row],[Comments]])/Table1_145[[#This Row],[Impressions]]</f>
        <v>0.31705583756345179</v>
      </c>
    </row>
    <row r="122" spans="1:16" x14ac:dyDescent="0.3">
      <c r="A122" s="6" t="s">
        <v>173</v>
      </c>
      <c r="B122" s="1" t="s">
        <v>35</v>
      </c>
      <c r="C122" s="7">
        <v>45586</v>
      </c>
      <c r="D122" s="1" t="s">
        <v>29</v>
      </c>
      <c r="E122" s="1" t="s">
        <v>54</v>
      </c>
      <c r="F122" s="1">
        <v>780</v>
      </c>
      <c r="G122" s="1">
        <v>928</v>
      </c>
      <c r="H122" s="1">
        <v>301</v>
      </c>
      <c r="I122" s="1">
        <v>8580</v>
      </c>
      <c r="J122" s="1">
        <v>8081</v>
      </c>
      <c r="K122" s="1">
        <v>91</v>
      </c>
      <c r="L122" s="1" t="s">
        <v>31</v>
      </c>
      <c r="M122" s="1" t="s">
        <v>359</v>
      </c>
      <c r="N122" s="1" t="s">
        <v>359</v>
      </c>
      <c r="O122" s="8" t="s">
        <v>26</v>
      </c>
      <c r="P122" s="15">
        <f>(Table1_145[[#This Row],[Likes]]+Table1_145[[#This Row],[Shares]]+Table1_145[[#This Row],[Comments]])/Table1_145[[#This Row],[Impressions]]</f>
        <v>0.23414918414918415</v>
      </c>
    </row>
    <row r="123" spans="1:16" x14ac:dyDescent="0.3">
      <c r="A123" s="6" t="s">
        <v>174</v>
      </c>
      <c r="B123" s="1" t="s">
        <v>28</v>
      </c>
      <c r="C123" s="7">
        <v>45502</v>
      </c>
      <c r="D123" s="1" t="s">
        <v>29</v>
      </c>
      <c r="E123" s="1" t="s">
        <v>30</v>
      </c>
      <c r="F123" s="1">
        <v>498</v>
      </c>
      <c r="G123" s="1">
        <v>701</v>
      </c>
      <c r="H123" s="1">
        <v>412</v>
      </c>
      <c r="I123" s="1">
        <v>4980</v>
      </c>
      <c r="J123" s="1">
        <v>4185</v>
      </c>
      <c r="K123" s="1">
        <v>185</v>
      </c>
      <c r="L123" s="1" t="s">
        <v>48</v>
      </c>
      <c r="M123" s="1" t="s">
        <v>359</v>
      </c>
      <c r="N123" s="1" t="s">
        <v>359</v>
      </c>
      <c r="O123" s="8" t="s">
        <v>360</v>
      </c>
      <c r="P123" s="15">
        <f>(Table1_145[[#This Row],[Likes]]+Table1_145[[#This Row],[Shares]]+Table1_145[[#This Row],[Comments]])/Table1_145[[#This Row],[Impressions]]</f>
        <v>0.32349397590361445</v>
      </c>
    </row>
    <row r="124" spans="1:16" x14ac:dyDescent="0.3">
      <c r="A124" s="6" t="s">
        <v>175</v>
      </c>
      <c r="B124" s="1" t="s">
        <v>28</v>
      </c>
      <c r="C124" s="7">
        <v>45567</v>
      </c>
      <c r="D124" s="1" t="s">
        <v>19</v>
      </c>
      <c r="E124" s="1" t="s">
        <v>78</v>
      </c>
      <c r="F124" s="1">
        <v>3432</v>
      </c>
      <c r="G124" s="1">
        <v>869</v>
      </c>
      <c r="H124" s="1">
        <v>123</v>
      </c>
      <c r="I124" s="1">
        <v>54912</v>
      </c>
      <c r="J124" s="1">
        <v>53916</v>
      </c>
      <c r="K124" s="1">
        <v>264</v>
      </c>
      <c r="L124" s="1" t="s">
        <v>31</v>
      </c>
      <c r="M124" s="1" t="s">
        <v>359</v>
      </c>
      <c r="N124" s="1" t="s">
        <v>359</v>
      </c>
      <c r="O124" s="8" t="s">
        <v>21</v>
      </c>
      <c r="P124" s="15">
        <f>(Table1_145[[#This Row],[Likes]]+Table1_145[[#This Row],[Shares]]+Table1_145[[#This Row],[Comments]])/Table1_145[[#This Row],[Impressions]]</f>
        <v>8.0565268065268064E-2</v>
      </c>
    </row>
    <row r="125" spans="1:16" x14ac:dyDescent="0.3">
      <c r="A125" s="6" t="s">
        <v>176</v>
      </c>
      <c r="B125" s="1" t="s">
        <v>28</v>
      </c>
      <c r="C125" s="7">
        <v>45457</v>
      </c>
      <c r="D125" s="1" t="s">
        <v>29</v>
      </c>
      <c r="E125" s="1" t="s">
        <v>30</v>
      </c>
      <c r="F125" s="1">
        <v>4363</v>
      </c>
      <c r="G125" s="1">
        <v>649</v>
      </c>
      <c r="H125" s="1">
        <v>140</v>
      </c>
      <c r="I125" s="1">
        <v>21815</v>
      </c>
      <c r="J125" s="1">
        <v>21481</v>
      </c>
      <c r="K125" s="1">
        <v>157</v>
      </c>
      <c r="L125" s="1" t="s">
        <v>31</v>
      </c>
      <c r="M125" s="1" t="s">
        <v>359</v>
      </c>
      <c r="N125" s="1" t="s">
        <v>359</v>
      </c>
      <c r="O125" s="8" t="s">
        <v>17</v>
      </c>
      <c r="P125" s="15">
        <f>(Table1_145[[#This Row],[Likes]]+Table1_145[[#This Row],[Shares]]+Table1_145[[#This Row],[Comments]])/Table1_145[[#This Row],[Impressions]]</f>
        <v>0.23616777446710979</v>
      </c>
    </row>
    <row r="126" spans="1:16" x14ac:dyDescent="0.3">
      <c r="A126" s="6" t="s">
        <v>177</v>
      </c>
      <c r="B126" s="1" t="s">
        <v>23</v>
      </c>
      <c r="C126" s="7">
        <v>45753</v>
      </c>
      <c r="D126" s="1" t="s">
        <v>36</v>
      </c>
      <c r="E126" s="1" t="s">
        <v>52</v>
      </c>
      <c r="F126" s="1">
        <v>736</v>
      </c>
      <c r="G126" s="1">
        <v>771</v>
      </c>
      <c r="H126" s="1">
        <v>225</v>
      </c>
      <c r="I126" s="1">
        <v>5152</v>
      </c>
      <c r="J126" s="1">
        <v>4706</v>
      </c>
      <c r="K126" s="1">
        <v>19</v>
      </c>
      <c r="L126" s="1" t="s">
        <v>31</v>
      </c>
      <c r="M126" s="1" t="s">
        <v>359</v>
      </c>
      <c r="N126" s="1" t="s">
        <v>359</v>
      </c>
      <c r="O126" s="8" t="s">
        <v>17</v>
      </c>
      <c r="P126" s="15">
        <f>(Table1_145[[#This Row],[Likes]]+Table1_145[[#This Row],[Shares]]+Table1_145[[#This Row],[Comments]])/Table1_145[[#This Row],[Impressions]]</f>
        <v>0.33618012422360249</v>
      </c>
    </row>
    <row r="127" spans="1:16" x14ac:dyDescent="0.3">
      <c r="A127" s="6" t="s">
        <v>178</v>
      </c>
      <c r="B127" s="1" t="s">
        <v>14</v>
      </c>
      <c r="C127" s="7">
        <v>45543</v>
      </c>
      <c r="D127" s="1" t="s">
        <v>36</v>
      </c>
      <c r="E127" s="1" t="s">
        <v>39</v>
      </c>
      <c r="F127" s="1">
        <v>3811</v>
      </c>
      <c r="G127" s="1">
        <v>866</v>
      </c>
      <c r="H127" s="1">
        <v>216</v>
      </c>
      <c r="I127" s="1">
        <v>34299</v>
      </c>
      <c r="J127" s="1">
        <v>34088</v>
      </c>
      <c r="K127" s="1">
        <v>233</v>
      </c>
      <c r="L127" s="1" t="s">
        <v>25</v>
      </c>
      <c r="M127" s="1" t="s">
        <v>359</v>
      </c>
      <c r="N127" s="1" t="s">
        <v>359</v>
      </c>
      <c r="O127" s="8" t="s">
        <v>32</v>
      </c>
      <c r="P127" s="15">
        <f>(Table1_145[[#This Row],[Likes]]+Table1_145[[#This Row],[Shares]]+Table1_145[[#This Row],[Comments]])/Table1_145[[#This Row],[Impressions]]</f>
        <v>0.14265722032712325</v>
      </c>
    </row>
    <row r="128" spans="1:16" x14ac:dyDescent="0.3">
      <c r="A128" s="6" t="s">
        <v>179</v>
      </c>
      <c r="B128" s="1" t="s">
        <v>28</v>
      </c>
      <c r="C128" s="7">
        <v>45744</v>
      </c>
      <c r="D128" s="1" t="s">
        <v>36</v>
      </c>
      <c r="E128" s="1" t="s">
        <v>65</v>
      </c>
      <c r="F128" s="1">
        <v>4158</v>
      </c>
      <c r="G128" s="1">
        <v>167</v>
      </c>
      <c r="H128" s="1">
        <v>241</v>
      </c>
      <c r="I128" s="1">
        <v>45738</v>
      </c>
      <c r="J128" s="1">
        <v>45183</v>
      </c>
      <c r="K128" s="1">
        <v>142</v>
      </c>
      <c r="L128" s="1" t="s">
        <v>48</v>
      </c>
      <c r="M128" s="1" t="s">
        <v>359</v>
      </c>
      <c r="N128" s="1" t="s">
        <v>359</v>
      </c>
      <c r="O128" s="8" t="s">
        <v>360</v>
      </c>
      <c r="P128" s="15">
        <f>(Table1_145[[#This Row],[Likes]]+Table1_145[[#This Row],[Shares]]+Table1_145[[#This Row],[Comments]])/Table1_145[[#This Row],[Impressions]]</f>
        <v>9.9829463465827106E-2</v>
      </c>
    </row>
    <row r="129" spans="1:16" x14ac:dyDescent="0.3">
      <c r="A129" s="6" t="s">
        <v>180</v>
      </c>
      <c r="B129" s="1" t="s">
        <v>35</v>
      </c>
      <c r="C129" s="7">
        <v>45684</v>
      </c>
      <c r="D129" s="1" t="s">
        <v>15</v>
      </c>
      <c r="E129" s="1" t="s">
        <v>50</v>
      </c>
      <c r="F129" s="1">
        <v>3452</v>
      </c>
      <c r="G129" s="1">
        <v>652</v>
      </c>
      <c r="H129" s="1">
        <v>442</v>
      </c>
      <c r="I129" s="1">
        <v>65588</v>
      </c>
      <c r="J129" s="1">
        <v>65049</v>
      </c>
      <c r="K129" s="1">
        <v>158</v>
      </c>
      <c r="L129" s="1" t="s">
        <v>48</v>
      </c>
      <c r="M129" s="1" t="s">
        <v>359</v>
      </c>
      <c r="N129" s="1" t="s">
        <v>359</v>
      </c>
      <c r="O129" s="8" t="s">
        <v>26</v>
      </c>
      <c r="P129" s="15">
        <f>(Table1_145[[#This Row],[Likes]]+Table1_145[[#This Row],[Shares]]+Table1_145[[#This Row],[Comments]])/Table1_145[[#This Row],[Impressions]]</f>
        <v>6.9311459413307311E-2</v>
      </c>
    </row>
    <row r="130" spans="1:16" x14ac:dyDescent="0.3">
      <c r="A130" s="6" t="s">
        <v>181</v>
      </c>
      <c r="B130" s="1" t="s">
        <v>14</v>
      </c>
      <c r="C130" s="7">
        <v>45667</v>
      </c>
      <c r="D130" s="1" t="s">
        <v>41</v>
      </c>
      <c r="E130" s="1" t="s">
        <v>88</v>
      </c>
      <c r="F130" s="1">
        <v>3092</v>
      </c>
      <c r="G130" s="1">
        <v>106</v>
      </c>
      <c r="H130" s="1">
        <v>291</v>
      </c>
      <c r="I130" s="1">
        <v>27828</v>
      </c>
      <c r="J130" s="1">
        <v>27217</v>
      </c>
      <c r="K130" s="1">
        <v>102</v>
      </c>
      <c r="L130" s="1" t="s">
        <v>48</v>
      </c>
      <c r="M130" s="1" t="s">
        <v>359</v>
      </c>
      <c r="N130" s="1" t="s">
        <v>359</v>
      </c>
      <c r="O130" s="8" t="s">
        <v>360</v>
      </c>
      <c r="P130" s="15">
        <f>(Table1_145[[#This Row],[Likes]]+Table1_145[[#This Row],[Shares]]+Table1_145[[#This Row],[Comments]])/Table1_145[[#This Row],[Impressions]]</f>
        <v>0.12537731780940059</v>
      </c>
    </row>
    <row r="131" spans="1:16" x14ac:dyDescent="0.3">
      <c r="A131" s="6" t="s">
        <v>182</v>
      </c>
      <c r="B131" s="1" t="s">
        <v>14</v>
      </c>
      <c r="C131" s="7">
        <v>45494</v>
      </c>
      <c r="D131" s="1" t="s">
        <v>19</v>
      </c>
      <c r="E131" s="1" t="s">
        <v>20</v>
      </c>
      <c r="F131" s="1">
        <v>2147</v>
      </c>
      <c r="G131" s="1">
        <v>430</v>
      </c>
      <c r="H131" s="1">
        <v>393</v>
      </c>
      <c r="I131" s="1">
        <v>17176</v>
      </c>
      <c r="J131" s="1">
        <v>16483</v>
      </c>
      <c r="K131" s="1">
        <v>170</v>
      </c>
      <c r="L131" s="1" t="s">
        <v>25</v>
      </c>
      <c r="M131" s="1" t="s">
        <v>359</v>
      </c>
      <c r="N131" s="1" t="s">
        <v>359</v>
      </c>
      <c r="O131" s="8" t="s">
        <v>360</v>
      </c>
      <c r="P131" s="15">
        <f>(Table1_145[[#This Row],[Likes]]+Table1_145[[#This Row],[Shares]]+Table1_145[[#This Row],[Comments]])/Table1_145[[#This Row],[Impressions]]</f>
        <v>0.17291569632044715</v>
      </c>
    </row>
    <row r="132" spans="1:16" x14ac:dyDescent="0.3">
      <c r="A132" s="6" t="s">
        <v>183</v>
      </c>
      <c r="B132" s="1" t="s">
        <v>23</v>
      </c>
      <c r="C132" s="7">
        <v>45564</v>
      </c>
      <c r="D132" s="1" t="s">
        <v>15</v>
      </c>
      <c r="E132" s="1" t="s">
        <v>24</v>
      </c>
      <c r="F132" s="1">
        <v>2936</v>
      </c>
      <c r="G132" s="1">
        <v>439</v>
      </c>
      <c r="H132" s="1">
        <v>44</v>
      </c>
      <c r="I132" s="1">
        <v>38168</v>
      </c>
      <c r="J132" s="1">
        <v>37571</v>
      </c>
      <c r="K132" s="1">
        <v>22</v>
      </c>
      <c r="L132" s="1" t="s">
        <v>31</v>
      </c>
      <c r="M132" s="1" t="s">
        <v>359</v>
      </c>
      <c r="N132" s="1" t="s">
        <v>359</v>
      </c>
      <c r="O132" s="8" t="s">
        <v>32</v>
      </c>
      <c r="P132" s="15">
        <f>(Table1_145[[#This Row],[Likes]]+Table1_145[[#This Row],[Shares]]+Table1_145[[#This Row],[Comments]])/Table1_145[[#This Row],[Impressions]]</f>
        <v>8.9577656675749323E-2</v>
      </c>
    </row>
    <row r="133" spans="1:16" x14ac:dyDescent="0.3">
      <c r="A133" s="6" t="s">
        <v>184</v>
      </c>
      <c r="B133" s="1" t="s">
        <v>28</v>
      </c>
      <c r="C133" s="7">
        <v>45586</v>
      </c>
      <c r="D133" s="1" t="s">
        <v>15</v>
      </c>
      <c r="E133" s="1" t="s">
        <v>61</v>
      </c>
      <c r="F133" s="1">
        <v>4840</v>
      </c>
      <c r="G133" s="1">
        <v>658</v>
      </c>
      <c r="H133" s="1">
        <v>211</v>
      </c>
      <c r="I133" s="1">
        <v>43560</v>
      </c>
      <c r="J133" s="1">
        <v>43225</v>
      </c>
      <c r="K133" s="1">
        <v>57</v>
      </c>
      <c r="L133" s="1" t="s">
        <v>48</v>
      </c>
      <c r="M133" s="1" t="s">
        <v>359</v>
      </c>
      <c r="N133" s="1" t="s">
        <v>359</v>
      </c>
      <c r="O133" s="8" t="s">
        <v>26</v>
      </c>
      <c r="P133" s="15">
        <f>(Table1_145[[#This Row],[Likes]]+Table1_145[[#This Row],[Shares]]+Table1_145[[#This Row],[Comments]])/Table1_145[[#This Row],[Impressions]]</f>
        <v>0.13106060606060607</v>
      </c>
    </row>
    <row r="134" spans="1:16" x14ac:dyDescent="0.3">
      <c r="A134" s="6" t="s">
        <v>185</v>
      </c>
      <c r="B134" s="1" t="s">
        <v>28</v>
      </c>
      <c r="C134" s="7">
        <v>45720</v>
      </c>
      <c r="D134" s="1" t="s">
        <v>29</v>
      </c>
      <c r="E134" s="1" t="s">
        <v>30</v>
      </c>
      <c r="F134" s="1">
        <v>1947</v>
      </c>
      <c r="G134" s="1">
        <v>842</v>
      </c>
      <c r="H134" s="1">
        <v>101</v>
      </c>
      <c r="I134" s="1">
        <v>21417</v>
      </c>
      <c r="J134" s="1">
        <v>20967</v>
      </c>
      <c r="K134" s="1">
        <v>186</v>
      </c>
      <c r="L134" s="1" t="s">
        <v>48</v>
      </c>
      <c r="M134" s="1" t="s">
        <v>359</v>
      </c>
      <c r="N134" s="1" t="s">
        <v>359</v>
      </c>
      <c r="O134" s="8" t="s">
        <v>21</v>
      </c>
      <c r="P134" s="15">
        <f>(Table1_145[[#This Row],[Likes]]+Table1_145[[#This Row],[Shares]]+Table1_145[[#This Row],[Comments]])/Table1_145[[#This Row],[Impressions]]</f>
        <v>0.13493953401503478</v>
      </c>
    </row>
    <row r="135" spans="1:16" x14ac:dyDescent="0.3">
      <c r="A135" s="6" t="s">
        <v>186</v>
      </c>
      <c r="B135" s="1" t="s">
        <v>35</v>
      </c>
      <c r="C135" s="7">
        <v>45694</v>
      </c>
      <c r="D135" s="1" t="s">
        <v>41</v>
      </c>
      <c r="E135" s="1" t="s">
        <v>46</v>
      </c>
      <c r="F135" s="1">
        <v>2072</v>
      </c>
      <c r="G135" s="1">
        <v>532</v>
      </c>
      <c r="H135" s="1">
        <v>71</v>
      </c>
      <c r="I135" s="1">
        <v>37296</v>
      </c>
      <c r="J135" s="1">
        <v>36467</v>
      </c>
      <c r="K135" s="1">
        <v>25</v>
      </c>
      <c r="L135" s="1" t="s">
        <v>25</v>
      </c>
      <c r="M135" s="1" t="s">
        <v>359</v>
      </c>
      <c r="N135" s="1" t="s">
        <v>359</v>
      </c>
      <c r="O135" s="8" t="s">
        <v>32</v>
      </c>
      <c r="P135" s="15">
        <f>(Table1_145[[#This Row],[Likes]]+Table1_145[[#This Row],[Shares]]+Table1_145[[#This Row],[Comments]])/Table1_145[[#This Row],[Impressions]]</f>
        <v>7.172350922350923E-2</v>
      </c>
    </row>
    <row r="136" spans="1:16" x14ac:dyDescent="0.3">
      <c r="A136" s="6" t="s">
        <v>187</v>
      </c>
      <c r="B136" s="1" t="s">
        <v>14</v>
      </c>
      <c r="C136" s="7">
        <v>45771</v>
      </c>
      <c r="D136" s="1" t="s">
        <v>15</v>
      </c>
      <c r="E136" s="1" t="s">
        <v>16</v>
      </c>
      <c r="F136" s="1">
        <v>3731</v>
      </c>
      <c r="G136" s="1">
        <v>115</v>
      </c>
      <c r="H136" s="1">
        <v>135</v>
      </c>
      <c r="I136" s="1">
        <v>55965</v>
      </c>
      <c r="J136" s="1">
        <v>55436</v>
      </c>
      <c r="K136" s="1">
        <v>103</v>
      </c>
      <c r="L136" s="1" t="s">
        <v>25</v>
      </c>
      <c r="M136" s="1" t="s">
        <v>359</v>
      </c>
      <c r="N136" s="1" t="s">
        <v>359</v>
      </c>
      <c r="O136" s="8" t="s">
        <v>17</v>
      </c>
      <c r="P136" s="15">
        <f>(Table1_145[[#This Row],[Likes]]+Table1_145[[#This Row],[Shares]]+Table1_145[[#This Row],[Comments]])/Table1_145[[#This Row],[Impressions]]</f>
        <v>7.1133744304476013E-2</v>
      </c>
    </row>
    <row r="137" spans="1:16" x14ac:dyDescent="0.3">
      <c r="A137" s="6" t="s">
        <v>188</v>
      </c>
      <c r="B137" s="1" t="s">
        <v>35</v>
      </c>
      <c r="C137" s="7">
        <v>45624</v>
      </c>
      <c r="D137" s="1" t="s">
        <v>19</v>
      </c>
      <c r="E137" s="1" t="s">
        <v>44</v>
      </c>
      <c r="F137" s="1">
        <v>4213</v>
      </c>
      <c r="G137" s="1">
        <v>253</v>
      </c>
      <c r="H137" s="1">
        <v>434</v>
      </c>
      <c r="I137" s="1">
        <v>75834</v>
      </c>
      <c r="J137" s="1">
        <v>75437</v>
      </c>
      <c r="K137" s="1">
        <v>272</v>
      </c>
      <c r="L137" s="1" t="s">
        <v>48</v>
      </c>
      <c r="M137" s="1" t="s">
        <v>359</v>
      </c>
      <c r="N137" s="1" t="s">
        <v>359</v>
      </c>
      <c r="O137" s="8" t="s">
        <v>32</v>
      </c>
      <c r="P137" s="15">
        <f>(Table1_145[[#This Row],[Likes]]+Table1_145[[#This Row],[Shares]]+Table1_145[[#This Row],[Comments]])/Table1_145[[#This Row],[Impressions]]</f>
        <v>6.461481657304112E-2</v>
      </c>
    </row>
    <row r="138" spans="1:16" x14ac:dyDescent="0.3">
      <c r="A138" s="6" t="s">
        <v>189</v>
      </c>
      <c r="B138" s="1" t="s">
        <v>28</v>
      </c>
      <c r="C138" s="7">
        <v>45484</v>
      </c>
      <c r="D138" s="1" t="s">
        <v>19</v>
      </c>
      <c r="E138" s="1" t="s">
        <v>78</v>
      </c>
      <c r="F138" s="1">
        <v>3134</v>
      </c>
      <c r="G138" s="1">
        <v>888</v>
      </c>
      <c r="H138" s="1">
        <v>444</v>
      </c>
      <c r="I138" s="1">
        <v>21938</v>
      </c>
      <c r="J138" s="1">
        <v>21337</v>
      </c>
      <c r="K138" s="1">
        <v>130</v>
      </c>
      <c r="L138" s="1" t="s">
        <v>31</v>
      </c>
      <c r="M138" s="1" t="s">
        <v>359</v>
      </c>
      <c r="N138" s="1" t="s">
        <v>359</v>
      </c>
      <c r="O138" s="8" t="s">
        <v>32</v>
      </c>
      <c r="P138" s="15">
        <f>(Table1_145[[#This Row],[Likes]]+Table1_145[[#This Row],[Shares]]+Table1_145[[#This Row],[Comments]])/Table1_145[[#This Row],[Impressions]]</f>
        <v>0.20357370772176134</v>
      </c>
    </row>
    <row r="139" spans="1:16" x14ac:dyDescent="0.3">
      <c r="A139" s="6" t="s">
        <v>190</v>
      </c>
      <c r="B139" s="1" t="s">
        <v>35</v>
      </c>
      <c r="C139" s="7">
        <v>45504</v>
      </c>
      <c r="D139" s="1" t="s">
        <v>56</v>
      </c>
      <c r="E139" s="1" t="s">
        <v>57</v>
      </c>
      <c r="F139" s="1">
        <v>3008</v>
      </c>
      <c r="G139" s="1">
        <v>94</v>
      </c>
      <c r="H139" s="1">
        <v>37</v>
      </c>
      <c r="I139" s="1">
        <v>15040</v>
      </c>
      <c r="J139" s="1">
        <v>14639</v>
      </c>
      <c r="K139" s="1">
        <v>277</v>
      </c>
      <c r="L139" s="1" t="s">
        <v>48</v>
      </c>
      <c r="M139" s="1" t="s">
        <v>359</v>
      </c>
      <c r="N139" s="1" t="s">
        <v>359</v>
      </c>
      <c r="O139" s="8" t="s">
        <v>360</v>
      </c>
      <c r="P139" s="15">
        <f>(Table1_145[[#This Row],[Likes]]+Table1_145[[#This Row],[Shares]]+Table1_145[[#This Row],[Comments]])/Table1_145[[#This Row],[Impressions]]</f>
        <v>0.20871010638297871</v>
      </c>
    </row>
    <row r="140" spans="1:16" x14ac:dyDescent="0.3">
      <c r="A140" s="6" t="s">
        <v>191</v>
      </c>
      <c r="B140" s="1" t="s">
        <v>14</v>
      </c>
      <c r="C140" s="7">
        <v>45745</v>
      </c>
      <c r="D140" s="1" t="s">
        <v>41</v>
      </c>
      <c r="E140" s="1" t="s">
        <v>88</v>
      </c>
      <c r="F140" s="1">
        <v>305</v>
      </c>
      <c r="G140" s="1">
        <v>187</v>
      </c>
      <c r="H140" s="1">
        <v>243</v>
      </c>
      <c r="I140" s="1">
        <v>4575</v>
      </c>
      <c r="J140" s="1">
        <v>3704</v>
      </c>
      <c r="K140" s="1">
        <v>234</v>
      </c>
      <c r="L140" s="1" t="s">
        <v>48</v>
      </c>
      <c r="M140" s="1" t="s">
        <v>359</v>
      </c>
      <c r="N140" s="1" t="s">
        <v>359</v>
      </c>
      <c r="O140" s="8" t="s">
        <v>26</v>
      </c>
      <c r="P140" s="15">
        <f>(Table1_145[[#This Row],[Likes]]+Table1_145[[#This Row],[Shares]]+Table1_145[[#This Row],[Comments]])/Table1_145[[#This Row],[Impressions]]</f>
        <v>0.16065573770491803</v>
      </c>
    </row>
    <row r="141" spans="1:16" x14ac:dyDescent="0.3">
      <c r="A141" s="6" t="s">
        <v>192</v>
      </c>
      <c r="B141" s="1" t="s">
        <v>23</v>
      </c>
      <c r="C141" s="7">
        <v>45594</v>
      </c>
      <c r="D141" s="1" t="s">
        <v>19</v>
      </c>
      <c r="E141" s="1" t="s">
        <v>73</v>
      </c>
      <c r="F141" s="1">
        <v>2746</v>
      </c>
      <c r="G141" s="1">
        <v>156</v>
      </c>
      <c r="H141" s="1">
        <v>203</v>
      </c>
      <c r="I141" s="1">
        <v>32952</v>
      </c>
      <c r="J141" s="1">
        <v>32147</v>
      </c>
      <c r="K141" s="1">
        <v>147</v>
      </c>
      <c r="L141" s="1" t="s">
        <v>31</v>
      </c>
      <c r="M141" s="1" t="s">
        <v>359</v>
      </c>
      <c r="N141" s="1" t="s">
        <v>359</v>
      </c>
      <c r="O141" s="8" t="s">
        <v>17</v>
      </c>
      <c r="P141" s="15">
        <f>(Table1_145[[#This Row],[Likes]]+Table1_145[[#This Row],[Shares]]+Table1_145[[#This Row],[Comments]])/Table1_145[[#This Row],[Impressions]]</f>
        <v>9.422796795338674E-2</v>
      </c>
    </row>
    <row r="142" spans="1:16" x14ac:dyDescent="0.3">
      <c r="A142" s="6" t="s">
        <v>193</v>
      </c>
      <c r="B142" s="1" t="s">
        <v>35</v>
      </c>
      <c r="C142" s="7">
        <v>45488</v>
      </c>
      <c r="D142" s="1" t="s">
        <v>41</v>
      </c>
      <c r="E142" s="1" t="s">
        <v>46</v>
      </c>
      <c r="F142" s="1">
        <v>2291</v>
      </c>
      <c r="G142" s="1">
        <v>78</v>
      </c>
      <c r="H142" s="1">
        <v>485</v>
      </c>
      <c r="I142" s="1">
        <v>18328</v>
      </c>
      <c r="J142" s="1">
        <v>18101</v>
      </c>
      <c r="K142" s="1">
        <v>10</v>
      </c>
      <c r="L142" s="1" t="s">
        <v>31</v>
      </c>
      <c r="M142" s="1" t="s">
        <v>356</v>
      </c>
      <c r="N142" s="1" t="s">
        <v>359</v>
      </c>
      <c r="O142" s="8" t="s">
        <v>21</v>
      </c>
      <c r="P142" s="15">
        <f>(Table1_145[[#This Row],[Likes]]+Table1_145[[#This Row],[Shares]]+Table1_145[[#This Row],[Comments]])/Table1_145[[#This Row],[Impressions]]</f>
        <v>0.15571802706241816</v>
      </c>
    </row>
    <row r="143" spans="1:16" x14ac:dyDescent="0.3">
      <c r="A143" s="6" t="s">
        <v>194</v>
      </c>
      <c r="B143" s="1" t="s">
        <v>14</v>
      </c>
      <c r="C143" s="7">
        <v>45535</v>
      </c>
      <c r="D143" s="1" t="s">
        <v>41</v>
      </c>
      <c r="E143" s="1" t="s">
        <v>88</v>
      </c>
      <c r="F143" s="1">
        <v>3170</v>
      </c>
      <c r="G143" s="1">
        <v>857</v>
      </c>
      <c r="H143" s="1">
        <v>379</v>
      </c>
      <c r="I143" s="1">
        <v>19020</v>
      </c>
      <c r="J143" s="1">
        <v>18559</v>
      </c>
      <c r="K143" s="1">
        <v>240</v>
      </c>
      <c r="L143" s="1" t="s">
        <v>48</v>
      </c>
      <c r="M143" s="1" t="s">
        <v>359</v>
      </c>
      <c r="N143" s="1" t="s">
        <v>359</v>
      </c>
      <c r="O143" s="8" t="s">
        <v>360</v>
      </c>
      <c r="P143" s="15">
        <f>(Table1_145[[#This Row],[Likes]]+Table1_145[[#This Row],[Shares]]+Table1_145[[#This Row],[Comments]])/Table1_145[[#This Row],[Impressions]]</f>
        <v>0.2316508937960042</v>
      </c>
    </row>
    <row r="144" spans="1:16" x14ac:dyDescent="0.3">
      <c r="A144" s="6" t="s">
        <v>195</v>
      </c>
      <c r="B144" s="1" t="s">
        <v>23</v>
      </c>
      <c r="C144" s="7">
        <v>45741</v>
      </c>
      <c r="D144" s="1" t="s">
        <v>29</v>
      </c>
      <c r="E144" s="1" t="s">
        <v>101</v>
      </c>
      <c r="F144" s="1">
        <v>2070</v>
      </c>
      <c r="G144" s="1">
        <v>275</v>
      </c>
      <c r="H144" s="1">
        <v>386</v>
      </c>
      <c r="I144" s="1">
        <v>39330</v>
      </c>
      <c r="J144" s="1">
        <v>38627</v>
      </c>
      <c r="K144" s="1">
        <v>114</v>
      </c>
      <c r="L144" s="1" t="s">
        <v>48</v>
      </c>
      <c r="M144" s="1" t="s">
        <v>359</v>
      </c>
      <c r="N144" s="1" t="s">
        <v>359</v>
      </c>
      <c r="O144" s="8" t="s">
        <v>32</v>
      </c>
      <c r="P144" s="15">
        <f>(Table1_145[[#This Row],[Likes]]+Table1_145[[#This Row],[Shares]]+Table1_145[[#This Row],[Comments]])/Table1_145[[#This Row],[Impressions]]</f>
        <v>6.9438087973557078E-2</v>
      </c>
    </row>
    <row r="145" spans="1:16" x14ac:dyDescent="0.3">
      <c r="A145" s="6" t="s">
        <v>196</v>
      </c>
      <c r="B145" s="1" t="s">
        <v>23</v>
      </c>
      <c r="C145" s="7">
        <v>45567</v>
      </c>
      <c r="D145" s="1" t="s">
        <v>36</v>
      </c>
      <c r="E145" s="1" t="s">
        <v>52</v>
      </c>
      <c r="F145" s="1">
        <v>80</v>
      </c>
      <c r="G145" s="1">
        <v>362</v>
      </c>
      <c r="H145" s="1">
        <v>80</v>
      </c>
      <c r="I145" s="1">
        <v>1040</v>
      </c>
      <c r="J145" s="1">
        <v>349</v>
      </c>
      <c r="K145" s="1">
        <v>117</v>
      </c>
      <c r="L145" s="1" t="s">
        <v>25</v>
      </c>
      <c r="M145" s="1" t="s">
        <v>359</v>
      </c>
      <c r="N145" s="1" t="s">
        <v>359</v>
      </c>
      <c r="O145" s="8" t="s">
        <v>26</v>
      </c>
      <c r="P145" s="15">
        <f>(Table1_145[[#This Row],[Likes]]+Table1_145[[#This Row],[Shares]]+Table1_145[[#This Row],[Comments]])/Table1_145[[#This Row],[Impressions]]</f>
        <v>0.50192307692307692</v>
      </c>
    </row>
    <row r="146" spans="1:16" x14ac:dyDescent="0.3">
      <c r="A146" s="6" t="s">
        <v>197</v>
      </c>
      <c r="B146" s="1" t="s">
        <v>23</v>
      </c>
      <c r="C146" s="7">
        <v>45593</v>
      </c>
      <c r="D146" s="1" t="s">
        <v>29</v>
      </c>
      <c r="E146" s="1" t="s">
        <v>101</v>
      </c>
      <c r="F146" s="1">
        <v>4929</v>
      </c>
      <c r="G146" s="1">
        <v>749</v>
      </c>
      <c r="H146" s="1">
        <v>452</v>
      </c>
      <c r="I146" s="1">
        <v>93651</v>
      </c>
      <c r="J146" s="1">
        <v>92810</v>
      </c>
      <c r="K146" s="1">
        <v>66</v>
      </c>
      <c r="L146" s="1" t="s">
        <v>31</v>
      </c>
      <c r="M146" s="1" t="s">
        <v>359</v>
      </c>
      <c r="N146" s="1" t="s">
        <v>359</v>
      </c>
      <c r="O146" s="8" t="s">
        <v>32</v>
      </c>
      <c r="P146" s="15">
        <f>(Table1_145[[#This Row],[Likes]]+Table1_145[[#This Row],[Shares]]+Table1_145[[#This Row],[Comments]])/Table1_145[[#This Row],[Impressions]]</f>
        <v>6.5455787978772245E-2</v>
      </c>
    </row>
    <row r="147" spans="1:16" x14ac:dyDescent="0.3">
      <c r="A147" s="6" t="s">
        <v>198</v>
      </c>
      <c r="B147" s="1" t="s">
        <v>28</v>
      </c>
      <c r="C147" s="7">
        <v>45516</v>
      </c>
      <c r="D147" s="1" t="s">
        <v>36</v>
      </c>
      <c r="E147" s="1" t="s">
        <v>65</v>
      </c>
      <c r="F147" s="1">
        <v>1878</v>
      </c>
      <c r="G147" s="1">
        <v>62</v>
      </c>
      <c r="H147" s="1">
        <v>179</v>
      </c>
      <c r="I147" s="1">
        <v>37560</v>
      </c>
      <c r="J147" s="1">
        <v>36874</v>
      </c>
      <c r="K147" s="1">
        <v>142</v>
      </c>
      <c r="L147" s="1" t="s">
        <v>25</v>
      </c>
      <c r="M147" s="1" t="s">
        <v>359</v>
      </c>
      <c r="N147" s="1" t="s">
        <v>359</v>
      </c>
      <c r="O147" s="8" t="s">
        <v>32</v>
      </c>
      <c r="P147" s="15">
        <f>(Table1_145[[#This Row],[Likes]]+Table1_145[[#This Row],[Shares]]+Table1_145[[#This Row],[Comments]])/Table1_145[[#This Row],[Impressions]]</f>
        <v>5.6416400425985093E-2</v>
      </c>
    </row>
    <row r="148" spans="1:16" x14ac:dyDescent="0.3">
      <c r="A148" s="6" t="s">
        <v>199</v>
      </c>
      <c r="B148" s="1" t="s">
        <v>23</v>
      </c>
      <c r="C148" s="7">
        <v>45448</v>
      </c>
      <c r="D148" s="1" t="s">
        <v>15</v>
      </c>
      <c r="E148" s="1" t="s">
        <v>24</v>
      </c>
      <c r="F148" s="1">
        <v>3065</v>
      </c>
      <c r="G148" s="1">
        <v>772</v>
      </c>
      <c r="H148" s="1">
        <v>142</v>
      </c>
      <c r="I148" s="1">
        <v>18390</v>
      </c>
      <c r="J148" s="1">
        <v>17875</v>
      </c>
      <c r="K148" s="1">
        <v>200</v>
      </c>
      <c r="L148" s="1" t="s">
        <v>31</v>
      </c>
      <c r="M148" s="1" t="s">
        <v>354</v>
      </c>
      <c r="N148" s="1" t="s">
        <v>359</v>
      </c>
      <c r="O148" s="8" t="s">
        <v>360</v>
      </c>
      <c r="P148" s="15">
        <f>(Table1_145[[#This Row],[Likes]]+Table1_145[[#This Row],[Shares]]+Table1_145[[#This Row],[Comments]])/Table1_145[[#This Row],[Impressions]]</f>
        <v>0.21636759108210984</v>
      </c>
    </row>
    <row r="149" spans="1:16" x14ac:dyDescent="0.3">
      <c r="A149" s="6" t="s">
        <v>200</v>
      </c>
      <c r="B149" s="1" t="s">
        <v>28</v>
      </c>
      <c r="C149" s="7">
        <v>45586</v>
      </c>
      <c r="D149" s="1" t="s">
        <v>15</v>
      </c>
      <c r="E149" s="1" t="s">
        <v>61</v>
      </c>
      <c r="F149" s="1">
        <v>3256</v>
      </c>
      <c r="G149" s="1">
        <v>459</v>
      </c>
      <c r="H149" s="1">
        <v>266</v>
      </c>
      <c r="I149" s="1">
        <v>26048</v>
      </c>
      <c r="J149" s="1">
        <v>25529</v>
      </c>
      <c r="K149" s="1">
        <v>143</v>
      </c>
      <c r="L149" s="1" t="s">
        <v>25</v>
      </c>
      <c r="M149" s="1" t="s">
        <v>359</v>
      </c>
      <c r="N149" s="1" t="s">
        <v>359</v>
      </c>
      <c r="O149" s="8" t="s">
        <v>21</v>
      </c>
      <c r="P149" s="15">
        <f>(Table1_145[[#This Row],[Likes]]+Table1_145[[#This Row],[Shares]]+Table1_145[[#This Row],[Comments]])/Table1_145[[#This Row],[Impressions]]</f>
        <v>0.15283323095823095</v>
      </c>
    </row>
    <row r="150" spans="1:16" x14ac:dyDescent="0.3">
      <c r="A150" s="6" t="s">
        <v>201</v>
      </c>
      <c r="B150" s="1" t="s">
        <v>28</v>
      </c>
      <c r="C150" s="7">
        <v>45762</v>
      </c>
      <c r="D150" s="1" t="s">
        <v>56</v>
      </c>
      <c r="E150" s="1" t="s">
        <v>63</v>
      </c>
      <c r="F150" s="1">
        <v>4133</v>
      </c>
      <c r="G150" s="1">
        <v>466</v>
      </c>
      <c r="H150" s="1">
        <v>327</v>
      </c>
      <c r="I150" s="1">
        <v>24798</v>
      </c>
      <c r="J150" s="1">
        <v>24620</v>
      </c>
      <c r="K150" s="1">
        <v>176</v>
      </c>
      <c r="L150" s="1" t="s">
        <v>31</v>
      </c>
      <c r="M150" s="1" t="s">
        <v>359</v>
      </c>
      <c r="N150" s="1" t="s">
        <v>359</v>
      </c>
      <c r="O150" s="8" t="s">
        <v>32</v>
      </c>
      <c r="P150" s="15">
        <f>(Table1_145[[#This Row],[Likes]]+Table1_145[[#This Row],[Shares]]+Table1_145[[#This Row],[Comments]])/Table1_145[[#This Row],[Impressions]]</f>
        <v>0.19864505202032423</v>
      </c>
    </row>
    <row r="151" spans="1:16" x14ac:dyDescent="0.3">
      <c r="A151" s="6" t="s">
        <v>202</v>
      </c>
      <c r="B151" s="1" t="s">
        <v>14</v>
      </c>
      <c r="C151" s="7">
        <v>45459</v>
      </c>
      <c r="D151" s="1" t="s">
        <v>56</v>
      </c>
      <c r="E151" s="1" t="s">
        <v>95</v>
      </c>
      <c r="F151" s="1">
        <v>1702</v>
      </c>
      <c r="G151" s="1">
        <v>750</v>
      </c>
      <c r="H151" s="1">
        <v>179</v>
      </c>
      <c r="I151" s="1">
        <v>34040</v>
      </c>
      <c r="J151" s="1">
        <v>33174</v>
      </c>
      <c r="K151" s="1">
        <v>76</v>
      </c>
      <c r="L151" s="1" t="s">
        <v>31</v>
      </c>
      <c r="M151" s="1" t="s">
        <v>359</v>
      </c>
      <c r="N151" s="1" t="s">
        <v>359</v>
      </c>
      <c r="O151" s="8" t="s">
        <v>17</v>
      </c>
      <c r="P151" s="15">
        <f>(Table1_145[[#This Row],[Likes]]+Table1_145[[#This Row],[Shares]]+Table1_145[[#This Row],[Comments]])/Table1_145[[#This Row],[Impressions]]</f>
        <v>7.7291421856639245E-2</v>
      </c>
    </row>
    <row r="152" spans="1:16" x14ac:dyDescent="0.3">
      <c r="A152" s="6" t="s">
        <v>203</v>
      </c>
      <c r="B152" s="1" t="s">
        <v>23</v>
      </c>
      <c r="C152" s="7">
        <v>45526</v>
      </c>
      <c r="D152" s="1" t="s">
        <v>36</v>
      </c>
      <c r="E152" s="1" t="s">
        <v>52</v>
      </c>
      <c r="F152" s="1">
        <v>4295</v>
      </c>
      <c r="G152" s="1">
        <v>853</v>
      </c>
      <c r="H152" s="1">
        <v>325</v>
      </c>
      <c r="I152" s="1">
        <v>85900</v>
      </c>
      <c r="J152" s="1">
        <v>85788</v>
      </c>
      <c r="K152" s="1">
        <v>290</v>
      </c>
      <c r="L152" s="1" t="s">
        <v>25</v>
      </c>
      <c r="M152" s="1" t="s">
        <v>359</v>
      </c>
      <c r="N152" s="1" t="s">
        <v>359</v>
      </c>
      <c r="O152" s="8" t="s">
        <v>32</v>
      </c>
      <c r="P152" s="15">
        <f>(Table1_145[[#This Row],[Likes]]+Table1_145[[#This Row],[Shares]]+Table1_145[[#This Row],[Comments]])/Table1_145[[#This Row],[Impressions]]</f>
        <v>6.3713620488940623E-2</v>
      </c>
    </row>
    <row r="153" spans="1:16" x14ac:dyDescent="0.3">
      <c r="A153" s="6" t="s">
        <v>204</v>
      </c>
      <c r="B153" s="1" t="s">
        <v>28</v>
      </c>
      <c r="C153" s="7">
        <v>45499</v>
      </c>
      <c r="D153" s="1" t="s">
        <v>41</v>
      </c>
      <c r="E153" s="1" t="s">
        <v>134</v>
      </c>
      <c r="F153" s="1">
        <v>3559</v>
      </c>
      <c r="G153" s="1">
        <v>59</v>
      </c>
      <c r="H153" s="1">
        <v>289</v>
      </c>
      <c r="I153" s="1">
        <v>35590</v>
      </c>
      <c r="J153" s="1">
        <v>35105</v>
      </c>
      <c r="K153" s="1">
        <v>122</v>
      </c>
      <c r="L153" s="1" t="s">
        <v>31</v>
      </c>
      <c r="M153" s="1" t="s">
        <v>359</v>
      </c>
      <c r="N153" s="1" t="s">
        <v>359</v>
      </c>
      <c r="O153" s="8" t="s">
        <v>17</v>
      </c>
      <c r="P153" s="15">
        <f>(Table1_145[[#This Row],[Likes]]+Table1_145[[#This Row],[Shares]]+Table1_145[[#This Row],[Comments]])/Table1_145[[#This Row],[Impressions]]</f>
        <v>0.10977802753582468</v>
      </c>
    </row>
    <row r="154" spans="1:16" x14ac:dyDescent="0.3">
      <c r="A154" s="6" t="s">
        <v>205</v>
      </c>
      <c r="B154" s="1" t="s">
        <v>35</v>
      </c>
      <c r="C154" s="7">
        <v>45769</v>
      </c>
      <c r="D154" s="1" t="s">
        <v>41</v>
      </c>
      <c r="E154" s="1" t="s">
        <v>46</v>
      </c>
      <c r="F154" s="1">
        <v>4804</v>
      </c>
      <c r="G154" s="1">
        <v>550</v>
      </c>
      <c r="H154" s="1">
        <v>270</v>
      </c>
      <c r="I154" s="1">
        <v>28824</v>
      </c>
      <c r="J154" s="1">
        <v>28370</v>
      </c>
      <c r="K154" s="1">
        <v>47</v>
      </c>
      <c r="L154" s="1" t="s">
        <v>31</v>
      </c>
      <c r="M154" s="1" t="s">
        <v>359</v>
      </c>
      <c r="N154" s="1" t="s">
        <v>359</v>
      </c>
      <c r="O154" s="8" t="s">
        <v>32</v>
      </c>
      <c r="P154" s="15">
        <f>(Table1_145[[#This Row],[Likes]]+Table1_145[[#This Row],[Shares]]+Table1_145[[#This Row],[Comments]])/Table1_145[[#This Row],[Impressions]]</f>
        <v>0.19511518179295032</v>
      </c>
    </row>
    <row r="155" spans="1:16" x14ac:dyDescent="0.3">
      <c r="A155" s="6" t="s">
        <v>206</v>
      </c>
      <c r="B155" s="1" t="s">
        <v>14</v>
      </c>
      <c r="C155" s="7">
        <v>45658</v>
      </c>
      <c r="D155" s="1" t="s">
        <v>56</v>
      </c>
      <c r="E155" s="1" t="s">
        <v>95</v>
      </c>
      <c r="F155" s="1">
        <v>754</v>
      </c>
      <c r="G155" s="1">
        <v>197</v>
      </c>
      <c r="H155" s="1">
        <v>257</v>
      </c>
      <c r="I155" s="1">
        <v>6786</v>
      </c>
      <c r="J155" s="1">
        <v>6221</v>
      </c>
      <c r="K155" s="1">
        <v>212</v>
      </c>
      <c r="L155" s="1" t="s">
        <v>25</v>
      </c>
      <c r="M155" s="1" t="s">
        <v>359</v>
      </c>
      <c r="N155" s="1" t="s">
        <v>359</v>
      </c>
      <c r="O155" s="8" t="s">
        <v>26</v>
      </c>
      <c r="P155" s="15">
        <f>(Table1_145[[#This Row],[Likes]]+Table1_145[[#This Row],[Shares]]+Table1_145[[#This Row],[Comments]])/Table1_145[[#This Row],[Impressions]]</f>
        <v>0.17801355732390214</v>
      </c>
    </row>
    <row r="156" spans="1:16" x14ac:dyDescent="0.3">
      <c r="A156" s="6" t="s">
        <v>207</v>
      </c>
      <c r="B156" s="1" t="s">
        <v>28</v>
      </c>
      <c r="C156" s="7">
        <v>45574</v>
      </c>
      <c r="D156" s="1" t="s">
        <v>36</v>
      </c>
      <c r="E156" s="1" t="s">
        <v>65</v>
      </c>
      <c r="F156" s="1">
        <v>985</v>
      </c>
      <c r="G156" s="1">
        <v>932</v>
      </c>
      <c r="H156" s="1">
        <v>287</v>
      </c>
      <c r="I156" s="1">
        <v>6895</v>
      </c>
      <c r="J156" s="1">
        <v>6757</v>
      </c>
      <c r="K156" s="1">
        <v>64</v>
      </c>
      <c r="L156" s="1" t="s">
        <v>48</v>
      </c>
      <c r="M156" s="1" t="s">
        <v>359</v>
      </c>
      <c r="N156" s="1" t="s">
        <v>359</v>
      </c>
      <c r="O156" s="8" t="s">
        <v>32</v>
      </c>
      <c r="P156" s="15">
        <f>(Table1_145[[#This Row],[Likes]]+Table1_145[[#This Row],[Shares]]+Table1_145[[#This Row],[Comments]])/Table1_145[[#This Row],[Impressions]]</f>
        <v>0.31965192168237855</v>
      </c>
    </row>
    <row r="157" spans="1:16" x14ac:dyDescent="0.3">
      <c r="A157" s="6" t="s">
        <v>208</v>
      </c>
      <c r="B157" s="1" t="s">
        <v>23</v>
      </c>
      <c r="C157" s="7">
        <v>45647</v>
      </c>
      <c r="D157" s="1" t="s">
        <v>41</v>
      </c>
      <c r="E157" s="1" t="s">
        <v>42</v>
      </c>
      <c r="F157" s="1">
        <v>2283</v>
      </c>
      <c r="G157" s="1">
        <v>210</v>
      </c>
      <c r="H157" s="1">
        <v>130</v>
      </c>
      <c r="I157" s="1">
        <v>22830</v>
      </c>
      <c r="J157" s="1">
        <v>22617</v>
      </c>
      <c r="K157" s="1">
        <v>143</v>
      </c>
      <c r="L157" s="1" t="s">
        <v>48</v>
      </c>
      <c r="M157" s="1" t="s">
        <v>359</v>
      </c>
      <c r="N157" s="1" t="s">
        <v>359</v>
      </c>
      <c r="O157" s="8" t="s">
        <v>21</v>
      </c>
      <c r="P157" s="15">
        <f>(Table1_145[[#This Row],[Likes]]+Table1_145[[#This Row],[Shares]]+Table1_145[[#This Row],[Comments]])/Table1_145[[#This Row],[Impressions]]</f>
        <v>0.11489268506351293</v>
      </c>
    </row>
    <row r="158" spans="1:16" x14ac:dyDescent="0.3">
      <c r="A158" s="6" t="s">
        <v>209</v>
      </c>
      <c r="B158" s="1" t="s">
        <v>35</v>
      </c>
      <c r="C158" s="7">
        <v>45587</v>
      </c>
      <c r="D158" s="1" t="s">
        <v>36</v>
      </c>
      <c r="E158" s="1" t="s">
        <v>37</v>
      </c>
      <c r="F158" s="1">
        <v>3352</v>
      </c>
      <c r="G158" s="1">
        <v>941</v>
      </c>
      <c r="H158" s="1">
        <v>482</v>
      </c>
      <c r="I158" s="1">
        <v>43576</v>
      </c>
      <c r="J158" s="1">
        <v>43338</v>
      </c>
      <c r="K158" s="1">
        <v>240</v>
      </c>
      <c r="L158" s="1" t="s">
        <v>48</v>
      </c>
      <c r="M158" s="1" t="s">
        <v>359</v>
      </c>
      <c r="N158" s="1" t="s">
        <v>359</v>
      </c>
      <c r="O158" s="8" t="s">
        <v>21</v>
      </c>
      <c r="P158" s="15">
        <f>(Table1_145[[#This Row],[Likes]]+Table1_145[[#This Row],[Shares]]+Table1_145[[#This Row],[Comments]])/Table1_145[[#This Row],[Impressions]]</f>
        <v>0.1095786671562328</v>
      </c>
    </row>
    <row r="159" spans="1:16" x14ac:dyDescent="0.3">
      <c r="A159" s="6" t="s">
        <v>210</v>
      </c>
      <c r="B159" s="1" t="s">
        <v>23</v>
      </c>
      <c r="C159" s="7">
        <v>45496</v>
      </c>
      <c r="D159" s="1" t="s">
        <v>29</v>
      </c>
      <c r="E159" s="1" t="s">
        <v>101</v>
      </c>
      <c r="F159" s="1">
        <v>4775</v>
      </c>
      <c r="G159" s="1">
        <v>173</v>
      </c>
      <c r="H159" s="1">
        <v>206</v>
      </c>
      <c r="I159" s="1">
        <v>47750</v>
      </c>
      <c r="J159" s="1">
        <v>47544</v>
      </c>
      <c r="K159" s="1">
        <v>187</v>
      </c>
      <c r="L159" s="1" t="s">
        <v>48</v>
      </c>
      <c r="M159" s="1" t="s">
        <v>359</v>
      </c>
      <c r="N159" s="1" t="s">
        <v>359</v>
      </c>
      <c r="O159" s="8" t="s">
        <v>21</v>
      </c>
      <c r="P159" s="15">
        <f>(Table1_145[[#This Row],[Likes]]+Table1_145[[#This Row],[Shares]]+Table1_145[[#This Row],[Comments]])/Table1_145[[#This Row],[Impressions]]</f>
        <v>0.10793717277486911</v>
      </c>
    </row>
    <row r="160" spans="1:16" x14ac:dyDescent="0.3">
      <c r="A160" s="6" t="s">
        <v>211</v>
      </c>
      <c r="B160" s="1" t="s">
        <v>28</v>
      </c>
      <c r="C160" s="7">
        <v>45515</v>
      </c>
      <c r="D160" s="1" t="s">
        <v>29</v>
      </c>
      <c r="E160" s="1" t="s">
        <v>30</v>
      </c>
      <c r="F160" s="1">
        <v>1762</v>
      </c>
      <c r="G160" s="1">
        <v>405</v>
      </c>
      <c r="H160" s="1">
        <v>423</v>
      </c>
      <c r="I160" s="1">
        <v>22906</v>
      </c>
      <c r="J160" s="1">
        <v>21925</v>
      </c>
      <c r="K160" s="1">
        <v>25</v>
      </c>
      <c r="L160" s="1" t="s">
        <v>25</v>
      </c>
      <c r="M160" s="1" t="s">
        <v>359</v>
      </c>
      <c r="N160" s="1" t="s">
        <v>359</v>
      </c>
      <c r="O160" s="8" t="s">
        <v>17</v>
      </c>
      <c r="P160" s="15">
        <f>(Table1_145[[#This Row],[Likes]]+Table1_145[[#This Row],[Shares]]+Table1_145[[#This Row],[Comments]])/Table1_145[[#This Row],[Impressions]]</f>
        <v>0.11307081114118571</v>
      </c>
    </row>
    <row r="161" spans="1:16" x14ac:dyDescent="0.3">
      <c r="A161" s="6" t="s">
        <v>212</v>
      </c>
      <c r="B161" s="1" t="s">
        <v>35</v>
      </c>
      <c r="C161" s="7">
        <v>45621</v>
      </c>
      <c r="D161" s="1" t="s">
        <v>29</v>
      </c>
      <c r="E161" s="1" t="s">
        <v>54</v>
      </c>
      <c r="F161" s="1">
        <v>2120</v>
      </c>
      <c r="G161" s="1">
        <v>158</v>
      </c>
      <c r="H161" s="1">
        <v>488</v>
      </c>
      <c r="I161" s="1">
        <v>12720</v>
      </c>
      <c r="J161" s="1">
        <v>12085</v>
      </c>
      <c r="K161" s="1">
        <v>17</v>
      </c>
      <c r="L161" s="1" t="s">
        <v>48</v>
      </c>
      <c r="M161" s="1" t="s">
        <v>359</v>
      </c>
      <c r="N161" s="1" t="s">
        <v>359</v>
      </c>
      <c r="O161" s="8" t="s">
        <v>21</v>
      </c>
      <c r="P161" s="15">
        <f>(Table1_145[[#This Row],[Likes]]+Table1_145[[#This Row],[Shares]]+Table1_145[[#This Row],[Comments]])/Table1_145[[#This Row],[Impressions]]</f>
        <v>0.21745283018867925</v>
      </c>
    </row>
    <row r="162" spans="1:16" x14ac:dyDescent="0.3">
      <c r="A162" s="6" t="s">
        <v>213</v>
      </c>
      <c r="B162" s="1" t="s">
        <v>14</v>
      </c>
      <c r="C162" s="7">
        <v>45528</v>
      </c>
      <c r="D162" s="1" t="s">
        <v>56</v>
      </c>
      <c r="E162" s="1" t="s">
        <v>95</v>
      </c>
      <c r="F162" s="1">
        <v>1082</v>
      </c>
      <c r="G162" s="1">
        <v>209</v>
      </c>
      <c r="H162" s="1">
        <v>484</v>
      </c>
      <c r="I162" s="1">
        <v>19476</v>
      </c>
      <c r="J162" s="1">
        <v>18654</v>
      </c>
      <c r="K162" s="1">
        <v>20</v>
      </c>
      <c r="L162" s="1" t="s">
        <v>25</v>
      </c>
      <c r="M162" s="1" t="s">
        <v>359</v>
      </c>
      <c r="N162" s="1" t="s">
        <v>359</v>
      </c>
      <c r="O162" s="8" t="s">
        <v>360</v>
      </c>
      <c r="P162" s="15">
        <f>(Table1_145[[#This Row],[Likes]]+Table1_145[[#This Row],[Shares]]+Table1_145[[#This Row],[Comments]])/Table1_145[[#This Row],[Impressions]]</f>
        <v>9.1137810638734856E-2</v>
      </c>
    </row>
    <row r="163" spans="1:16" x14ac:dyDescent="0.3">
      <c r="A163" s="6" t="s">
        <v>214</v>
      </c>
      <c r="B163" s="1" t="s">
        <v>14</v>
      </c>
      <c r="C163" s="7">
        <v>45707</v>
      </c>
      <c r="D163" s="1" t="s">
        <v>19</v>
      </c>
      <c r="E163" s="1" t="s">
        <v>20</v>
      </c>
      <c r="F163" s="1">
        <v>4671</v>
      </c>
      <c r="G163" s="1">
        <v>876</v>
      </c>
      <c r="H163" s="1">
        <v>366</v>
      </c>
      <c r="I163" s="1">
        <v>51381</v>
      </c>
      <c r="J163" s="1">
        <v>50565</v>
      </c>
      <c r="K163" s="1">
        <v>245</v>
      </c>
      <c r="L163" s="1" t="s">
        <v>25</v>
      </c>
      <c r="M163" s="1" t="s">
        <v>359</v>
      </c>
      <c r="N163" s="1" t="s">
        <v>359</v>
      </c>
      <c r="O163" s="8" t="s">
        <v>32</v>
      </c>
      <c r="P163" s="15">
        <f>(Table1_145[[#This Row],[Likes]]+Table1_145[[#This Row],[Shares]]+Table1_145[[#This Row],[Comments]])/Table1_145[[#This Row],[Impressions]]</f>
        <v>0.11508145034156594</v>
      </c>
    </row>
    <row r="164" spans="1:16" x14ac:dyDescent="0.3">
      <c r="A164" s="6" t="s">
        <v>215</v>
      </c>
      <c r="B164" s="1" t="s">
        <v>35</v>
      </c>
      <c r="C164" s="7">
        <v>45748</v>
      </c>
      <c r="D164" s="1" t="s">
        <v>29</v>
      </c>
      <c r="E164" s="1" t="s">
        <v>54</v>
      </c>
      <c r="F164" s="1">
        <v>3430</v>
      </c>
      <c r="G164" s="1">
        <v>566</v>
      </c>
      <c r="H164" s="1">
        <v>164</v>
      </c>
      <c r="I164" s="1">
        <v>48020</v>
      </c>
      <c r="J164" s="1">
        <v>47305</v>
      </c>
      <c r="K164" s="1">
        <v>120</v>
      </c>
      <c r="L164" s="1" t="s">
        <v>48</v>
      </c>
      <c r="M164" s="1" t="s">
        <v>359</v>
      </c>
      <c r="N164" s="1" t="s">
        <v>359</v>
      </c>
      <c r="O164" s="8" t="s">
        <v>360</v>
      </c>
      <c r="P164" s="15">
        <f>(Table1_145[[#This Row],[Likes]]+Table1_145[[#This Row],[Shares]]+Table1_145[[#This Row],[Comments]])/Table1_145[[#This Row],[Impressions]]</f>
        <v>8.6630570595585168E-2</v>
      </c>
    </row>
    <row r="165" spans="1:16" x14ac:dyDescent="0.3">
      <c r="A165" s="6" t="s">
        <v>216</v>
      </c>
      <c r="B165" s="1" t="s">
        <v>28</v>
      </c>
      <c r="C165" s="7">
        <v>45755</v>
      </c>
      <c r="D165" s="1" t="s">
        <v>41</v>
      </c>
      <c r="E165" s="1" t="s">
        <v>134</v>
      </c>
      <c r="F165" s="1">
        <v>4501</v>
      </c>
      <c r="G165" s="1">
        <v>375</v>
      </c>
      <c r="H165" s="1">
        <v>323</v>
      </c>
      <c r="I165" s="1">
        <v>22505</v>
      </c>
      <c r="J165" s="1">
        <v>21836</v>
      </c>
      <c r="K165" s="1">
        <v>132</v>
      </c>
      <c r="L165" s="1" t="s">
        <v>25</v>
      </c>
      <c r="M165" s="1" t="s">
        <v>359</v>
      </c>
      <c r="N165" s="1" t="s">
        <v>359</v>
      </c>
      <c r="O165" s="8" t="s">
        <v>21</v>
      </c>
      <c r="P165" s="15">
        <f>(Table1_145[[#This Row],[Likes]]+Table1_145[[#This Row],[Shares]]+Table1_145[[#This Row],[Comments]])/Table1_145[[#This Row],[Impressions]]</f>
        <v>0.23101532992668297</v>
      </c>
    </row>
    <row r="166" spans="1:16" x14ac:dyDescent="0.3">
      <c r="A166" s="6" t="s">
        <v>217</v>
      </c>
      <c r="B166" s="1" t="s">
        <v>23</v>
      </c>
      <c r="C166" s="7">
        <v>45715</v>
      </c>
      <c r="D166" s="1" t="s">
        <v>19</v>
      </c>
      <c r="E166" s="1" t="s">
        <v>73</v>
      </c>
      <c r="F166" s="1">
        <v>4934</v>
      </c>
      <c r="G166" s="1">
        <v>971</v>
      </c>
      <c r="H166" s="1">
        <v>156</v>
      </c>
      <c r="I166" s="1">
        <v>39472</v>
      </c>
      <c r="J166" s="1">
        <v>39025</v>
      </c>
      <c r="K166" s="1">
        <v>169</v>
      </c>
      <c r="L166" s="1" t="s">
        <v>25</v>
      </c>
      <c r="M166" s="1" t="s">
        <v>354</v>
      </c>
      <c r="N166" s="1" t="s">
        <v>359</v>
      </c>
      <c r="O166" s="8" t="s">
        <v>32</v>
      </c>
      <c r="P166" s="15">
        <f>(Table1_145[[#This Row],[Likes]]+Table1_145[[#This Row],[Shares]]+Table1_145[[#This Row],[Comments]])/Table1_145[[#This Row],[Impressions]]</f>
        <v>0.15355188488042157</v>
      </c>
    </row>
    <row r="167" spans="1:16" x14ac:dyDescent="0.3">
      <c r="A167" s="6" t="s">
        <v>218</v>
      </c>
      <c r="B167" s="1" t="s">
        <v>14</v>
      </c>
      <c r="C167" s="7">
        <v>45637</v>
      </c>
      <c r="D167" s="1" t="s">
        <v>19</v>
      </c>
      <c r="E167" s="1" t="s">
        <v>20</v>
      </c>
      <c r="F167" s="1">
        <v>3239</v>
      </c>
      <c r="G167" s="1">
        <v>43</v>
      </c>
      <c r="H167" s="1">
        <v>211</v>
      </c>
      <c r="I167" s="1">
        <v>22673</v>
      </c>
      <c r="J167" s="1">
        <v>22171</v>
      </c>
      <c r="K167" s="1">
        <v>230</v>
      </c>
      <c r="L167" s="1" t="s">
        <v>25</v>
      </c>
      <c r="M167" s="1" t="s">
        <v>359</v>
      </c>
      <c r="N167" s="1" t="s">
        <v>359</v>
      </c>
      <c r="O167" s="8" t="s">
        <v>21</v>
      </c>
      <c r="P167" s="15">
        <f>(Table1_145[[#This Row],[Likes]]+Table1_145[[#This Row],[Shares]]+Table1_145[[#This Row],[Comments]])/Table1_145[[#This Row],[Impressions]]</f>
        <v>0.15405989502933004</v>
      </c>
    </row>
    <row r="168" spans="1:16" x14ac:dyDescent="0.3">
      <c r="A168" s="6" t="s">
        <v>219</v>
      </c>
      <c r="B168" s="1" t="s">
        <v>14</v>
      </c>
      <c r="C168" s="7">
        <v>45704</v>
      </c>
      <c r="D168" s="1" t="s">
        <v>15</v>
      </c>
      <c r="E168" s="1" t="s">
        <v>16</v>
      </c>
      <c r="F168" s="1">
        <v>1076</v>
      </c>
      <c r="G168" s="1">
        <v>313</v>
      </c>
      <c r="H168" s="1">
        <v>306</v>
      </c>
      <c r="I168" s="1">
        <v>11836</v>
      </c>
      <c r="J168" s="1">
        <v>11596</v>
      </c>
      <c r="K168" s="1">
        <v>104</v>
      </c>
      <c r="L168" s="1" t="s">
        <v>48</v>
      </c>
      <c r="M168" s="1" t="s">
        <v>359</v>
      </c>
      <c r="N168" s="1" t="s">
        <v>359</v>
      </c>
      <c r="O168" s="8" t="s">
        <v>17</v>
      </c>
      <c r="P168" s="15">
        <f>(Table1_145[[#This Row],[Likes]]+Table1_145[[#This Row],[Shares]]+Table1_145[[#This Row],[Comments]])/Table1_145[[#This Row],[Impressions]]</f>
        <v>0.14320716458262928</v>
      </c>
    </row>
    <row r="169" spans="1:16" x14ac:dyDescent="0.3">
      <c r="A169" s="6" t="s">
        <v>220</v>
      </c>
      <c r="B169" s="1" t="s">
        <v>28</v>
      </c>
      <c r="C169" s="7">
        <v>45624</v>
      </c>
      <c r="D169" s="1" t="s">
        <v>19</v>
      </c>
      <c r="E169" s="1" t="s">
        <v>78</v>
      </c>
      <c r="F169" s="1">
        <v>4771</v>
      </c>
      <c r="G169" s="1">
        <v>818</v>
      </c>
      <c r="H169" s="1">
        <v>56</v>
      </c>
      <c r="I169" s="1">
        <v>57252</v>
      </c>
      <c r="J169" s="1">
        <v>56378</v>
      </c>
      <c r="K169" s="1">
        <v>150</v>
      </c>
      <c r="L169" s="1" t="s">
        <v>48</v>
      </c>
      <c r="M169" s="1" t="s">
        <v>359</v>
      </c>
      <c r="N169" s="1" t="s">
        <v>359</v>
      </c>
      <c r="O169" s="8" t="s">
        <v>360</v>
      </c>
      <c r="P169" s="15">
        <f>(Table1_145[[#This Row],[Likes]]+Table1_145[[#This Row],[Shares]]+Table1_145[[#This Row],[Comments]])/Table1_145[[#This Row],[Impressions]]</f>
        <v>9.859917557465242E-2</v>
      </c>
    </row>
    <row r="170" spans="1:16" x14ac:dyDescent="0.3">
      <c r="A170" s="6" t="s">
        <v>221</v>
      </c>
      <c r="B170" s="1" t="s">
        <v>35</v>
      </c>
      <c r="C170" s="7">
        <v>45608</v>
      </c>
      <c r="D170" s="1" t="s">
        <v>19</v>
      </c>
      <c r="E170" s="1" t="s">
        <v>44</v>
      </c>
      <c r="F170" s="1">
        <v>2418</v>
      </c>
      <c r="G170" s="1">
        <v>754</v>
      </c>
      <c r="H170" s="1">
        <v>54</v>
      </c>
      <c r="I170" s="1">
        <v>43524</v>
      </c>
      <c r="J170" s="1">
        <v>42743</v>
      </c>
      <c r="K170" s="1">
        <v>182</v>
      </c>
      <c r="L170" s="1" t="s">
        <v>31</v>
      </c>
      <c r="M170" s="1" t="s">
        <v>359</v>
      </c>
      <c r="N170" s="1" t="s">
        <v>359</v>
      </c>
      <c r="O170" s="8" t="s">
        <v>17</v>
      </c>
      <c r="P170" s="15">
        <f>(Table1_145[[#This Row],[Likes]]+Table1_145[[#This Row],[Shares]]+Table1_145[[#This Row],[Comments]])/Table1_145[[#This Row],[Impressions]]</f>
        <v>7.412002573292896E-2</v>
      </c>
    </row>
    <row r="171" spans="1:16" x14ac:dyDescent="0.3">
      <c r="A171" s="6" t="s">
        <v>222</v>
      </c>
      <c r="B171" s="1" t="s">
        <v>23</v>
      </c>
      <c r="C171" s="7">
        <v>45629</v>
      </c>
      <c r="D171" s="1" t="s">
        <v>56</v>
      </c>
      <c r="E171" s="1" t="s">
        <v>136</v>
      </c>
      <c r="F171" s="1">
        <v>3809</v>
      </c>
      <c r="G171" s="1">
        <v>273</v>
      </c>
      <c r="H171" s="1">
        <v>200</v>
      </c>
      <c r="I171" s="1">
        <v>34281</v>
      </c>
      <c r="J171" s="1">
        <v>33534</v>
      </c>
      <c r="K171" s="1">
        <v>83</v>
      </c>
      <c r="L171" s="1" t="s">
        <v>31</v>
      </c>
      <c r="M171" s="1" t="s">
        <v>359</v>
      </c>
      <c r="N171" s="1" t="s">
        <v>359</v>
      </c>
      <c r="O171" s="8" t="s">
        <v>17</v>
      </c>
      <c r="P171" s="15">
        <f>(Table1_145[[#This Row],[Likes]]+Table1_145[[#This Row],[Shares]]+Table1_145[[#This Row],[Comments]])/Table1_145[[#This Row],[Impressions]]</f>
        <v>0.12490884163239112</v>
      </c>
    </row>
    <row r="172" spans="1:16" x14ac:dyDescent="0.3">
      <c r="A172" s="6" t="s">
        <v>223</v>
      </c>
      <c r="B172" s="1" t="s">
        <v>14</v>
      </c>
      <c r="C172" s="7">
        <v>45775</v>
      </c>
      <c r="D172" s="1" t="s">
        <v>19</v>
      </c>
      <c r="E172" s="1" t="s">
        <v>20</v>
      </c>
      <c r="F172" s="1">
        <v>3577</v>
      </c>
      <c r="G172" s="1">
        <v>596</v>
      </c>
      <c r="H172" s="1">
        <v>493</v>
      </c>
      <c r="I172" s="1">
        <v>67963</v>
      </c>
      <c r="J172" s="1">
        <v>67839</v>
      </c>
      <c r="K172" s="1">
        <v>53</v>
      </c>
      <c r="L172" s="1" t="s">
        <v>25</v>
      </c>
      <c r="M172" s="1" t="s">
        <v>359</v>
      </c>
      <c r="N172" s="1" t="s">
        <v>359</v>
      </c>
      <c r="O172" s="8" t="s">
        <v>26</v>
      </c>
      <c r="P172" s="15">
        <f>(Table1_145[[#This Row],[Likes]]+Table1_145[[#This Row],[Shares]]+Table1_145[[#This Row],[Comments]])/Table1_145[[#This Row],[Impressions]]</f>
        <v>6.8655003457763777E-2</v>
      </c>
    </row>
    <row r="173" spans="1:16" x14ac:dyDescent="0.3">
      <c r="A173" s="6" t="s">
        <v>224</v>
      </c>
      <c r="B173" s="1" t="s">
        <v>23</v>
      </c>
      <c r="C173" s="7">
        <v>45657</v>
      </c>
      <c r="D173" s="1" t="s">
        <v>56</v>
      </c>
      <c r="E173" s="1" t="s">
        <v>136</v>
      </c>
      <c r="F173" s="1">
        <v>1018</v>
      </c>
      <c r="G173" s="1">
        <v>447</v>
      </c>
      <c r="H173" s="1">
        <v>332</v>
      </c>
      <c r="I173" s="1">
        <v>18324</v>
      </c>
      <c r="J173" s="1">
        <v>18164</v>
      </c>
      <c r="K173" s="1">
        <v>38</v>
      </c>
      <c r="L173" s="1" t="s">
        <v>48</v>
      </c>
      <c r="M173" s="1" t="s">
        <v>359</v>
      </c>
      <c r="N173" s="1" t="s">
        <v>359</v>
      </c>
      <c r="O173" s="8" t="s">
        <v>21</v>
      </c>
      <c r="P173" s="15">
        <f>(Table1_145[[#This Row],[Likes]]+Table1_145[[#This Row],[Shares]]+Table1_145[[#This Row],[Comments]])/Table1_145[[#This Row],[Impressions]]</f>
        <v>9.8068107400130972E-2</v>
      </c>
    </row>
    <row r="174" spans="1:16" x14ac:dyDescent="0.3">
      <c r="A174" s="6" t="s">
        <v>225</v>
      </c>
      <c r="B174" s="1" t="s">
        <v>35</v>
      </c>
      <c r="C174" s="7">
        <v>45518</v>
      </c>
      <c r="D174" s="1" t="s">
        <v>36</v>
      </c>
      <c r="E174" s="1" t="s">
        <v>37</v>
      </c>
      <c r="F174" s="1">
        <v>3073</v>
      </c>
      <c r="G174" s="1">
        <v>553</v>
      </c>
      <c r="H174" s="1">
        <v>174</v>
      </c>
      <c r="I174" s="1">
        <v>52241</v>
      </c>
      <c r="J174" s="1">
        <v>51605</v>
      </c>
      <c r="K174" s="1">
        <v>246</v>
      </c>
      <c r="L174" s="1" t="s">
        <v>31</v>
      </c>
      <c r="M174" s="1" t="s">
        <v>359</v>
      </c>
      <c r="N174" s="1" t="s">
        <v>359</v>
      </c>
      <c r="O174" s="8" t="s">
        <v>26</v>
      </c>
      <c r="P174" s="15">
        <f>(Table1_145[[#This Row],[Likes]]+Table1_145[[#This Row],[Shares]]+Table1_145[[#This Row],[Comments]])/Table1_145[[#This Row],[Impressions]]</f>
        <v>7.2739802071170159E-2</v>
      </c>
    </row>
    <row r="175" spans="1:16" x14ac:dyDescent="0.3">
      <c r="A175" s="6" t="s">
        <v>226</v>
      </c>
      <c r="B175" s="1" t="s">
        <v>14</v>
      </c>
      <c r="C175" s="7">
        <v>45631</v>
      </c>
      <c r="D175" s="1" t="s">
        <v>56</v>
      </c>
      <c r="E175" s="1" t="s">
        <v>95</v>
      </c>
      <c r="F175" s="1">
        <v>1330</v>
      </c>
      <c r="G175" s="1">
        <v>925</v>
      </c>
      <c r="H175" s="1">
        <v>35</v>
      </c>
      <c r="I175" s="1">
        <v>15960</v>
      </c>
      <c r="J175" s="1">
        <v>15379</v>
      </c>
      <c r="K175" s="1">
        <v>229</v>
      </c>
      <c r="L175" s="1" t="s">
        <v>48</v>
      </c>
      <c r="M175" s="1" t="s">
        <v>359</v>
      </c>
      <c r="N175" s="1" t="s">
        <v>359</v>
      </c>
      <c r="O175" s="8" t="s">
        <v>26</v>
      </c>
      <c r="P175" s="15">
        <f>(Table1_145[[#This Row],[Likes]]+Table1_145[[#This Row],[Shares]]+Table1_145[[#This Row],[Comments]])/Table1_145[[#This Row],[Impressions]]</f>
        <v>0.14348370927318296</v>
      </c>
    </row>
    <row r="176" spans="1:16" x14ac:dyDescent="0.3">
      <c r="A176" s="6" t="s">
        <v>227</v>
      </c>
      <c r="B176" s="1" t="s">
        <v>35</v>
      </c>
      <c r="C176" s="7">
        <v>45465</v>
      </c>
      <c r="D176" s="1" t="s">
        <v>19</v>
      </c>
      <c r="E176" s="1" t="s">
        <v>44</v>
      </c>
      <c r="F176" s="1">
        <v>3828</v>
      </c>
      <c r="G176" s="1">
        <v>148</v>
      </c>
      <c r="H176" s="1">
        <v>253</v>
      </c>
      <c r="I176" s="1">
        <v>30624</v>
      </c>
      <c r="J176" s="1">
        <v>30229</v>
      </c>
      <c r="K176" s="1">
        <v>235</v>
      </c>
      <c r="L176" s="1" t="s">
        <v>31</v>
      </c>
      <c r="M176" s="1" t="s">
        <v>359</v>
      </c>
      <c r="N176" s="1" t="s">
        <v>359</v>
      </c>
      <c r="O176" s="8" t="s">
        <v>360</v>
      </c>
      <c r="P176" s="15">
        <f>(Table1_145[[#This Row],[Likes]]+Table1_145[[#This Row],[Shares]]+Table1_145[[#This Row],[Comments]])/Table1_145[[#This Row],[Impressions]]</f>
        <v>0.13809430512016718</v>
      </c>
    </row>
    <row r="177" spans="1:16" x14ac:dyDescent="0.3">
      <c r="A177" s="6" t="s">
        <v>228</v>
      </c>
      <c r="B177" s="1" t="s">
        <v>28</v>
      </c>
      <c r="C177" s="7">
        <v>45674</v>
      </c>
      <c r="D177" s="1" t="s">
        <v>15</v>
      </c>
      <c r="E177" s="1" t="s">
        <v>61</v>
      </c>
      <c r="F177" s="1">
        <v>142</v>
      </c>
      <c r="G177" s="1">
        <v>784</v>
      </c>
      <c r="H177" s="1">
        <v>183</v>
      </c>
      <c r="I177" s="1">
        <v>1704</v>
      </c>
      <c r="J177" s="1">
        <v>995</v>
      </c>
      <c r="K177" s="1">
        <v>154</v>
      </c>
      <c r="L177" s="1" t="s">
        <v>48</v>
      </c>
      <c r="M177" s="1" t="s">
        <v>359</v>
      </c>
      <c r="N177" s="1" t="s">
        <v>359</v>
      </c>
      <c r="O177" s="8" t="s">
        <v>32</v>
      </c>
      <c r="P177" s="15">
        <f>(Table1_145[[#This Row],[Likes]]+Table1_145[[#This Row],[Shares]]+Table1_145[[#This Row],[Comments]])/Table1_145[[#This Row],[Impressions]]</f>
        <v>0.6508215962441315</v>
      </c>
    </row>
    <row r="178" spans="1:16" x14ac:dyDescent="0.3">
      <c r="A178" s="6" t="s">
        <v>229</v>
      </c>
      <c r="B178" s="1" t="s">
        <v>35</v>
      </c>
      <c r="C178" s="7">
        <v>45463</v>
      </c>
      <c r="D178" s="1" t="s">
        <v>56</v>
      </c>
      <c r="E178" s="1" t="s">
        <v>57</v>
      </c>
      <c r="F178" s="1">
        <v>3798</v>
      </c>
      <c r="G178" s="1">
        <v>31</v>
      </c>
      <c r="H178" s="1">
        <v>279</v>
      </c>
      <c r="I178" s="1">
        <v>75960</v>
      </c>
      <c r="J178" s="1">
        <v>75813</v>
      </c>
      <c r="K178" s="1">
        <v>266</v>
      </c>
      <c r="L178" s="1" t="s">
        <v>25</v>
      </c>
      <c r="M178" s="1" t="s">
        <v>359</v>
      </c>
      <c r="N178" s="1" t="s">
        <v>359</v>
      </c>
      <c r="O178" s="8" t="s">
        <v>17</v>
      </c>
      <c r="P178" s="15">
        <f>(Table1_145[[#This Row],[Likes]]+Table1_145[[#This Row],[Shares]]+Table1_145[[#This Row],[Comments]])/Table1_145[[#This Row],[Impressions]]</f>
        <v>5.4081095313322801E-2</v>
      </c>
    </row>
    <row r="179" spans="1:16" x14ac:dyDescent="0.3">
      <c r="A179" s="6" t="s">
        <v>230</v>
      </c>
      <c r="B179" s="1" t="s">
        <v>28</v>
      </c>
      <c r="C179" s="7">
        <v>45483</v>
      </c>
      <c r="D179" s="1" t="s">
        <v>36</v>
      </c>
      <c r="E179" s="1" t="s">
        <v>65</v>
      </c>
      <c r="F179" s="1">
        <v>3099</v>
      </c>
      <c r="G179" s="1">
        <v>694</v>
      </c>
      <c r="H179" s="1">
        <v>171</v>
      </c>
      <c r="I179" s="1">
        <v>43386</v>
      </c>
      <c r="J179" s="1">
        <v>42921</v>
      </c>
      <c r="K179" s="1">
        <v>52</v>
      </c>
      <c r="L179" s="1" t="s">
        <v>25</v>
      </c>
      <c r="M179" s="1" t="s">
        <v>359</v>
      </c>
      <c r="N179" s="1" t="s">
        <v>359</v>
      </c>
      <c r="O179" s="8" t="s">
        <v>26</v>
      </c>
      <c r="P179" s="15">
        <f>(Table1_145[[#This Row],[Likes]]+Table1_145[[#This Row],[Shares]]+Table1_145[[#This Row],[Comments]])/Table1_145[[#This Row],[Impressions]]</f>
        <v>9.1365878393951966E-2</v>
      </c>
    </row>
    <row r="180" spans="1:16" x14ac:dyDescent="0.3">
      <c r="A180" s="6" t="s">
        <v>231</v>
      </c>
      <c r="B180" s="1" t="s">
        <v>28</v>
      </c>
      <c r="C180" s="7">
        <v>45603</v>
      </c>
      <c r="D180" s="1" t="s">
        <v>56</v>
      </c>
      <c r="E180" s="1" t="s">
        <v>63</v>
      </c>
      <c r="F180" s="1">
        <v>129</v>
      </c>
      <c r="G180" s="1">
        <v>643</v>
      </c>
      <c r="H180" s="1">
        <v>136</v>
      </c>
      <c r="I180" s="1">
        <v>1290</v>
      </c>
      <c r="J180" s="1">
        <v>839</v>
      </c>
      <c r="K180" s="1">
        <v>238</v>
      </c>
      <c r="L180" s="1" t="s">
        <v>25</v>
      </c>
      <c r="M180" s="1" t="s">
        <v>359</v>
      </c>
      <c r="N180" s="1" t="s">
        <v>359</v>
      </c>
      <c r="O180" s="8" t="s">
        <v>32</v>
      </c>
      <c r="P180" s="15">
        <f>(Table1_145[[#This Row],[Likes]]+Table1_145[[#This Row],[Shares]]+Table1_145[[#This Row],[Comments]])/Table1_145[[#This Row],[Impressions]]</f>
        <v>0.70387596899224802</v>
      </c>
    </row>
    <row r="181" spans="1:16" x14ac:dyDescent="0.3">
      <c r="A181" s="6" t="s">
        <v>232</v>
      </c>
      <c r="B181" s="1" t="s">
        <v>35</v>
      </c>
      <c r="C181" s="7">
        <v>45488</v>
      </c>
      <c r="D181" s="1" t="s">
        <v>36</v>
      </c>
      <c r="E181" s="1" t="s">
        <v>37</v>
      </c>
      <c r="F181" s="1">
        <v>3796</v>
      </c>
      <c r="G181" s="1">
        <v>667</v>
      </c>
      <c r="H181" s="1">
        <v>395</v>
      </c>
      <c r="I181" s="1">
        <v>64532</v>
      </c>
      <c r="J181" s="1">
        <v>63550</v>
      </c>
      <c r="K181" s="1">
        <v>292</v>
      </c>
      <c r="L181" s="1" t="s">
        <v>25</v>
      </c>
      <c r="M181" s="1" t="s">
        <v>359</v>
      </c>
      <c r="N181" s="1" t="s">
        <v>359</v>
      </c>
      <c r="O181" s="8" t="s">
        <v>360</v>
      </c>
      <c r="P181" s="15">
        <f>(Table1_145[[#This Row],[Likes]]+Table1_145[[#This Row],[Shares]]+Table1_145[[#This Row],[Comments]])/Table1_145[[#This Row],[Impressions]]</f>
        <v>7.5280481001673588E-2</v>
      </c>
    </row>
    <row r="182" spans="1:16" x14ac:dyDescent="0.3">
      <c r="A182" s="6" t="s">
        <v>233</v>
      </c>
      <c r="B182" s="1" t="s">
        <v>23</v>
      </c>
      <c r="C182" s="7">
        <v>45629</v>
      </c>
      <c r="D182" s="1" t="s">
        <v>19</v>
      </c>
      <c r="E182" s="1" t="s">
        <v>73</v>
      </c>
      <c r="F182" s="1">
        <v>3711</v>
      </c>
      <c r="G182" s="1">
        <v>352</v>
      </c>
      <c r="H182" s="1">
        <v>290</v>
      </c>
      <c r="I182" s="1">
        <v>48243</v>
      </c>
      <c r="J182" s="1">
        <v>47579</v>
      </c>
      <c r="K182" s="1">
        <v>11</v>
      </c>
      <c r="L182" s="1" t="s">
        <v>25</v>
      </c>
      <c r="M182" s="1" t="s">
        <v>359</v>
      </c>
      <c r="N182" s="1" t="s">
        <v>359</v>
      </c>
      <c r="O182" s="8" t="s">
        <v>17</v>
      </c>
      <c r="P182" s="15">
        <f>(Table1_145[[#This Row],[Likes]]+Table1_145[[#This Row],[Shares]]+Table1_145[[#This Row],[Comments]])/Table1_145[[#This Row],[Impressions]]</f>
        <v>9.023070704558174E-2</v>
      </c>
    </row>
    <row r="183" spans="1:16" x14ac:dyDescent="0.3">
      <c r="A183" s="6" t="s">
        <v>234</v>
      </c>
      <c r="B183" s="1" t="s">
        <v>23</v>
      </c>
      <c r="C183" s="7">
        <v>45737</v>
      </c>
      <c r="D183" s="1" t="s">
        <v>41</v>
      </c>
      <c r="E183" s="1" t="s">
        <v>42</v>
      </c>
      <c r="F183" s="1">
        <v>606</v>
      </c>
      <c r="G183" s="1">
        <v>789</v>
      </c>
      <c r="H183" s="1">
        <v>470</v>
      </c>
      <c r="I183" s="1">
        <v>7878</v>
      </c>
      <c r="J183" s="1">
        <v>7389</v>
      </c>
      <c r="K183" s="1">
        <v>239</v>
      </c>
      <c r="L183" s="1" t="s">
        <v>31</v>
      </c>
      <c r="M183" s="1" t="s">
        <v>359</v>
      </c>
      <c r="N183" s="1" t="s">
        <v>359</v>
      </c>
      <c r="O183" s="8" t="s">
        <v>26</v>
      </c>
      <c r="P183" s="15">
        <f>(Table1_145[[#This Row],[Likes]]+Table1_145[[#This Row],[Shares]]+Table1_145[[#This Row],[Comments]])/Table1_145[[#This Row],[Impressions]]</f>
        <v>0.23673521198273673</v>
      </c>
    </row>
    <row r="184" spans="1:16" x14ac:dyDescent="0.3">
      <c r="A184" s="6" t="s">
        <v>235</v>
      </c>
      <c r="B184" s="1" t="s">
        <v>35</v>
      </c>
      <c r="C184" s="7">
        <v>45504</v>
      </c>
      <c r="D184" s="1" t="s">
        <v>41</v>
      </c>
      <c r="E184" s="1" t="s">
        <v>46</v>
      </c>
      <c r="F184" s="1">
        <v>4689</v>
      </c>
      <c r="G184" s="1">
        <v>134</v>
      </c>
      <c r="H184" s="1">
        <v>403</v>
      </c>
      <c r="I184" s="1">
        <v>51579</v>
      </c>
      <c r="J184" s="1">
        <v>50924</v>
      </c>
      <c r="K184" s="1">
        <v>173</v>
      </c>
      <c r="L184" s="1" t="s">
        <v>25</v>
      </c>
      <c r="M184" s="1" t="s">
        <v>359</v>
      </c>
      <c r="N184" s="1" t="s">
        <v>359</v>
      </c>
      <c r="O184" s="8" t="s">
        <v>32</v>
      </c>
      <c r="P184" s="15">
        <f>(Table1_145[[#This Row],[Likes]]+Table1_145[[#This Row],[Shares]]+Table1_145[[#This Row],[Comments]])/Table1_145[[#This Row],[Impressions]]</f>
        <v>0.10132030477519921</v>
      </c>
    </row>
    <row r="185" spans="1:16" x14ac:dyDescent="0.3">
      <c r="A185" s="6" t="s">
        <v>236</v>
      </c>
      <c r="B185" s="1" t="s">
        <v>28</v>
      </c>
      <c r="C185" s="7">
        <v>45643</v>
      </c>
      <c r="D185" s="1" t="s">
        <v>29</v>
      </c>
      <c r="E185" s="1" t="s">
        <v>30</v>
      </c>
      <c r="F185" s="1">
        <v>360</v>
      </c>
      <c r="G185" s="1">
        <v>590</v>
      </c>
      <c r="H185" s="1">
        <v>393</v>
      </c>
      <c r="I185" s="1">
        <v>4680</v>
      </c>
      <c r="J185" s="1">
        <v>4322</v>
      </c>
      <c r="K185" s="1">
        <v>208</v>
      </c>
      <c r="L185" s="1" t="s">
        <v>48</v>
      </c>
      <c r="M185" s="1" t="s">
        <v>359</v>
      </c>
      <c r="N185" s="1" t="s">
        <v>359</v>
      </c>
      <c r="O185" s="8" t="s">
        <v>21</v>
      </c>
      <c r="P185" s="15">
        <f>(Table1_145[[#This Row],[Likes]]+Table1_145[[#This Row],[Shares]]+Table1_145[[#This Row],[Comments]])/Table1_145[[#This Row],[Impressions]]</f>
        <v>0.28696581196581195</v>
      </c>
    </row>
    <row r="186" spans="1:16" x14ac:dyDescent="0.3">
      <c r="A186" s="6" t="s">
        <v>237</v>
      </c>
      <c r="B186" s="1" t="s">
        <v>14</v>
      </c>
      <c r="C186" s="7">
        <v>45501</v>
      </c>
      <c r="D186" s="1" t="s">
        <v>41</v>
      </c>
      <c r="E186" s="1" t="s">
        <v>88</v>
      </c>
      <c r="F186" s="1">
        <v>3215</v>
      </c>
      <c r="G186" s="1">
        <v>960</v>
      </c>
      <c r="H186" s="1">
        <v>202</v>
      </c>
      <c r="I186" s="1">
        <v>32150</v>
      </c>
      <c r="J186" s="1">
        <v>31404</v>
      </c>
      <c r="K186" s="1">
        <v>251</v>
      </c>
      <c r="L186" s="1" t="s">
        <v>31</v>
      </c>
      <c r="M186" s="1" t="s">
        <v>359</v>
      </c>
      <c r="N186" s="1" t="s">
        <v>359</v>
      </c>
      <c r="O186" s="8" t="s">
        <v>17</v>
      </c>
      <c r="P186" s="15">
        <f>(Table1_145[[#This Row],[Likes]]+Table1_145[[#This Row],[Shares]]+Table1_145[[#This Row],[Comments]])/Table1_145[[#This Row],[Impressions]]</f>
        <v>0.13614307931570763</v>
      </c>
    </row>
    <row r="187" spans="1:16" x14ac:dyDescent="0.3">
      <c r="A187" s="6" t="s">
        <v>238</v>
      </c>
      <c r="B187" s="1" t="s">
        <v>28</v>
      </c>
      <c r="C187" s="7">
        <v>45668</v>
      </c>
      <c r="D187" s="1" t="s">
        <v>36</v>
      </c>
      <c r="E187" s="1" t="s">
        <v>65</v>
      </c>
      <c r="F187" s="1">
        <v>4523</v>
      </c>
      <c r="G187" s="1">
        <v>61</v>
      </c>
      <c r="H187" s="1">
        <v>157</v>
      </c>
      <c r="I187" s="1">
        <v>49753</v>
      </c>
      <c r="J187" s="1">
        <v>49329</v>
      </c>
      <c r="K187" s="1">
        <v>71</v>
      </c>
      <c r="L187" s="1" t="s">
        <v>31</v>
      </c>
      <c r="M187" s="1" t="s">
        <v>359</v>
      </c>
      <c r="N187" s="1" t="s">
        <v>359</v>
      </c>
      <c r="O187" s="8" t="s">
        <v>360</v>
      </c>
      <c r="P187" s="15">
        <f>(Table1_145[[#This Row],[Likes]]+Table1_145[[#This Row],[Shares]]+Table1_145[[#This Row],[Comments]])/Table1_145[[#This Row],[Impressions]]</f>
        <v>9.5290736237010829E-2</v>
      </c>
    </row>
    <row r="188" spans="1:16" x14ac:dyDescent="0.3">
      <c r="A188" s="6" t="s">
        <v>239</v>
      </c>
      <c r="B188" s="1" t="s">
        <v>35</v>
      </c>
      <c r="C188" s="7">
        <v>45528</v>
      </c>
      <c r="D188" s="1" t="s">
        <v>36</v>
      </c>
      <c r="E188" s="1" t="s">
        <v>37</v>
      </c>
      <c r="F188" s="1">
        <v>4292</v>
      </c>
      <c r="G188" s="1">
        <v>51</v>
      </c>
      <c r="H188" s="1">
        <v>392</v>
      </c>
      <c r="I188" s="1">
        <v>55796</v>
      </c>
      <c r="J188" s="1">
        <v>54826</v>
      </c>
      <c r="K188" s="1">
        <v>264</v>
      </c>
      <c r="L188" s="1" t="s">
        <v>31</v>
      </c>
      <c r="M188" s="1" t="s">
        <v>359</v>
      </c>
      <c r="N188" s="1" t="s">
        <v>359</v>
      </c>
      <c r="O188" s="8" t="s">
        <v>26</v>
      </c>
      <c r="P188" s="15">
        <f>(Table1_145[[#This Row],[Likes]]+Table1_145[[#This Row],[Shares]]+Table1_145[[#This Row],[Comments]])/Table1_145[[#This Row],[Impressions]]</f>
        <v>8.4862714173059003E-2</v>
      </c>
    </row>
    <row r="189" spans="1:16" x14ac:dyDescent="0.3">
      <c r="A189" s="6" t="s">
        <v>240</v>
      </c>
      <c r="B189" s="1" t="s">
        <v>14</v>
      </c>
      <c r="C189" s="7">
        <v>45648</v>
      </c>
      <c r="D189" s="1" t="s">
        <v>15</v>
      </c>
      <c r="E189" s="1" t="s">
        <v>16</v>
      </c>
      <c r="F189" s="1">
        <v>1644</v>
      </c>
      <c r="G189" s="1">
        <v>546</v>
      </c>
      <c r="H189" s="1">
        <v>150</v>
      </c>
      <c r="I189" s="1">
        <v>27948</v>
      </c>
      <c r="J189" s="1">
        <v>27184</v>
      </c>
      <c r="K189" s="1">
        <v>300</v>
      </c>
      <c r="L189" s="1" t="s">
        <v>31</v>
      </c>
      <c r="M189" s="1" t="s">
        <v>359</v>
      </c>
      <c r="N189" s="1" t="s">
        <v>359</v>
      </c>
      <c r="O189" s="8" t="s">
        <v>26</v>
      </c>
      <c r="P189" s="15">
        <f>(Table1_145[[#This Row],[Likes]]+Table1_145[[#This Row],[Shares]]+Table1_145[[#This Row],[Comments]])/Table1_145[[#This Row],[Impressions]]</f>
        <v>8.3726921425504502E-2</v>
      </c>
    </row>
    <row r="190" spans="1:16" x14ac:dyDescent="0.3">
      <c r="A190" s="6" t="s">
        <v>241</v>
      </c>
      <c r="B190" s="1" t="s">
        <v>23</v>
      </c>
      <c r="C190" s="7">
        <v>45449</v>
      </c>
      <c r="D190" s="1" t="s">
        <v>15</v>
      </c>
      <c r="E190" s="1" t="s">
        <v>24</v>
      </c>
      <c r="F190" s="1">
        <v>2728</v>
      </c>
      <c r="G190" s="1">
        <v>533</v>
      </c>
      <c r="H190" s="1">
        <v>215</v>
      </c>
      <c r="I190" s="1">
        <v>40920</v>
      </c>
      <c r="J190" s="1">
        <v>40816</v>
      </c>
      <c r="K190" s="1">
        <v>137</v>
      </c>
      <c r="L190" s="1" t="s">
        <v>48</v>
      </c>
      <c r="M190" s="1" t="s">
        <v>359</v>
      </c>
      <c r="N190" s="1" t="s">
        <v>359</v>
      </c>
      <c r="O190" s="8" t="s">
        <v>21</v>
      </c>
      <c r="P190" s="15">
        <f>(Table1_145[[#This Row],[Likes]]+Table1_145[[#This Row],[Shares]]+Table1_145[[#This Row],[Comments]])/Table1_145[[#This Row],[Impressions]]</f>
        <v>8.4946236559139784E-2</v>
      </c>
    </row>
    <row r="191" spans="1:16" x14ac:dyDescent="0.3">
      <c r="A191" s="6" t="s">
        <v>242</v>
      </c>
      <c r="B191" s="1" t="s">
        <v>35</v>
      </c>
      <c r="C191" s="7">
        <v>45740</v>
      </c>
      <c r="D191" s="1" t="s">
        <v>15</v>
      </c>
      <c r="E191" s="1" t="s">
        <v>50</v>
      </c>
      <c r="F191" s="1">
        <v>3360</v>
      </c>
      <c r="G191" s="1">
        <v>525</v>
      </c>
      <c r="H191" s="1">
        <v>500</v>
      </c>
      <c r="I191" s="1">
        <v>60480</v>
      </c>
      <c r="J191" s="1">
        <v>59610</v>
      </c>
      <c r="K191" s="1">
        <v>192</v>
      </c>
      <c r="L191" s="1" t="s">
        <v>25</v>
      </c>
      <c r="M191" s="1" t="s">
        <v>359</v>
      </c>
      <c r="N191" s="1" t="s">
        <v>359</v>
      </c>
      <c r="O191" s="8" t="s">
        <v>17</v>
      </c>
      <c r="P191" s="15">
        <f>(Table1_145[[#This Row],[Likes]]+Table1_145[[#This Row],[Shares]]+Table1_145[[#This Row],[Comments]])/Table1_145[[#This Row],[Impressions]]</f>
        <v>7.2503306878306875E-2</v>
      </c>
    </row>
    <row r="192" spans="1:16" x14ac:dyDescent="0.3">
      <c r="A192" s="6" t="s">
        <v>243</v>
      </c>
      <c r="B192" s="1" t="s">
        <v>23</v>
      </c>
      <c r="C192" s="7">
        <v>45569</v>
      </c>
      <c r="D192" s="1" t="s">
        <v>19</v>
      </c>
      <c r="E192" s="1" t="s">
        <v>73</v>
      </c>
      <c r="F192" s="1">
        <v>1963</v>
      </c>
      <c r="G192" s="1">
        <v>213</v>
      </c>
      <c r="H192" s="1">
        <v>19</v>
      </c>
      <c r="I192" s="1">
        <v>39260</v>
      </c>
      <c r="J192" s="1">
        <v>38771</v>
      </c>
      <c r="K192" s="1">
        <v>145</v>
      </c>
      <c r="L192" s="1" t="s">
        <v>48</v>
      </c>
      <c r="M192" s="1" t="s">
        <v>359</v>
      </c>
      <c r="N192" s="1" t="s">
        <v>359</v>
      </c>
      <c r="O192" s="8" t="s">
        <v>360</v>
      </c>
      <c r="P192" s="15">
        <f>(Table1_145[[#This Row],[Likes]]+Table1_145[[#This Row],[Shares]]+Table1_145[[#This Row],[Comments]])/Table1_145[[#This Row],[Impressions]]</f>
        <v>5.5909322465613857E-2</v>
      </c>
    </row>
    <row r="193" spans="1:16" x14ac:dyDescent="0.3">
      <c r="A193" s="6" t="s">
        <v>244</v>
      </c>
      <c r="B193" s="1" t="s">
        <v>23</v>
      </c>
      <c r="C193" s="7">
        <v>45629</v>
      </c>
      <c r="D193" s="1" t="s">
        <v>29</v>
      </c>
      <c r="E193" s="1" t="s">
        <v>101</v>
      </c>
      <c r="F193" s="1">
        <v>4285</v>
      </c>
      <c r="G193" s="1">
        <v>886</v>
      </c>
      <c r="H193" s="1">
        <v>376</v>
      </c>
      <c r="I193" s="1">
        <v>55705</v>
      </c>
      <c r="J193" s="1">
        <v>55556</v>
      </c>
      <c r="K193" s="1">
        <v>51</v>
      </c>
      <c r="L193" s="1" t="s">
        <v>48</v>
      </c>
      <c r="M193" s="1" t="s">
        <v>359</v>
      </c>
      <c r="N193" s="1" t="s">
        <v>359</v>
      </c>
      <c r="O193" s="8" t="s">
        <v>26</v>
      </c>
      <c r="P193" s="15">
        <f>(Table1_145[[#This Row],[Likes]]+Table1_145[[#This Row],[Shares]]+Table1_145[[#This Row],[Comments]])/Table1_145[[#This Row],[Impressions]]</f>
        <v>9.9578134817341346E-2</v>
      </c>
    </row>
    <row r="194" spans="1:16" x14ac:dyDescent="0.3">
      <c r="A194" s="6" t="s">
        <v>245</v>
      </c>
      <c r="B194" s="1" t="s">
        <v>28</v>
      </c>
      <c r="C194" s="7">
        <v>45625</v>
      </c>
      <c r="D194" s="1" t="s">
        <v>56</v>
      </c>
      <c r="E194" s="1" t="s">
        <v>63</v>
      </c>
      <c r="F194" s="1">
        <v>1176</v>
      </c>
      <c r="G194" s="1">
        <v>464</v>
      </c>
      <c r="H194" s="1">
        <v>394</v>
      </c>
      <c r="I194" s="1">
        <v>14112</v>
      </c>
      <c r="J194" s="1">
        <v>13588</v>
      </c>
      <c r="K194" s="1">
        <v>272</v>
      </c>
      <c r="L194" s="1" t="s">
        <v>31</v>
      </c>
      <c r="M194" s="1" t="s">
        <v>359</v>
      </c>
      <c r="N194" s="1" t="s">
        <v>359</v>
      </c>
      <c r="O194" s="8" t="s">
        <v>360</v>
      </c>
      <c r="P194" s="15">
        <f>(Table1_145[[#This Row],[Likes]]+Table1_145[[#This Row],[Shares]]+Table1_145[[#This Row],[Comments]])/Table1_145[[#This Row],[Impressions]]</f>
        <v>0.1441326530612245</v>
      </c>
    </row>
    <row r="195" spans="1:16" x14ac:dyDescent="0.3">
      <c r="A195" s="6" t="s">
        <v>246</v>
      </c>
      <c r="B195" s="1" t="s">
        <v>14</v>
      </c>
      <c r="C195" s="7">
        <v>45546</v>
      </c>
      <c r="D195" s="1" t="s">
        <v>41</v>
      </c>
      <c r="E195" s="1" t="s">
        <v>88</v>
      </c>
      <c r="F195" s="1">
        <v>4858</v>
      </c>
      <c r="G195" s="1">
        <v>317</v>
      </c>
      <c r="H195" s="1">
        <v>129</v>
      </c>
      <c r="I195" s="1">
        <v>53438</v>
      </c>
      <c r="J195" s="1">
        <v>52687</v>
      </c>
      <c r="K195" s="1">
        <v>223</v>
      </c>
      <c r="L195" s="1" t="s">
        <v>31</v>
      </c>
      <c r="M195" s="1" t="s">
        <v>359</v>
      </c>
      <c r="N195" s="1" t="s">
        <v>359</v>
      </c>
      <c r="O195" s="8" t="s">
        <v>26</v>
      </c>
      <c r="P195" s="15">
        <f>(Table1_145[[#This Row],[Likes]]+Table1_145[[#This Row],[Shares]]+Table1_145[[#This Row],[Comments]])/Table1_145[[#This Row],[Impressions]]</f>
        <v>9.9255211647142488E-2</v>
      </c>
    </row>
    <row r="196" spans="1:16" x14ac:dyDescent="0.3">
      <c r="A196" s="6" t="s">
        <v>247</v>
      </c>
      <c r="B196" s="1" t="s">
        <v>23</v>
      </c>
      <c r="C196" s="7">
        <v>45567</v>
      </c>
      <c r="D196" s="1" t="s">
        <v>29</v>
      </c>
      <c r="E196" s="1" t="s">
        <v>101</v>
      </c>
      <c r="F196" s="1">
        <v>4350</v>
      </c>
      <c r="G196" s="1">
        <v>771</v>
      </c>
      <c r="H196" s="1">
        <v>7</v>
      </c>
      <c r="I196" s="1">
        <v>60900</v>
      </c>
      <c r="J196" s="1">
        <v>60592</v>
      </c>
      <c r="K196" s="1">
        <v>195</v>
      </c>
      <c r="L196" s="1" t="s">
        <v>31</v>
      </c>
      <c r="M196" s="1" t="s">
        <v>359</v>
      </c>
      <c r="N196" s="1" t="s">
        <v>359</v>
      </c>
      <c r="O196" s="8" t="s">
        <v>17</v>
      </c>
      <c r="P196" s="15">
        <f>(Table1_145[[#This Row],[Likes]]+Table1_145[[#This Row],[Shares]]+Table1_145[[#This Row],[Comments]])/Table1_145[[#This Row],[Impressions]]</f>
        <v>8.4203612479474554E-2</v>
      </c>
    </row>
    <row r="197" spans="1:16" x14ac:dyDescent="0.3">
      <c r="A197" s="6" t="s">
        <v>248</v>
      </c>
      <c r="B197" s="1" t="s">
        <v>28</v>
      </c>
      <c r="C197" s="7">
        <v>45519</v>
      </c>
      <c r="D197" s="1" t="s">
        <v>36</v>
      </c>
      <c r="E197" s="1" t="s">
        <v>65</v>
      </c>
      <c r="F197" s="1">
        <v>914</v>
      </c>
      <c r="G197" s="1">
        <v>464</v>
      </c>
      <c r="H197" s="1">
        <v>246</v>
      </c>
      <c r="I197" s="1">
        <v>11882</v>
      </c>
      <c r="J197" s="1">
        <v>11500</v>
      </c>
      <c r="K197" s="1">
        <v>282</v>
      </c>
      <c r="L197" s="1" t="s">
        <v>48</v>
      </c>
      <c r="M197" s="1" t="s">
        <v>25</v>
      </c>
      <c r="N197" s="1" t="s">
        <v>354</v>
      </c>
      <c r="O197" s="8" t="s">
        <v>32</v>
      </c>
      <c r="P197" s="15">
        <f>(Table1_145[[#This Row],[Likes]]+Table1_145[[#This Row],[Shares]]+Table1_145[[#This Row],[Comments]])/Table1_145[[#This Row],[Impressions]]</f>
        <v>0.13667732704931829</v>
      </c>
    </row>
    <row r="198" spans="1:16" x14ac:dyDescent="0.3">
      <c r="A198" s="6" t="s">
        <v>249</v>
      </c>
      <c r="B198" s="1" t="s">
        <v>28</v>
      </c>
      <c r="C198" s="7">
        <v>45645</v>
      </c>
      <c r="D198" s="1" t="s">
        <v>19</v>
      </c>
      <c r="E198" s="1" t="s">
        <v>78</v>
      </c>
      <c r="F198" s="1">
        <v>1813</v>
      </c>
      <c r="G198" s="1">
        <v>623</v>
      </c>
      <c r="H198" s="1">
        <v>72</v>
      </c>
      <c r="I198" s="1">
        <v>19943</v>
      </c>
      <c r="J198" s="1">
        <v>18959</v>
      </c>
      <c r="K198" s="1">
        <v>85</v>
      </c>
      <c r="L198" s="1" t="s">
        <v>31</v>
      </c>
      <c r="M198" s="1" t="s">
        <v>359</v>
      </c>
      <c r="N198" s="1" t="s">
        <v>359</v>
      </c>
      <c r="O198" s="8" t="s">
        <v>26</v>
      </c>
      <c r="P198" s="15">
        <f>(Table1_145[[#This Row],[Likes]]+Table1_145[[#This Row],[Shares]]+Table1_145[[#This Row],[Comments]])/Table1_145[[#This Row],[Impressions]]</f>
        <v>0.12575841147269717</v>
      </c>
    </row>
    <row r="199" spans="1:16" x14ac:dyDescent="0.3">
      <c r="A199" s="6" t="s">
        <v>250</v>
      </c>
      <c r="B199" s="1" t="s">
        <v>14</v>
      </c>
      <c r="C199" s="7">
        <v>45587</v>
      </c>
      <c r="D199" s="1" t="s">
        <v>15</v>
      </c>
      <c r="E199" s="1" t="s">
        <v>16</v>
      </c>
      <c r="F199" s="1">
        <v>4782</v>
      </c>
      <c r="G199" s="1">
        <v>721</v>
      </c>
      <c r="H199" s="1">
        <v>82</v>
      </c>
      <c r="I199" s="1">
        <v>86076</v>
      </c>
      <c r="J199" s="1">
        <v>85339</v>
      </c>
      <c r="K199" s="1">
        <v>19</v>
      </c>
      <c r="L199" s="1" t="s">
        <v>31</v>
      </c>
      <c r="M199" s="1" t="s">
        <v>359</v>
      </c>
      <c r="N199" s="1" t="s">
        <v>359</v>
      </c>
      <c r="O199" s="8" t="s">
        <v>17</v>
      </c>
      <c r="P199" s="15">
        <f>(Table1_145[[#This Row],[Likes]]+Table1_145[[#This Row],[Shares]]+Table1_145[[#This Row],[Comments]])/Table1_145[[#This Row],[Impressions]]</f>
        <v>6.4884520656164318E-2</v>
      </c>
    </row>
    <row r="200" spans="1:16" x14ac:dyDescent="0.3">
      <c r="A200" s="6" t="s">
        <v>251</v>
      </c>
      <c r="B200" s="1" t="s">
        <v>14</v>
      </c>
      <c r="C200" s="7">
        <v>45549</v>
      </c>
      <c r="D200" s="1" t="s">
        <v>41</v>
      </c>
      <c r="E200" s="1" t="s">
        <v>88</v>
      </c>
      <c r="F200" s="1">
        <v>1048</v>
      </c>
      <c r="G200" s="1">
        <v>374</v>
      </c>
      <c r="H200" s="1">
        <v>450</v>
      </c>
      <c r="I200" s="1">
        <v>9432</v>
      </c>
      <c r="J200" s="1">
        <v>8882</v>
      </c>
      <c r="K200" s="1">
        <v>158</v>
      </c>
      <c r="L200" s="1" t="s">
        <v>25</v>
      </c>
      <c r="M200" s="1" t="s">
        <v>359</v>
      </c>
      <c r="N200" s="1" t="s">
        <v>359</v>
      </c>
      <c r="O200" s="8" t="s">
        <v>26</v>
      </c>
      <c r="P200" s="15">
        <f>(Table1_145[[#This Row],[Likes]]+Table1_145[[#This Row],[Shares]]+Table1_145[[#This Row],[Comments]])/Table1_145[[#This Row],[Impressions]]</f>
        <v>0.19847328244274809</v>
      </c>
    </row>
    <row r="201" spans="1:16" x14ac:dyDescent="0.3">
      <c r="A201" s="6" t="s">
        <v>252</v>
      </c>
      <c r="B201" s="1" t="s">
        <v>23</v>
      </c>
      <c r="C201" s="7">
        <v>45626</v>
      </c>
      <c r="D201" s="1" t="s">
        <v>36</v>
      </c>
      <c r="E201" s="1" t="s">
        <v>52</v>
      </c>
      <c r="F201" s="1">
        <v>2509</v>
      </c>
      <c r="G201" s="1">
        <v>324</v>
      </c>
      <c r="H201" s="1">
        <v>171</v>
      </c>
      <c r="I201" s="1">
        <v>35126</v>
      </c>
      <c r="J201" s="1">
        <v>34685</v>
      </c>
      <c r="K201" s="1">
        <v>277</v>
      </c>
      <c r="L201" s="1" t="s">
        <v>25</v>
      </c>
      <c r="M201" s="1" t="s">
        <v>359</v>
      </c>
      <c r="N201" s="1" t="s">
        <v>359</v>
      </c>
      <c r="O201" s="8" t="s">
        <v>21</v>
      </c>
      <c r="P201" s="15">
        <f>(Table1_145[[#This Row],[Likes]]+Table1_145[[#This Row],[Shares]]+Table1_145[[#This Row],[Comments]])/Table1_145[[#This Row],[Impressions]]</f>
        <v>8.5520696919660646E-2</v>
      </c>
    </row>
    <row r="202" spans="1:16" x14ac:dyDescent="0.3">
      <c r="A202" s="6" t="s">
        <v>253</v>
      </c>
      <c r="B202" s="1" t="s">
        <v>35</v>
      </c>
      <c r="C202" s="7">
        <v>45754</v>
      </c>
      <c r="D202" s="1" t="s">
        <v>15</v>
      </c>
      <c r="E202" s="1" t="s">
        <v>50</v>
      </c>
      <c r="F202" s="1">
        <v>3718</v>
      </c>
      <c r="G202" s="1">
        <v>385</v>
      </c>
      <c r="H202" s="1">
        <v>310</v>
      </c>
      <c r="I202" s="1">
        <v>70642</v>
      </c>
      <c r="J202" s="1">
        <v>69749</v>
      </c>
      <c r="K202" s="1">
        <v>233</v>
      </c>
      <c r="L202" s="1" t="s">
        <v>25</v>
      </c>
      <c r="M202" s="1" t="s">
        <v>359</v>
      </c>
      <c r="N202" s="1" t="s">
        <v>359</v>
      </c>
      <c r="O202" s="8" t="s">
        <v>21</v>
      </c>
      <c r="P202" s="15">
        <f>(Table1_145[[#This Row],[Likes]]+Table1_145[[#This Row],[Shares]]+Table1_145[[#This Row],[Comments]])/Table1_145[[#This Row],[Impressions]]</f>
        <v>6.246991874522239E-2</v>
      </c>
    </row>
    <row r="203" spans="1:16" x14ac:dyDescent="0.3">
      <c r="A203" s="6" t="s">
        <v>254</v>
      </c>
      <c r="B203" s="1" t="s">
        <v>14</v>
      </c>
      <c r="C203" s="7">
        <v>45672</v>
      </c>
      <c r="D203" s="1" t="s">
        <v>15</v>
      </c>
      <c r="E203" s="1" t="s">
        <v>16</v>
      </c>
      <c r="F203" s="1">
        <v>802</v>
      </c>
      <c r="G203" s="1">
        <v>262</v>
      </c>
      <c r="H203" s="1">
        <v>244</v>
      </c>
      <c r="I203" s="1">
        <v>14436</v>
      </c>
      <c r="J203" s="1">
        <v>14280</v>
      </c>
      <c r="K203" s="1">
        <v>49</v>
      </c>
      <c r="L203" s="1" t="s">
        <v>31</v>
      </c>
      <c r="M203" s="1" t="s">
        <v>359</v>
      </c>
      <c r="N203" s="1" t="s">
        <v>359</v>
      </c>
      <c r="O203" s="8" t="s">
        <v>17</v>
      </c>
      <c r="P203" s="15">
        <f>(Table1_145[[#This Row],[Likes]]+Table1_145[[#This Row],[Shares]]+Table1_145[[#This Row],[Comments]])/Table1_145[[#This Row],[Impressions]]</f>
        <v>9.0606816292601824E-2</v>
      </c>
    </row>
    <row r="204" spans="1:16" x14ac:dyDescent="0.3">
      <c r="A204" s="6" t="s">
        <v>255</v>
      </c>
      <c r="B204" s="1" t="s">
        <v>35</v>
      </c>
      <c r="C204" s="7">
        <v>45445</v>
      </c>
      <c r="D204" s="1" t="s">
        <v>41</v>
      </c>
      <c r="E204" s="1" t="s">
        <v>46</v>
      </c>
      <c r="F204" s="1">
        <v>1871</v>
      </c>
      <c r="G204" s="1">
        <v>252</v>
      </c>
      <c r="H204" s="1">
        <v>335</v>
      </c>
      <c r="I204" s="1">
        <v>29936</v>
      </c>
      <c r="J204" s="1">
        <v>29576</v>
      </c>
      <c r="K204" s="1">
        <v>288</v>
      </c>
      <c r="L204" s="1" t="s">
        <v>31</v>
      </c>
      <c r="M204" s="1" t="s">
        <v>359</v>
      </c>
      <c r="N204" s="1" t="s">
        <v>359</v>
      </c>
      <c r="O204" s="8" t="s">
        <v>26</v>
      </c>
      <c r="P204" s="15">
        <f>(Table1_145[[#This Row],[Likes]]+Table1_145[[#This Row],[Shares]]+Table1_145[[#This Row],[Comments]])/Table1_145[[#This Row],[Impressions]]</f>
        <v>8.2108498129342594E-2</v>
      </c>
    </row>
    <row r="205" spans="1:16" x14ac:dyDescent="0.3">
      <c r="A205" s="6" t="s">
        <v>256</v>
      </c>
      <c r="B205" s="1" t="s">
        <v>28</v>
      </c>
      <c r="C205" s="7">
        <v>45617</v>
      </c>
      <c r="D205" s="1" t="s">
        <v>36</v>
      </c>
      <c r="E205" s="1" t="s">
        <v>65</v>
      </c>
      <c r="F205" s="1">
        <v>3773</v>
      </c>
      <c r="G205" s="1">
        <v>299</v>
      </c>
      <c r="H205" s="1">
        <v>38</v>
      </c>
      <c r="I205" s="1">
        <v>71687</v>
      </c>
      <c r="J205" s="1">
        <v>71447</v>
      </c>
      <c r="K205" s="1">
        <v>286</v>
      </c>
      <c r="L205" s="1" t="s">
        <v>48</v>
      </c>
      <c r="M205" s="1" t="s">
        <v>359</v>
      </c>
      <c r="N205" s="1" t="s">
        <v>359</v>
      </c>
      <c r="O205" s="8" t="s">
        <v>17</v>
      </c>
      <c r="P205" s="15">
        <f>(Table1_145[[#This Row],[Likes]]+Table1_145[[#This Row],[Shares]]+Table1_145[[#This Row],[Comments]])/Table1_145[[#This Row],[Impressions]]</f>
        <v>5.7332570758993957E-2</v>
      </c>
    </row>
    <row r="206" spans="1:16" x14ac:dyDescent="0.3">
      <c r="A206" s="6" t="s">
        <v>257</v>
      </c>
      <c r="B206" s="1" t="s">
        <v>28</v>
      </c>
      <c r="C206" s="7">
        <v>45658</v>
      </c>
      <c r="D206" s="1" t="s">
        <v>36</v>
      </c>
      <c r="E206" s="1" t="s">
        <v>65</v>
      </c>
      <c r="F206" s="1">
        <v>2234</v>
      </c>
      <c r="G206" s="1">
        <v>653</v>
      </c>
      <c r="H206" s="1">
        <v>432</v>
      </c>
      <c r="I206" s="1">
        <v>11170</v>
      </c>
      <c r="J206" s="1">
        <v>10569</v>
      </c>
      <c r="K206" s="1">
        <v>198</v>
      </c>
      <c r="L206" s="1" t="s">
        <v>48</v>
      </c>
      <c r="M206" s="1" t="s">
        <v>359</v>
      </c>
      <c r="N206" s="1" t="s">
        <v>359</v>
      </c>
      <c r="O206" s="8" t="s">
        <v>26</v>
      </c>
      <c r="P206" s="15">
        <f>(Table1_145[[#This Row],[Likes]]+Table1_145[[#This Row],[Shares]]+Table1_145[[#This Row],[Comments]])/Table1_145[[#This Row],[Impressions]]</f>
        <v>0.29713518352730528</v>
      </c>
    </row>
    <row r="207" spans="1:16" x14ac:dyDescent="0.3">
      <c r="A207" s="6" t="s">
        <v>258</v>
      </c>
      <c r="B207" s="1" t="s">
        <v>14</v>
      </c>
      <c r="C207" s="7">
        <v>45771</v>
      </c>
      <c r="D207" s="1" t="s">
        <v>56</v>
      </c>
      <c r="E207" s="1" t="s">
        <v>95</v>
      </c>
      <c r="F207" s="1">
        <v>3820</v>
      </c>
      <c r="G207" s="1">
        <v>697</v>
      </c>
      <c r="H207" s="1">
        <v>268</v>
      </c>
      <c r="I207" s="1">
        <v>45840</v>
      </c>
      <c r="J207" s="1">
        <v>45631</v>
      </c>
      <c r="K207" s="1">
        <v>171</v>
      </c>
      <c r="L207" s="1" t="s">
        <v>25</v>
      </c>
      <c r="M207" s="1" t="s">
        <v>356</v>
      </c>
      <c r="N207" s="1" t="s">
        <v>359</v>
      </c>
      <c r="O207" s="8" t="s">
        <v>32</v>
      </c>
      <c r="P207" s="15">
        <f>(Table1_145[[#This Row],[Likes]]+Table1_145[[#This Row],[Shares]]+Table1_145[[#This Row],[Comments]])/Table1_145[[#This Row],[Impressions]]</f>
        <v>0.1043848167539267</v>
      </c>
    </row>
    <row r="208" spans="1:16" x14ac:dyDescent="0.3">
      <c r="A208" s="6" t="s">
        <v>259</v>
      </c>
      <c r="B208" s="1" t="s">
        <v>14</v>
      </c>
      <c r="C208" s="7">
        <v>45467</v>
      </c>
      <c r="D208" s="1" t="s">
        <v>19</v>
      </c>
      <c r="E208" s="1" t="s">
        <v>20</v>
      </c>
      <c r="F208" s="1">
        <v>941</v>
      </c>
      <c r="G208" s="1">
        <v>121</v>
      </c>
      <c r="H208" s="1">
        <v>458</v>
      </c>
      <c r="I208" s="1">
        <v>14115</v>
      </c>
      <c r="J208" s="1">
        <v>13838</v>
      </c>
      <c r="K208" s="1">
        <v>87</v>
      </c>
      <c r="L208" s="1" t="s">
        <v>31</v>
      </c>
      <c r="M208" s="1" t="s">
        <v>359</v>
      </c>
      <c r="N208" s="1" t="s">
        <v>359</v>
      </c>
      <c r="O208" s="8" t="s">
        <v>17</v>
      </c>
      <c r="P208" s="15">
        <f>(Table1_145[[#This Row],[Likes]]+Table1_145[[#This Row],[Shares]]+Table1_145[[#This Row],[Comments]])/Table1_145[[#This Row],[Impressions]]</f>
        <v>0.10768685795253277</v>
      </c>
    </row>
    <row r="209" spans="1:16" x14ac:dyDescent="0.3">
      <c r="A209" s="6" t="s">
        <v>260</v>
      </c>
      <c r="B209" s="1" t="s">
        <v>14</v>
      </c>
      <c r="C209" s="7">
        <v>45655</v>
      </c>
      <c r="D209" s="1" t="s">
        <v>36</v>
      </c>
      <c r="E209" s="1" t="s">
        <v>39</v>
      </c>
      <c r="F209" s="1">
        <v>4274</v>
      </c>
      <c r="G209" s="1">
        <v>340</v>
      </c>
      <c r="H209" s="1">
        <v>281</v>
      </c>
      <c r="I209" s="1">
        <v>34192</v>
      </c>
      <c r="J209" s="1">
        <v>33446</v>
      </c>
      <c r="K209" s="1">
        <v>129</v>
      </c>
      <c r="L209" s="1" t="s">
        <v>25</v>
      </c>
      <c r="M209" s="1" t="s">
        <v>356</v>
      </c>
      <c r="N209" s="1" t="s">
        <v>359</v>
      </c>
      <c r="O209" s="8" t="s">
        <v>26</v>
      </c>
      <c r="P209" s="15">
        <f>(Table1_145[[#This Row],[Likes]]+Table1_145[[#This Row],[Shares]]+Table1_145[[#This Row],[Comments]])/Table1_145[[#This Row],[Impressions]]</f>
        <v>0.14316214319138981</v>
      </c>
    </row>
    <row r="210" spans="1:16" x14ac:dyDescent="0.3">
      <c r="A210" s="6" t="s">
        <v>261</v>
      </c>
      <c r="B210" s="1" t="s">
        <v>23</v>
      </c>
      <c r="C210" s="7">
        <v>45467</v>
      </c>
      <c r="D210" s="1" t="s">
        <v>56</v>
      </c>
      <c r="E210" s="1" t="s">
        <v>136</v>
      </c>
      <c r="F210" s="1">
        <v>2949</v>
      </c>
      <c r="G210" s="1">
        <v>476</v>
      </c>
      <c r="H210" s="1">
        <v>403</v>
      </c>
      <c r="I210" s="1">
        <v>44235</v>
      </c>
      <c r="J210" s="1">
        <v>43705</v>
      </c>
      <c r="K210" s="1">
        <v>135</v>
      </c>
      <c r="L210" s="1" t="s">
        <v>25</v>
      </c>
      <c r="M210" s="1" t="s">
        <v>359</v>
      </c>
      <c r="N210" s="1" t="s">
        <v>359</v>
      </c>
      <c r="O210" s="8" t="s">
        <v>21</v>
      </c>
      <c r="P210" s="15">
        <f>(Table1_145[[#This Row],[Likes]]+Table1_145[[#This Row],[Shares]]+Table1_145[[#This Row],[Comments]])/Table1_145[[#This Row],[Impressions]]</f>
        <v>8.6537809426924378E-2</v>
      </c>
    </row>
    <row r="211" spans="1:16" x14ac:dyDescent="0.3">
      <c r="A211" s="6" t="s">
        <v>262</v>
      </c>
      <c r="B211" s="1" t="s">
        <v>14</v>
      </c>
      <c r="C211" s="7">
        <v>45735</v>
      </c>
      <c r="D211" s="1" t="s">
        <v>56</v>
      </c>
      <c r="E211" s="1" t="s">
        <v>95</v>
      </c>
      <c r="F211" s="1">
        <v>3160</v>
      </c>
      <c r="G211" s="1">
        <v>204</v>
      </c>
      <c r="H211" s="1">
        <v>297</v>
      </c>
      <c r="I211" s="1">
        <v>44240</v>
      </c>
      <c r="J211" s="1">
        <v>43666</v>
      </c>
      <c r="K211" s="1">
        <v>49</v>
      </c>
      <c r="L211" s="1" t="s">
        <v>48</v>
      </c>
      <c r="M211" s="1" t="s">
        <v>354</v>
      </c>
      <c r="N211" s="1" t="s">
        <v>359</v>
      </c>
      <c r="O211" s="8" t="s">
        <v>32</v>
      </c>
      <c r="P211" s="15">
        <f>(Table1_145[[#This Row],[Likes]]+Table1_145[[#This Row],[Shares]]+Table1_145[[#This Row],[Comments]])/Table1_145[[#This Row],[Impressions]]</f>
        <v>8.2753164556962022E-2</v>
      </c>
    </row>
    <row r="212" spans="1:16" x14ac:dyDescent="0.3">
      <c r="A212" s="6" t="s">
        <v>263</v>
      </c>
      <c r="B212" s="1" t="s">
        <v>23</v>
      </c>
      <c r="C212" s="7">
        <v>45707</v>
      </c>
      <c r="D212" s="1" t="s">
        <v>41</v>
      </c>
      <c r="E212" s="1" t="s">
        <v>42</v>
      </c>
      <c r="F212" s="1">
        <v>257</v>
      </c>
      <c r="G212" s="1">
        <v>966</v>
      </c>
      <c r="H212" s="1">
        <v>398</v>
      </c>
      <c r="I212" s="1">
        <v>3341</v>
      </c>
      <c r="J212" s="1">
        <v>2753</v>
      </c>
      <c r="K212" s="1">
        <v>287</v>
      </c>
      <c r="L212" s="1" t="s">
        <v>48</v>
      </c>
      <c r="M212" s="1" t="s">
        <v>359</v>
      </c>
      <c r="N212" s="1" t="s">
        <v>359</v>
      </c>
      <c r="O212" s="8" t="s">
        <v>17</v>
      </c>
      <c r="P212" s="15">
        <f>(Table1_145[[#This Row],[Likes]]+Table1_145[[#This Row],[Shares]]+Table1_145[[#This Row],[Comments]])/Table1_145[[#This Row],[Impressions]]</f>
        <v>0.48518407662376534</v>
      </c>
    </row>
    <row r="213" spans="1:16" x14ac:dyDescent="0.3">
      <c r="A213" s="6" t="s">
        <v>264</v>
      </c>
      <c r="B213" s="1" t="s">
        <v>14</v>
      </c>
      <c r="C213" s="7">
        <v>45491</v>
      </c>
      <c r="D213" s="1" t="s">
        <v>36</v>
      </c>
      <c r="E213" s="1" t="s">
        <v>39</v>
      </c>
      <c r="F213" s="1">
        <v>2120</v>
      </c>
      <c r="G213" s="1">
        <v>38</v>
      </c>
      <c r="H213" s="1">
        <v>212</v>
      </c>
      <c r="I213" s="1">
        <v>12720</v>
      </c>
      <c r="J213" s="1">
        <v>12564</v>
      </c>
      <c r="K213" s="1">
        <v>21</v>
      </c>
      <c r="L213" s="1" t="s">
        <v>48</v>
      </c>
      <c r="M213" s="1" t="s">
        <v>359</v>
      </c>
      <c r="N213" s="1" t="s">
        <v>359</v>
      </c>
      <c r="O213" s="8" t="s">
        <v>32</v>
      </c>
      <c r="P213" s="15">
        <f>(Table1_145[[#This Row],[Likes]]+Table1_145[[#This Row],[Shares]]+Table1_145[[#This Row],[Comments]])/Table1_145[[#This Row],[Impressions]]</f>
        <v>0.18632075471698112</v>
      </c>
    </row>
    <row r="214" spans="1:16" x14ac:dyDescent="0.3">
      <c r="A214" s="6" t="s">
        <v>265</v>
      </c>
      <c r="B214" s="1" t="s">
        <v>23</v>
      </c>
      <c r="C214" s="7">
        <v>45719</v>
      </c>
      <c r="D214" s="1" t="s">
        <v>56</v>
      </c>
      <c r="E214" s="1" t="s">
        <v>136</v>
      </c>
      <c r="F214" s="1">
        <v>3874</v>
      </c>
      <c r="G214" s="1">
        <v>884</v>
      </c>
      <c r="H214" s="1">
        <v>19</v>
      </c>
      <c r="I214" s="1">
        <v>38740</v>
      </c>
      <c r="J214" s="1">
        <v>38552</v>
      </c>
      <c r="K214" s="1">
        <v>219</v>
      </c>
      <c r="L214" s="1" t="s">
        <v>25</v>
      </c>
      <c r="M214" s="1" t="s">
        <v>359</v>
      </c>
      <c r="N214" s="1" t="s">
        <v>359</v>
      </c>
      <c r="O214" s="8" t="s">
        <v>21</v>
      </c>
      <c r="P214" s="15">
        <f>(Table1_145[[#This Row],[Likes]]+Table1_145[[#This Row],[Shares]]+Table1_145[[#This Row],[Comments]])/Table1_145[[#This Row],[Impressions]]</f>
        <v>0.123309241094476</v>
      </c>
    </row>
    <row r="215" spans="1:16" x14ac:dyDescent="0.3">
      <c r="A215" s="6" t="s">
        <v>266</v>
      </c>
      <c r="B215" s="1" t="s">
        <v>35</v>
      </c>
      <c r="C215" s="7">
        <v>45778</v>
      </c>
      <c r="D215" s="1" t="s">
        <v>36</v>
      </c>
      <c r="E215" s="1" t="s">
        <v>37</v>
      </c>
      <c r="F215" s="1">
        <v>2696</v>
      </c>
      <c r="G215" s="1">
        <v>628</v>
      </c>
      <c r="H215" s="1">
        <v>443</v>
      </c>
      <c r="I215" s="1">
        <v>45832</v>
      </c>
      <c r="J215" s="1">
        <v>45632</v>
      </c>
      <c r="K215" s="1">
        <v>248</v>
      </c>
      <c r="L215" s="1" t="s">
        <v>31</v>
      </c>
      <c r="M215" s="1" t="s">
        <v>359</v>
      </c>
      <c r="N215" s="1" t="s">
        <v>359</v>
      </c>
      <c r="O215" s="8" t="s">
        <v>32</v>
      </c>
      <c r="P215" s="15">
        <f>(Table1_145[[#This Row],[Likes]]+Table1_145[[#This Row],[Shares]]+Table1_145[[#This Row],[Comments]])/Table1_145[[#This Row],[Impressions]]</f>
        <v>8.21914819340199E-2</v>
      </c>
    </row>
    <row r="216" spans="1:16" x14ac:dyDescent="0.3">
      <c r="A216" s="6" t="s">
        <v>267</v>
      </c>
      <c r="B216" s="1" t="s">
        <v>28</v>
      </c>
      <c r="C216" s="7">
        <v>45649</v>
      </c>
      <c r="D216" s="1" t="s">
        <v>41</v>
      </c>
      <c r="E216" s="1" t="s">
        <v>134</v>
      </c>
      <c r="F216" s="1">
        <v>521</v>
      </c>
      <c r="G216" s="1">
        <v>746</v>
      </c>
      <c r="H216" s="1">
        <v>315</v>
      </c>
      <c r="I216" s="1">
        <v>4168</v>
      </c>
      <c r="J216" s="1">
        <v>3399</v>
      </c>
      <c r="K216" s="1">
        <v>282</v>
      </c>
      <c r="L216" s="1" t="s">
        <v>48</v>
      </c>
      <c r="M216" s="1" t="s">
        <v>359</v>
      </c>
      <c r="N216" s="1" t="s">
        <v>359</v>
      </c>
      <c r="O216" s="8" t="s">
        <v>21</v>
      </c>
      <c r="P216" s="15">
        <f>(Table1_145[[#This Row],[Likes]]+Table1_145[[#This Row],[Shares]]+Table1_145[[#This Row],[Comments]])/Table1_145[[#This Row],[Impressions]]</f>
        <v>0.37955854126679461</v>
      </c>
    </row>
    <row r="217" spans="1:16" x14ac:dyDescent="0.3">
      <c r="A217" s="6" t="s">
        <v>268</v>
      </c>
      <c r="B217" s="1" t="s">
        <v>35</v>
      </c>
      <c r="C217" s="7">
        <v>45783</v>
      </c>
      <c r="D217" s="1" t="s">
        <v>41</v>
      </c>
      <c r="E217" s="1" t="s">
        <v>46</v>
      </c>
      <c r="F217" s="1">
        <v>4872</v>
      </c>
      <c r="G217" s="1">
        <v>925</v>
      </c>
      <c r="H217" s="1">
        <v>176</v>
      </c>
      <c r="I217" s="1">
        <v>82824</v>
      </c>
      <c r="J217" s="1">
        <v>82543</v>
      </c>
      <c r="K217" s="1">
        <v>89</v>
      </c>
      <c r="L217" s="1" t="s">
        <v>31</v>
      </c>
      <c r="M217" s="1" t="s">
        <v>359</v>
      </c>
      <c r="N217" s="1" t="s">
        <v>359</v>
      </c>
      <c r="O217" s="8" t="s">
        <v>21</v>
      </c>
      <c r="P217" s="15">
        <f>(Table1_145[[#This Row],[Likes]]+Table1_145[[#This Row],[Shares]]+Table1_145[[#This Row],[Comments]])/Table1_145[[#This Row],[Impressions]]</f>
        <v>7.2116777745580993E-2</v>
      </c>
    </row>
    <row r="218" spans="1:16" x14ac:dyDescent="0.3">
      <c r="A218" s="6" t="s">
        <v>269</v>
      </c>
      <c r="B218" s="1" t="s">
        <v>23</v>
      </c>
      <c r="C218" s="7">
        <v>45502</v>
      </c>
      <c r="D218" s="1" t="s">
        <v>29</v>
      </c>
      <c r="E218" s="1" t="s">
        <v>101</v>
      </c>
      <c r="F218" s="1">
        <v>1509</v>
      </c>
      <c r="G218" s="1">
        <v>88</v>
      </c>
      <c r="H218" s="1">
        <v>163</v>
      </c>
      <c r="I218" s="1">
        <v>30180</v>
      </c>
      <c r="J218" s="1">
        <v>29689</v>
      </c>
      <c r="K218" s="1">
        <v>119</v>
      </c>
      <c r="L218" s="1" t="s">
        <v>31</v>
      </c>
      <c r="M218" s="1" t="s">
        <v>359</v>
      </c>
      <c r="N218" s="1" t="s">
        <v>359</v>
      </c>
      <c r="O218" s="8" t="s">
        <v>21</v>
      </c>
      <c r="P218" s="15">
        <f>(Table1_145[[#This Row],[Likes]]+Table1_145[[#This Row],[Shares]]+Table1_145[[#This Row],[Comments]])/Table1_145[[#This Row],[Impressions]]</f>
        <v>5.8316766070245198E-2</v>
      </c>
    </row>
    <row r="219" spans="1:16" x14ac:dyDescent="0.3">
      <c r="A219" s="6" t="s">
        <v>270</v>
      </c>
      <c r="B219" s="1" t="s">
        <v>35</v>
      </c>
      <c r="C219" s="7">
        <v>45629</v>
      </c>
      <c r="D219" s="1" t="s">
        <v>41</v>
      </c>
      <c r="E219" s="1" t="s">
        <v>46</v>
      </c>
      <c r="F219" s="1">
        <v>4606</v>
      </c>
      <c r="G219" s="1">
        <v>931</v>
      </c>
      <c r="H219" s="1">
        <v>230</v>
      </c>
      <c r="I219" s="1">
        <v>92120</v>
      </c>
      <c r="J219" s="1">
        <v>91440</v>
      </c>
      <c r="K219" s="1">
        <v>56</v>
      </c>
      <c r="L219" s="1" t="s">
        <v>25</v>
      </c>
      <c r="M219" s="1" t="s">
        <v>359</v>
      </c>
      <c r="N219" s="1" t="s">
        <v>359</v>
      </c>
      <c r="O219" s="8" t="s">
        <v>360</v>
      </c>
      <c r="P219" s="15">
        <f>(Table1_145[[#This Row],[Likes]]+Table1_145[[#This Row],[Shares]]+Table1_145[[#This Row],[Comments]])/Table1_145[[#This Row],[Impressions]]</f>
        <v>6.2603126356925748E-2</v>
      </c>
    </row>
    <row r="220" spans="1:16" x14ac:dyDescent="0.3">
      <c r="A220" s="6" t="s">
        <v>271</v>
      </c>
      <c r="B220" s="1" t="s">
        <v>35</v>
      </c>
      <c r="C220" s="7">
        <v>45454</v>
      </c>
      <c r="D220" s="1" t="s">
        <v>36</v>
      </c>
      <c r="E220" s="1" t="s">
        <v>37</v>
      </c>
      <c r="F220" s="1">
        <v>1869</v>
      </c>
      <c r="G220" s="1">
        <v>453</v>
      </c>
      <c r="H220" s="1">
        <v>490</v>
      </c>
      <c r="I220" s="1">
        <v>14952</v>
      </c>
      <c r="J220" s="1">
        <v>14309</v>
      </c>
      <c r="K220" s="1">
        <v>275</v>
      </c>
      <c r="L220" s="1" t="s">
        <v>25</v>
      </c>
      <c r="M220" s="1" t="s">
        <v>359</v>
      </c>
      <c r="N220" s="1" t="s">
        <v>359</v>
      </c>
      <c r="O220" s="8" t="s">
        <v>32</v>
      </c>
      <c r="P220" s="15">
        <f>(Table1_145[[#This Row],[Likes]]+Table1_145[[#This Row],[Shares]]+Table1_145[[#This Row],[Comments]])/Table1_145[[#This Row],[Impressions]]</f>
        <v>0.18806848582129482</v>
      </c>
    </row>
    <row r="221" spans="1:16" x14ac:dyDescent="0.3">
      <c r="A221" s="6" t="s">
        <v>272</v>
      </c>
      <c r="B221" s="1" t="s">
        <v>14</v>
      </c>
      <c r="C221" s="7">
        <v>45685</v>
      </c>
      <c r="D221" s="1" t="s">
        <v>15</v>
      </c>
      <c r="E221" s="1" t="s">
        <v>16</v>
      </c>
      <c r="F221" s="1">
        <v>1188</v>
      </c>
      <c r="G221" s="1">
        <v>470</v>
      </c>
      <c r="H221" s="1">
        <v>174</v>
      </c>
      <c r="I221" s="1">
        <v>7128</v>
      </c>
      <c r="J221" s="1">
        <v>6145</v>
      </c>
      <c r="K221" s="1">
        <v>270</v>
      </c>
      <c r="L221" s="1" t="s">
        <v>25</v>
      </c>
      <c r="M221" s="1" t="s">
        <v>359</v>
      </c>
      <c r="N221" s="1" t="s">
        <v>359</v>
      </c>
      <c r="O221" s="8" t="s">
        <v>32</v>
      </c>
      <c r="P221" s="15">
        <f>(Table1_145[[#This Row],[Likes]]+Table1_145[[#This Row],[Shares]]+Table1_145[[#This Row],[Comments]])/Table1_145[[#This Row],[Impressions]]</f>
        <v>0.25701459034792368</v>
      </c>
    </row>
    <row r="222" spans="1:16" x14ac:dyDescent="0.3">
      <c r="A222" s="6" t="s">
        <v>273</v>
      </c>
      <c r="B222" s="1" t="s">
        <v>28</v>
      </c>
      <c r="C222" s="7">
        <v>45445</v>
      </c>
      <c r="D222" s="1" t="s">
        <v>29</v>
      </c>
      <c r="E222" s="1" t="s">
        <v>30</v>
      </c>
      <c r="F222" s="1">
        <v>84</v>
      </c>
      <c r="G222" s="1">
        <v>897</v>
      </c>
      <c r="H222" s="1">
        <v>85</v>
      </c>
      <c r="I222" s="1">
        <v>588</v>
      </c>
      <c r="J222" s="1">
        <v>8</v>
      </c>
      <c r="K222" s="1">
        <v>12</v>
      </c>
      <c r="L222" s="1" t="s">
        <v>31</v>
      </c>
      <c r="M222" s="1" t="s">
        <v>359</v>
      </c>
      <c r="N222" s="1" t="s">
        <v>359</v>
      </c>
      <c r="O222" s="8" t="s">
        <v>360</v>
      </c>
      <c r="P222" s="15">
        <f>(Table1_145[[#This Row],[Likes]]+Table1_145[[#This Row],[Shares]]+Table1_145[[#This Row],[Comments]])/Table1_145[[#This Row],[Impressions]]</f>
        <v>1.8129251700680271</v>
      </c>
    </row>
    <row r="223" spans="1:16" x14ac:dyDescent="0.3">
      <c r="A223" s="6" t="s">
        <v>274</v>
      </c>
      <c r="B223" s="1" t="s">
        <v>35</v>
      </c>
      <c r="C223" s="7">
        <v>45739</v>
      </c>
      <c r="D223" s="1" t="s">
        <v>56</v>
      </c>
      <c r="E223" s="1" t="s">
        <v>57</v>
      </c>
      <c r="F223" s="1">
        <v>4453</v>
      </c>
      <c r="G223" s="1">
        <v>111</v>
      </c>
      <c r="H223" s="1">
        <v>420</v>
      </c>
      <c r="I223" s="1">
        <v>31171</v>
      </c>
      <c r="J223" s="1">
        <v>30565</v>
      </c>
      <c r="K223" s="1">
        <v>23</v>
      </c>
      <c r="L223" s="1" t="s">
        <v>25</v>
      </c>
      <c r="M223" s="1" t="s">
        <v>359</v>
      </c>
      <c r="N223" s="1" t="s">
        <v>359</v>
      </c>
      <c r="O223" s="8" t="s">
        <v>360</v>
      </c>
      <c r="P223" s="15">
        <f>(Table1_145[[#This Row],[Likes]]+Table1_145[[#This Row],[Shares]]+Table1_145[[#This Row],[Comments]])/Table1_145[[#This Row],[Impressions]]</f>
        <v>0.15989220750056141</v>
      </c>
    </row>
    <row r="224" spans="1:16" x14ac:dyDescent="0.3">
      <c r="A224" s="6" t="s">
        <v>275</v>
      </c>
      <c r="B224" s="1" t="s">
        <v>35</v>
      </c>
      <c r="C224" s="7">
        <v>45573</v>
      </c>
      <c r="D224" s="1" t="s">
        <v>15</v>
      </c>
      <c r="E224" s="1" t="s">
        <v>50</v>
      </c>
      <c r="F224" s="1">
        <v>1814</v>
      </c>
      <c r="G224" s="1">
        <v>653</v>
      </c>
      <c r="H224" s="1">
        <v>363</v>
      </c>
      <c r="I224" s="1">
        <v>25396</v>
      </c>
      <c r="J224" s="1">
        <v>25286</v>
      </c>
      <c r="K224" s="1">
        <v>39</v>
      </c>
      <c r="L224" s="1" t="s">
        <v>48</v>
      </c>
      <c r="M224" s="1" t="s">
        <v>356</v>
      </c>
      <c r="N224" s="1" t="s">
        <v>359</v>
      </c>
      <c r="O224" s="8" t="s">
        <v>17</v>
      </c>
      <c r="P224" s="15">
        <f>(Table1_145[[#This Row],[Likes]]+Table1_145[[#This Row],[Shares]]+Table1_145[[#This Row],[Comments]])/Table1_145[[#This Row],[Impressions]]</f>
        <v>0.11143487163332809</v>
      </c>
    </row>
    <row r="225" spans="1:16" x14ac:dyDescent="0.3">
      <c r="A225" s="6" t="s">
        <v>276</v>
      </c>
      <c r="B225" s="1" t="s">
        <v>14</v>
      </c>
      <c r="C225" s="7">
        <v>45608</v>
      </c>
      <c r="D225" s="1" t="s">
        <v>41</v>
      </c>
      <c r="E225" s="1" t="s">
        <v>88</v>
      </c>
      <c r="F225" s="1">
        <v>3338</v>
      </c>
      <c r="G225" s="1">
        <v>277</v>
      </c>
      <c r="H225" s="1">
        <v>118</v>
      </c>
      <c r="I225" s="1">
        <v>60084</v>
      </c>
      <c r="J225" s="1">
        <v>59842</v>
      </c>
      <c r="K225" s="1">
        <v>252</v>
      </c>
      <c r="L225" s="1" t="s">
        <v>25</v>
      </c>
      <c r="M225" s="1" t="s">
        <v>359</v>
      </c>
      <c r="N225" s="1" t="s">
        <v>359</v>
      </c>
      <c r="O225" s="8" t="s">
        <v>360</v>
      </c>
      <c r="P225" s="15">
        <f>(Table1_145[[#This Row],[Likes]]+Table1_145[[#This Row],[Shares]]+Table1_145[[#This Row],[Comments]])/Table1_145[[#This Row],[Impressions]]</f>
        <v>6.2129685107516146E-2</v>
      </c>
    </row>
    <row r="226" spans="1:16" x14ac:dyDescent="0.3">
      <c r="A226" s="6" t="s">
        <v>277</v>
      </c>
      <c r="B226" s="1" t="s">
        <v>35</v>
      </c>
      <c r="C226" s="7">
        <v>45790</v>
      </c>
      <c r="D226" s="1" t="s">
        <v>41</v>
      </c>
      <c r="E226" s="1" t="s">
        <v>46</v>
      </c>
      <c r="F226" s="1">
        <v>602</v>
      </c>
      <c r="G226" s="1">
        <v>594</v>
      </c>
      <c r="H226" s="1">
        <v>156</v>
      </c>
      <c r="I226" s="1">
        <v>4214</v>
      </c>
      <c r="J226" s="1">
        <v>3363</v>
      </c>
      <c r="K226" s="1">
        <v>164</v>
      </c>
      <c r="L226" s="1" t="s">
        <v>25</v>
      </c>
      <c r="M226" s="1" t="s">
        <v>359</v>
      </c>
      <c r="N226" s="1" t="s">
        <v>359</v>
      </c>
      <c r="O226" s="8" t="s">
        <v>26</v>
      </c>
      <c r="P226" s="15">
        <f>(Table1_145[[#This Row],[Likes]]+Table1_145[[#This Row],[Shares]]+Table1_145[[#This Row],[Comments]])/Table1_145[[#This Row],[Impressions]]</f>
        <v>0.32083531086853345</v>
      </c>
    </row>
    <row r="227" spans="1:16" x14ac:dyDescent="0.3">
      <c r="A227" s="6" t="s">
        <v>278</v>
      </c>
      <c r="B227" s="1" t="s">
        <v>14</v>
      </c>
      <c r="C227" s="7">
        <v>45463</v>
      </c>
      <c r="D227" s="1" t="s">
        <v>36</v>
      </c>
      <c r="E227" s="1" t="s">
        <v>39</v>
      </c>
      <c r="F227" s="1">
        <v>4672</v>
      </c>
      <c r="G227" s="1">
        <v>325</v>
      </c>
      <c r="H227" s="1">
        <v>32</v>
      </c>
      <c r="I227" s="1">
        <v>88768</v>
      </c>
      <c r="J227" s="1">
        <v>87833</v>
      </c>
      <c r="K227" s="1">
        <v>118</v>
      </c>
      <c r="L227" s="1" t="s">
        <v>31</v>
      </c>
      <c r="M227" s="1" t="s">
        <v>359</v>
      </c>
      <c r="N227" s="1" t="s">
        <v>359</v>
      </c>
      <c r="O227" s="8" t="s">
        <v>360</v>
      </c>
      <c r="P227" s="15">
        <f>(Table1_145[[#This Row],[Likes]]+Table1_145[[#This Row],[Shares]]+Table1_145[[#This Row],[Comments]])/Table1_145[[#This Row],[Impressions]]</f>
        <v>5.6653298485940883E-2</v>
      </c>
    </row>
    <row r="228" spans="1:16" x14ac:dyDescent="0.3">
      <c r="A228" s="6" t="s">
        <v>279</v>
      </c>
      <c r="B228" s="1" t="s">
        <v>28</v>
      </c>
      <c r="C228" s="7">
        <v>45511</v>
      </c>
      <c r="D228" s="1" t="s">
        <v>36</v>
      </c>
      <c r="E228" s="1" t="s">
        <v>65</v>
      </c>
      <c r="F228" s="1">
        <v>1741</v>
      </c>
      <c r="G228" s="1">
        <v>164</v>
      </c>
      <c r="H228" s="1">
        <v>318</v>
      </c>
      <c r="I228" s="1">
        <v>8705</v>
      </c>
      <c r="J228" s="1">
        <v>8272</v>
      </c>
      <c r="K228" s="1">
        <v>121</v>
      </c>
      <c r="L228" s="1" t="s">
        <v>25</v>
      </c>
      <c r="M228" s="1" t="s">
        <v>359</v>
      </c>
      <c r="N228" s="1" t="s">
        <v>359</v>
      </c>
      <c r="O228" s="8" t="s">
        <v>360</v>
      </c>
      <c r="P228" s="15">
        <f>(Table1_145[[#This Row],[Likes]]+Table1_145[[#This Row],[Shares]]+Table1_145[[#This Row],[Comments]])/Table1_145[[#This Row],[Impressions]]</f>
        <v>0.25537047673750718</v>
      </c>
    </row>
    <row r="229" spans="1:16" x14ac:dyDescent="0.3">
      <c r="A229" s="6" t="s">
        <v>280</v>
      </c>
      <c r="B229" s="1" t="s">
        <v>28</v>
      </c>
      <c r="C229" s="7">
        <v>45455</v>
      </c>
      <c r="D229" s="1" t="s">
        <v>19</v>
      </c>
      <c r="E229" s="1" t="s">
        <v>78</v>
      </c>
      <c r="F229" s="1">
        <v>246</v>
      </c>
      <c r="G229" s="1">
        <v>149</v>
      </c>
      <c r="H229" s="1">
        <v>130</v>
      </c>
      <c r="I229" s="1">
        <v>4674</v>
      </c>
      <c r="J229" s="1">
        <v>4390</v>
      </c>
      <c r="K229" s="1">
        <v>217</v>
      </c>
      <c r="L229" s="1" t="s">
        <v>48</v>
      </c>
      <c r="M229" s="1" t="s">
        <v>359</v>
      </c>
      <c r="N229" s="1" t="s">
        <v>359</v>
      </c>
      <c r="O229" s="8" t="s">
        <v>26</v>
      </c>
      <c r="P229" s="15">
        <f>(Table1_145[[#This Row],[Likes]]+Table1_145[[#This Row],[Shares]]+Table1_145[[#This Row],[Comments]])/Table1_145[[#This Row],[Impressions]]</f>
        <v>0.11232349165596919</v>
      </c>
    </row>
    <row r="230" spans="1:16" x14ac:dyDescent="0.3">
      <c r="A230" s="6" t="s">
        <v>281</v>
      </c>
      <c r="B230" s="1" t="s">
        <v>28</v>
      </c>
      <c r="C230" s="7">
        <v>45474</v>
      </c>
      <c r="D230" s="1" t="s">
        <v>29</v>
      </c>
      <c r="E230" s="1" t="s">
        <v>30</v>
      </c>
      <c r="F230" s="1">
        <v>4808</v>
      </c>
      <c r="G230" s="1">
        <v>772</v>
      </c>
      <c r="H230" s="1">
        <v>320</v>
      </c>
      <c r="I230" s="1">
        <v>72120</v>
      </c>
      <c r="J230" s="1">
        <v>71696</v>
      </c>
      <c r="K230" s="1">
        <v>195</v>
      </c>
      <c r="L230" s="1" t="s">
        <v>31</v>
      </c>
      <c r="M230" s="1" t="s">
        <v>359</v>
      </c>
      <c r="N230" s="1" t="s">
        <v>359</v>
      </c>
      <c r="O230" s="8" t="s">
        <v>17</v>
      </c>
      <c r="P230" s="15">
        <f>(Table1_145[[#This Row],[Likes]]+Table1_145[[#This Row],[Shares]]+Table1_145[[#This Row],[Comments]])/Table1_145[[#This Row],[Impressions]]</f>
        <v>8.1808097615085965E-2</v>
      </c>
    </row>
    <row r="231" spans="1:16" x14ac:dyDescent="0.3">
      <c r="A231" s="6" t="s">
        <v>282</v>
      </c>
      <c r="B231" s="1" t="s">
        <v>28</v>
      </c>
      <c r="C231" s="7">
        <v>45476</v>
      </c>
      <c r="D231" s="1" t="s">
        <v>36</v>
      </c>
      <c r="E231" s="1" t="s">
        <v>65</v>
      </c>
      <c r="F231" s="1">
        <v>4799</v>
      </c>
      <c r="G231" s="1">
        <v>694</v>
      </c>
      <c r="H231" s="1">
        <v>289</v>
      </c>
      <c r="I231" s="1">
        <v>43191</v>
      </c>
      <c r="J231" s="1">
        <v>42228</v>
      </c>
      <c r="K231" s="1">
        <v>118</v>
      </c>
      <c r="L231" s="1" t="s">
        <v>25</v>
      </c>
      <c r="M231" s="1" t="s">
        <v>359</v>
      </c>
      <c r="N231" s="1" t="s">
        <v>359</v>
      </c>
      <c r="O231" s="8" t="s">
        <v>360</v>
      </c>
      <c r="P231" s="15">
        <f>(Table1_145[[#This Row],[Likes]]+Table1_145[[#This Row],[Shares]]+Table1_145[[#This Row],[Comments]])/Table1_145[[#This Row],[Impressions]]</f>
        <v>0.13387048227640017</v>
      </c>
    </row>
    <row r="232" spans="1:16" x14ac:dyDescent="0.3">
      <c r="A232" s="6" t="s">
        <v>283</v>
      </c>
      <c r="B232" s="1" t="s">
        <v>35</v>
      </c>
      <c r="C232" s="7">
        <v>45488</v>
      </c>
      <c r="D232" s="1" t="s">
        <v>15</v>
      </c>
      <c r="E232" s="1" t="s">
        <v>50</v>
      </c>
      <c r="F232" s="1">
        <v>3663</v>
      </c>
      <c r="G232" s="1">
        <v>17</v>
      </c>
      <c r="H232" s="1">
        <v>295</v>
      </c>
      <c r="I232" s="1">
        <v>51282</v>
      </c>
      <c r="J232" s="1">
        <v>50567</v>
      </c>
      <c r="K232" s="1">
        <v>84</v>
      </c>
      <c r="L232" s="1" t="s">
        <v>31</v>
      </c>
      <c r="M232" s="1" t="s">
        <v>359</v>
      </c>
      <c r="N232" s="1" t="s">
        <v>359</v>
      </c>
      <c r="O232" s="8" t="s">
        <v>26</v>
      </c>
      <c r="P232" s="15">
        <f>(Table1_145[[#This Row],[Likes]]+Table1_145[[#This Row],[Shares]]+Table1_145[[#This Row],[Comments]])/Table1_145[[#This Row],[Impressions]]</f>
        <v>7.7512577512577507E-2</v>
      </c>
    </row>
    <row r="233" spans="1:16" x14ac:dyDescent="0.3">
      <c r="A233" s="6" t="s">
        <v>284</v>
      </c>
      <c r="B233" s="1" t="s">
        <v>28</v>
      </c>
      <c r="C233" s="7">
        <v>45778</v>
      </c>
      <c r="D233" s="1" t="s">
        <v>19</v>
      </c>
      <c r="E233" s="1" t="s">
        <v>78</v>
      </c>
      <c r="F233" s="1">
        <v>1430</v>
      </c>
      <c r="G233" s="1">
        <v>376</v>
      </c>
      <c r="H233" s="1">
        <v>33</v>
      </c>
      <c r="I233" s="1">
        <v>21450</v>
      </c>
      <c r="J233" s="1">
        <v>20509</v>
      </c>
      <c r="K233" s="1">
        <v>251</v>
      </c>
      <c r="L233" s="1" t="s">
        <v>48</v>
      </c>
      <c r="M233" s="1" t="s">
        <v>359</v>
      </c>
      <c r="N233" s="1" t="s">
        <v>359</v>
      </c>
      <c r="O233" s="8" t="s">
        <v>17</v>
      </c>
      <c r="P233" s="15">
        <f>(Table1_145[[#This Row],[Likes]]+Table1_145[[#This Row],[Shares]]+Table1_145[[#This Row],[Comments]])/Table1_145[[#This Row],[Impressions]]</f>
        <v>8.5734265734265735E-2</v>
      </c>
    </row>
    <row r="234" spans="1:16" x14ac:dyDescent="0.3">
      <c r="A234" s="6" t="s">
        <v>285</v>
      </c>
      <c r="B234" s="1" t="s">
        <v>14</v>
      </c>
      <c r="C234" s="7">
        <v>45776</v>
      </c>
      <c r="D234" s="1" t="s">
        <v>29</v>
      </c>
      <c r="E234" s="1" t="s">
        <v>98</v>
      </c>
      <c r="F234" s="1">
        <v>249</v>
      </c>
      <c r="G234" s="1">
        <v>592</v>
      </c>
      <c r="H234" s="1">
        <v>230</v>
      </c>
      <c r="I234" s="1">
        <v>1494</v>
      </c>
      <c r="J234" s="1">
        <v>1044</v>
      </c>
      <c r="K234" s="1">
        <v>201</v>
      </c>
      <c r="L234" s="1" t="s">
        <v>31</v>
      </c>
      <c r="M234" s="1" t="s">
        <v>359</v>
      </c>
      <c r="N234" s="1" t="s">
        <v>359</v>
      </c>
      <c r="O234" s="8" t="s">
        <v>32</v>
      </c>
      <c r="P234" s="15">
        <f>(Table1_145[[#This Row],[Likes]]+Table1_145[[#This Row],[Shares]]+Table1_145[[#This Row],[Comments]])/Table1_145[[#This Row],[Impressions]]</f>
        <v>0.7168674698795181</v>
      </c>
    </row>
    <row r="235" spans="1:16" x14ac:dyDescent="0.3">
      <c r="A235" s="6" t="s">
        <v>286</v>
      </c>
      <c r="B235" s="1" t="s">
        <v>35</v>
      </c>
      <c r="C235" s="7">
        <v>45724</v>
      </c>
      <c r="D235" s="1" t="s">
        <v>41</v>
      </c>
      <c r="E235" s="1" t="s">
        <v>46</v>
      </c>
      <c r="F235" s="1">
        <v>2382</v>
      </c>
      <c r="G235" s="1">
        <v>265</v>
      </c>
      <c r="H235" s="1">
        <v>134</v>
      </c>
      <c r="I235" s="1">
        <v>38112</v>
      </c>
      <c r="J235" s="1">
        <v>37437</v>
      </c>
      <c r="K235" s="1">
        <v>249</v>
      </c>
      <c r="L235" s="1" t="s">
        <v>48</v>
      </c>
      <c r="M235" s="1" t="s">
        <v>359</v>
      </c>
      <c r="N235" s="1" t="s">
        <v>359</v>
      </c>
      <c r="O235" s="8" t="s">
        <v>32</v>
      </c>
      <c r="P235" s="15">
        <f>(Table1_145[[#This Row],[Likes]]+Table1_145[[#This Row],[Shares]]+Table1_145[[#This Row],[Comments]])/Table1_145[[#This Row],[Impressions]]</f>
        <v>7.2969143576826198E-2</v>
      </c>
    </row>
    <row r="236" spans="1:16" x14ac:dyDescent="0.3">
      <c r="A236" s="6" t="s">
        <v>287</v>
      </c>
      <c r="B236" s="1" t="s">
        <v>35</v>
      </c>
      <c r="C236" s="7">
        <v>45444</v>
      </c>
      <c r="D236" s="1" t="s">
        <v>19</v>
      </c>
      <c r="E236" s="1" t="s">
        <v>44</v>
      </c>
      <c r="F236" s="1">
        <v>1272</v>
      </c>
      <c r="G236" s="1">
        <v>465</v>
      </c>
      <c r="H236" s="1">
        <v>99</v>
      </c>
      <c r="I236" s="1">
        <v>24168</v>
      </c>
      <c r="J236" s="1">
        <v>23719</v>
      </c>
      <c r="K236" s="1">
        <v>42</v>
      </c>
      <c r="L236" s="1" t="s">
        <v>25</v>
      </c>
      <c r="M236" s="1" t="s">
        <v>359</v>
      </c>
      <c r="N236" s="1" t="s">
        <v>359</v>
      </c>
      <c r="O236" s="8" t="s">
        <v>360</v>
      </c>
      <c r="P236" s="15">
        <f>(Table1_145[[#This Row],[Likes]]+Table1_145[[#This Row],[Shares]]+Table1_145[[#This Row],[Comments]])/Table1_145[[#This Row],[Impressions]]</f>
        <v>7.5968222442899705E-2</v>
      </c>
    </row>
    <row r="237" spans="1:16" x14ac:dyDescent="0.3">
      <c r="A237" s="6" t="s">
        <v>288</v>
      </c>
      <c r="B237" s="1" t="s">
        <v>35</v>
      </c>
      <c r="C237" s="7">
        <v>45648</v>
      </c>
      <c r="D237" s="1" t="s">
        <v>41</v>
      </c>
      <c r="E237" s="1" t="s">
        <v>46</v>
      </c>
      <c r="F237" s="1">
        <v>3196</v>
      </c>
      <c r="G237" s="1">
        <v>941</v>
      </c>
      <c r="H237" s="1">
        <v>376</v>
      </c>
      <c r="I237" s="1">
        <v>35156</v>
      </c>
      <c r="J237" s="1">
        <v>34444</v>
      </c>
      <c r="K237" s="1">
        <v>241</v>
      </c>
      <c r="L237" s="1" t="s">
        <v>25</v>
      </c>
      <c r="M237" s="1" t="s">
        <v>359</v>
      </c>
      <c r="N237" s="1" t="s">
        <v>359</v>
      </c>
      <c r="O237" s="8" t="s">
        <v>26</v>
      </c>
      <c r="P237" s="15">
        <f>(Table1_145[[#This Row],[Likes]]+Table1_145[[#This Row],[Shares]]+Table1_145[[#This Row],[Comments]])/Table1_145[[#This Row],[Impressions]]</f>
        <v>0.1283706906360223</v>
      </c>
    </row>
    <row r="238" spans="1:16" x14ac:dyDescent="0.3">
      <c r="A238" s="6" t="s">
        <v>289</v>
      </c>
      <c r="B238" s="1" t="s">
        <v>35</v>
      </c>
      <c r="C238" s="7">
        <v>45523</v>
      </c>
      <c r="D238" s="1" t="s">
        <v>19</v>
      </c>
      <c r="E238" s="1" t="s">
        <v>44</v>
      </c>
      <c r="F238" s="1">
        <v>1257</v>
      </c>
      <c r="G238" s="1">
        <v>19</v>
      </c>
      <c r="H238" s="1">
        <v>351</v>
      </c>
      <c r="I238" s="1">
        <v>12570</v>
      </c>
      <c r="J238" s="1">
        <v>11660</v>
      </c>
      <c r="K238" s="1">
        <v>194</v>
      </c>
      <c r="L238" s="1" t="s">
        <v>48</v>
      </c>
      <c r="M238" s="1" t="s">
        <v>354</v>
      </c>
      <c r="N238" s="1" t="s">
        <v>31</v>
      </c>
      <c r="O238" s="8" t="s">
        <v>21</v>
      </c>
      <c r="P238" s="15">
        <f>(Table1_145[[#This Row],[Likes]]+Table1_145[[#This Row],[Shares]]+Table1_145[[#This Row],[Comments]])/Table1_145[[#This Row],[Impressions]]</f>
        <v>0.12943516308671441</v>
      </c>
    </row>
    <row r="239" spans="1:16" x14ac:dyDescent="0.3">
      <c r="A239" s="6" t="s">
        <v>290</v>
      </c>
      <c r="B239" s="1" t="s">
        <v>28</v>
      </c>
      <c r="C239" s="7">
        <v>45587</v>
      </c>
      <c r="D239" s="1" t="s">
        <v>29</v>
      </c>
      <c r="E239" s="1" t="s">
        <v>30</v>
      </c>
      <c r="F239" s="1">
        <v>3770</v>
      </c>
      <c r="G239" s="1">
        <v>917</v>
      </c>
      <c r="H239" s="1">
        <v>129</v>
      </c>
      <c r="I239" s="1">
        <v>71630</v>
      </c>
      <c r="J239" s="1">
        <v>71322</v>
      </c>
      <c r="K239" s="1">
        <v>76</v>
      </c>
      <c r="L239" s="1" t="s">
        <v>48</v>
      </c>
      <c r="M239" s="1" t="s">
        <v>359</v>
      </c>
      <c r="N239" s="1" t="s">
        <v>359</v>
      </c>
      <c r="O239" s="8" t="s">
        <v>17</v>
      </c>
      <c r="P239" s="15">
        <f>(Table1_145[[#This Row],[Likes]]+Table1_145[[#This Row],[Shares]]+Table1_145[[#This Row],[Comments]])/Table1_145[[#This Row],[Impressions]]</f>
        <v>6.7234398994834563E-2</v>
      </c>
    </row>
    <row r="240" spans="1:16" x14ac:dyDescent="0.3">
      <c r="A240" s="6" t="s">
        <v>291</v>
      </c>
      <c r="B240" s="1" t="s">
        <v>14</v>
      </c>
      <c r="C240" s="7">
        <v>45489</v>
      </c>
      <c r="D240" s="1" t="s">
        <v>19</v>
      </c>
      <c r="E240" s="1" t="s">
        <v>20</v>
      </c>
      <c r="F240" s="1">
        <v>4725</v>
      </c>
      <c r="G240" s="1">
        <v>400</v>
      </c>
      <c r="H240" s="1">
        <v>362</v>
      </c>
      <c r="I240" s="1">
        <v>75600</v>
      </c>
      <c r="J240" s="1">
        <v>74927</v>
      </c>
      <c r="K240" s="1">
        <v>43</v>
      </c>
      <c r="L240" s="1" t="s">
        <v>48</v>
      </c>
      <c r="M240" s="1" t="s">
        <v>359</v>
      </c>
      <c r="N240" s="1" t="s">
        <v>359</v>
      </c>
      <c r="O240" s="8" t="s">
        <v>32</v>
      </c>
      <c r="P240" s="15">
        <f>(Table1_145[[#This Row],[Likes]]+Table1_145[[#This Row],[Shares]]+Table1_145[[#This Row],[Comments]])/Table1_145[[#This Row],[Impressions]]</f>
        <v>7.2579365079365077E-2</v>
      </c>
    </row>
    <row r="241" spans="1:16" x14ac:dyDescent="0.3">
      <c r="A241" s="6" t="s">
        <v>292</v>
      </c>
      <c r="B241" s="1" t="s">
        <v>23</v>
      </c>
      <c r="C241" s="7">
        <v>45712</v>
      </c>
      <c r="D241" s="1" t="s">
        <v>19</v>
      </c>
      <c r="E241" s="1" t="s">
        <v>73</v>
      </c>
      <c r="F241" s="1">
        <v>4188</v>
      </c>
      <c r="G241" s="1">
        <v>942</v>
      </c>
      <c r="H241" s="1">
        <v>118</v>
      </c>
      <c r="I241" s="1">
        <v>20940</v>
      </c>
      <c r="J241" s="1">
        <v>20471</v>
      </c>
      <c r="K241" s="1">
        <v>102</v>
      </c>
      <c r="L241" s="1" t="s">
        <v>48</v>
      </c>
      <c r="M241" s="1" t="s">
        <v>359</v>
      </c>
      <c r="N241" s="1" t="s">
        <v>359</v>
      </c>
      <c r="O241" s="8" t="s">
        <v>360</v>
      </c>
      <c r="P241" s="15">
        <f>(Table1_145[[#This Row],[Likes]]+Table1_145[[#This Row],[Shares]]+Table1_145[[#This Row],[Comments]])/Table1_145[[#This Row],[Impressions]]</f>
        <v>0.25062082139446035</v>
      </c>
    </row>
    <row r="242" spans="1:16" x14ac:dyDescent="0.3">
      <c r="A242" s="6" t="s">
        <v>293</v>
      </c>
      <c r="B242" s="1" t="s">
        <v>14</v>
      </c>
      <c r="C242" s="7">
        <v>45530</v>
      </c>
      <c r="D242" s="1" t="s">
        <v>36</v>
      </c>
      <c r="E242" s="1" t="s">
        <v>39</v>
      </c>
      <c r="F242" s="1">
        <v>929</v>
      </c>
      <c r="G242" s="1">
        <v>192</v>
      </c>
      <c r="H242" s="1">
        <v>322</v>
      </c>
      <c r="I242" s="1">
        <v>16722</v>
      </c>
      <c r="J242" s="1">
        <v>15996</v>
      </c>
      <c r="K242" s="1">
        <v>145</v>
      </c>
      <c r="L242" s="1" t="s">
        <v>31</v>
      </c>
      <c r="M242" s="1" t="s">
        <v>25</v>
      </c>
      <c r="N242" s="1" t="s">
        <v>354</v>
      </c>
      <c r="O242" s="8" t="s">
        <v>26</v>
      </c>
      <c r="P242" s="15">
        <f>(Table1_145[[#This Row],[Likes]]+Table1_145[[#This Row],[Shares]]+Table1_145[[#This Row],[Comments]])/Table1_145[[#This Row],[Impressions]]</f>
        <v>8.6293505561535699E-2</v>
      </c>
    </row>
    <row r="243" spans="1:16" x14ac:dyDescent="0.3">
      <c r="A243" s="6" t="s">
        <v>294</v>
      </c>
      <c r="B243" s="1" t="s">
        <v>35</v>
      </c>
      <c r="C243" s="7">
        <v>45675</v>
      </c>
      <c r="D243" s="1" t="s">
        <v>29</v>
      </c>
      <c r="E243" s="1" t="s">
        <v>54</v>
      </c>
      <c r="F243" s="1">
        <v>4321</v>
      </c>
      <c r="G243" s="1">
        <v>874</v>
      </c>
      <c r="H243" s="1">
        <v>172</v>
      </c>
      <c r="I243" s="1">
        <v>30247</v>
      </c>
      <c r="J243" s="1">
        <v>29254</v>
      </c>
      <c r="K243" s="1">
        <v>122</v>
      </c>
      <c r="L243" s="1" t="s">
        <v>25</v>
      </c>
      <c r="M243" s="1" t="s">
        <v>359</v>
      </c>
      <c r="N243" s="1" t="s">
        <v>359</v>
      </c>
      <c r="O243" s="8" t="s">
        <v>32</v>
      </c>
      <c r="P243" s="15">
        <f>(Table1_145[[#This Row],[Likes]]+Table1_145[[#This Row],[Shares]]+Table1_145[[#This Row],[Comments]])/Table1_145[[#This Row],[Impressions]]</f>
        <v>0.17743908486792079</v>
      </c>
    </row>
    <row r="244" spans="1:16" x14ac:dyDescent="0.3">
      <c r="A244" s="6" t="s">
        <v>295</v>
      </c>
      <c r="B244" s="1" t="s">
        <v>35</v>
      </c>
      <c r="C244" s="7">
        <v>45480</v>
      </c>
      <c r="D244" s="1" t="s">
        <v>15</v>
      </c>
      <c r="E244" s="1" t="s">
        <v>50</v>
      </c>
      <c r="F244" s="1">
        <v>4767</v>
      </c>
      <c r="G244" s="1">
        <v>190</v>
      </c>
      <c r="H244" s="1">
        <v>340</v>
      </c>
      <c r="I244" s="1">
        <v>28602</v>
      </c>
      <c r="J244" s="1">
        <v>28044</v>
      </c>
      <c r="K244" s="1">
        <v>210</v>
      </c>
      <c r="L244" s="1" t="s">
        <v>31</v>
      </c>
      <c r="M244" s="1" t="s">
        <v>359</v>
      </c>
      <c r="N244" s="1" t="s">
        <v>359</v>
      </c>
      <c r="O244" s="8" t="s">
        <v>26</v>
      </c>
      <c r="P244" s="15">
        <f>(Table1_145[[#This Row],[Likes]]+Table1_145[[#This Row],[Shares]]+Table1_145[[#This Row],[Comments]])/Table1_145[[#This Row],[Impressions]]</f>
        <v>0.18519683938186141</v>
      </c>
    </row>
    <row r="245" spans="1:16" x14ac:dyDescent="0.3">
      <c r="A245" s="6" t="s">
        <v>296</v>
      </c>
      <c r="B245" s="1" t="s">
        <v>14</v>
      </c>
      <c r="C245" s="7">
        <v>45722</v>
      </c>
      <c r="D245" s="1" t="s">
        <v>41</v>
      </c>
      <c r="E245" s="1" t="s">
        <v>88</v>
      </c>
      <c r="F245" s="1">
        <v>3592</v>
      </c>
      <c r="G245" s="1">
        <v>911</v>
      </c>
      <c r="H245" s="1">
        <v>375</v>
      </c>
      <c r="I245" s="1">
        <v>50288</v>
      </c>
      <c r="J245" s="1">
        <v>49490</v>
      </c>
      <c r="K245" s="1">
        <v>32</v>
      </c>
      <c r="L245" s="1" t="s">
        <v>48</v>
      </c>
      <c r="M245" s="1" t="s">
        <v>359</v>
      </c>
      <c r="N245" s="1" t="s">
        <v>359</v>
      </c>
      <c r="O245" s="8" t="s">
        <v>32</v>
      </c>
      <c r="P245" s="15">
        <f>(Table1_145[[#This Row],[Likes]]+Table1_145[[#This Row],[Shares]]+Table1_145[[#This Row],[Comments]])/Table1_145[[#This Row],[Impressions]]</f>
        <v>9.7001272669424113E-2</v>
      </c>
    </row>
    <row r="246" spans="1:16" x14ac:dyDescent="0.3">
      <c r="A246" s="6" t="s">
        <v>297</v>
      </c>
      <c r="B246" s="1" t="s">
        <v>23</v>
      </c>
      <c r="C246" s="7">
        <v>45590</v>
      </c>
      <c r="D246" s="1" t="s">
        <v>56</v>
      </c>
      <c r="E246" s="1" t="s">
        <v>136</v>
      </c>
      <c r="F246" s="1">
        <v>4661</v>
      </c>
      <c r="G246" s="1">
        <v>935</v>
      </c>
      <c r="H246" s="1">
        <v>433</v>
      </c>
      <c r="I246" s="1">
        <v>23305</v>
      </c>
      <c r="J246" s="1">
        <v>22583</v>
      </c>
      <c r="K246" s="1">
        <v>63</v>
      </c>
      <c r="L246" s="1" t="s">
        <v>48</v>
      </c>
      <c r="M246" s="1" t="s">
        <v>359</v>
      </c>
      <c r="N246" s="1" t="s">
        <v>359</v>
      </c>
      <c r="O246" s="8" t="s">
        <v>26</v>
      </c>
      <c r="P246" s="15">
        <f>(Table1_145[[#This Row],[Likes]]+Table1_145[[#This Row],[Shares]]+Table1_145[[#This Row],[Comments]])/Table1_145[[#This Row],[Impressions]]</f>
        <v>0.25869984981763572</v>
      </c>
    </row>
    <row r="247" spans="1:16" x14ac:dyDescent="0.3">
      <c r="A247" s="6" t="s">
        <v>298</v>
      </c>
      <c r="B247" s="1" t="s">
        <v>35</v>
      </c>
      <c r="C247" s="7">
        <v>45669</v>
      </c>
      <c r="D247" s="1" t="s">
        <v>15</v>
      </c>
      <c r="E247" s="1" t="s">
        <v>50</v>
      </c>
      <c r="F247" s="1">
        <v>4134</v>
      </c>
      <c r="G247" s="1">
        <v>824</v>
      </c>
      <c r="H247" s="1">
        <v>99</v>
      </c>
      <c r="I247" s="1">
        <v>41340</v>
      </c>
      <c r="J247" s="1">
        <v>41050</v>
      </c>
      <c r="K247" s="1">
        <v>177</v>
      </c>
      <c r="L247" s="1" t="s">
        <v>31</v>
      </c>
      <c r="M247" s="1" t="s">
        <v>359</v>
      </c>
      <c r="N247" s="1" t="s">
        <v>359</v>
      </c>
      <c r="O247" s="8" t="s">
        <v>17</v>
      </c>
      <c r="P247" s="15">
        <f>(Table1_145[[#This Row],[Likes]]+Table1_145[[#This Row],[Shares]]+Table1_145[[#This Row],[Comments]])/Table1_145[[#This Row],[Impressions]]</f>
        <v>0.12232704402515723</v>
      </c>
    </row>
    <row r="248" spans="1:16" x14ac:dyDescent="0.3">
      <c r="A248" s="6" t="s">
        <v>299</v>
      </c>
      <c r="B248" s="1" t="s">
        <v>35</v>
      </c>
      <c r="C248" s="7">
        <v>45576</v>
      </c>
      <c r="D248" s="1" t="s">
        <v>41</v>
      </c>
      <c r="E248" s="1" t="s">
        <v>46</v>
      </c>
      <c r="F248" s="1">
        <v>400</v>
      </c>
      <c r="G248" s="1">
        <v>680</v>
      </c>
      <c r="H248" s="1">
        <v>434</v>
      </c>
      <c r="I248" s="1">
        <v>6400</v>
      </c>
      <c r="J248" s="1">
        <v>5472</v>
      </c>
      <c r="K248" s="1">
        <v>160</v>
      </c>
      <c r="L248" s="1" t="s">
        <v>48</v>
      </c>
      <c r="M248" s="1" t="s">
        <v>359</v>
      </c>
      <c r="N248" s="1" t="s">
        <v>359</v>
      </c>
      <c r="O248" s="8" t="s">
        <v>21</v>
      </c>
      <c r="P248" s="15">
        <f>(Table1_145[[#This Row],[Likes]]+Table1_145[[#This Row],[Shares]]+Table1_145[[#This Row],[Comments]])/Table1_145[[#This Row],[Impressions]]</f>
        <v>0.23656250000000001</v>
      </c>
    </row>
    <row r="249" spans="1:16" x14ac:dyDescent="0.3">
      <c r="A249" s="6" t="s">
        <v>300</v>
      </c>
      <c r="B249" s="1" t="s">
        <v>35</v>
      </c>
      <c r="C249" s="7">
        <v>45531</v>
      </c>
      <c r="D249" s="1" t="s">
        <v>15</v>
      </c>
      <c r="E249" s="1" t="s">
        <v>50</v>
      </c>
      <c r="F249" s="1">
        <v>3960</v>
      </c>
      <c r="G249" s="1">
        <v>266</v>
      </c>
      <c r="H249" s="1">
        <v>8</v>
      </c>
      <c r="I249" s="1">
        <v>35640</v>
      </c>
      <c r="J249" s="1">
        <v>34850</v>
      </c>
      <c r="K249" s="1">
        <v>208</v>
      </c>
      <c r="L249" s="1" t="s">
        <v>48</v>
      </c>
      <c r="M249" s="1" t="s">
        <v>31</v>
      </c>
      <c r="N249" s="1" t="s">
        <v>355</v>
      </c>
      <c r="O249" s="8" t="s">
        <v>360</v>
      </c>
      <c r="P249" s="15">
        <f>(Table1_145[[#This Row],[Likes]]+Table1_145[[#This Row],[Shares]]+Table1_145[[#This Row],[Comments]])/Table1_145[[#This Row],[Impressions]]</f>
        <v>0.11879910213243547</v>
      </c>
    </row>
    <row r="250" spans="1:16" x14ac:dyDescent="0.3">
      <c r="A250" s="6" t="s">
        <v>301</v>
      </c>
      <c r="B250" s="1" t="s">
        <v>35</v>
      </c>
      <c r="C250" s="7">
        <v>45690</v>
      </c>
      <c r="D250" s="1" t="s">
        <v>29</v>
      </c>
      <c r="E250" s="1" t="s">
        <v>54</v>
      </c>
      <c r="F250" s="1">
        <v>886</v>
      </c>
      <c r="G250" s="1">
        <v>126</v>
      </c>
      <c r="H250" s="1">
        <v>153</v>
      </c>
      <c r="I250" s="1">
        <v>4430</v>
      </c>
      <c r="J250" s="1">
        <v>4037</v>
      </c>
      <c r="K250" s="1">
        <v>212</v>
      </c>
      <c r="L250" s="1" t="s">
        <v>31</v>
      </c>
      <c r="M250" s="1" t="s">
        <v>359</v>
      </c>
      <c r="N250" s="1" t="s">
        <v>359</v>
      </c>
      <c r="O250" s="8" t="s">
        <v>360</v>
      </c>
      <c r="P250" s="15">
        <f>(Table1_145[[#This Row],[Likes]]+Table1_145[[#This Row],[Shares]]+Table1_145[[#This Row],[Comments]])/Table1_145[[#This Row],[Impressions]]</f>
        <v>0.26297968397291194</v>
      </c>
    </row>
    <row r="251" spans="1:16" x14ac:dyDescent="0.3">
      <c r="A251" s="6" t="s">
        <v>302</v>
      </c>
      <c r="B251" s="1" t="s">
        <v>14</v>
      </c>
      <c r="C251" s="7">
        <v>45491</v>
      </c>
      <c r="D251" s="1" t="s">
        <v>41</v>
      </c>
      <c r="E251" s="1" t="s">
        <v>88</v>
      </c>
      <c r="F251" s="1">
        <v>827</v>
      </c>
      <c r="G251" s="1">
        <v>77</v>
      </c>
      <c r="H251" s="1">
        <v>402</v>
      </c>
      <c r="I251" s="1">
        <v>14886</v>
      </c>
      <c r="J251" s="1">
        <v>14129</v>
      </c>
      <c r="K251" s="1">
        <v>254</v>
      </c>
      <c r="L251" s="1" t="s">
        <v>31</v>
      </c>
      <c r="M251" s="1" t="s">
        <v>359</v>
      </c>
      <c r="N251" s="1" t="s">
        <v>359</v>
      </c>
      <c r="O251" s="8" t="s">
        <v>21</v>
      </c>
      <c r="P251" s="15">
        <f>(Table1_145[[#This Row],[Likes]]+Table1_145[[#This Row],[Shares]]+Table1_145[[#This Row],[Comments]])/Table1_145[[#This Row],[Impressions]]</f>
        <v>8.7733440816874911E-2</v>
      </c>
    </row>
    <row r="252" spans="1:16" x14ac:dyDescent="0.3">
      <c r="A252" s="6" t="s">
        <v>303</v>
      </c>
      <c r="B252" s="1" t="s">
        <v>35</v>
      </c>
      <c r="C252" s="7">
        <v>45465</v>
      </c>
      <c r="D252" s="1" t="s">
        <v>15</v>
      </c>
      <c r="E252" s="1" t="s">
        <v>50</v>
      </c>
      <c r="F252" s="1">
        <v>3813</v>
      </c>
      <c r="G252" s="1">
        <v>935</v>
      </c>
      <c r="H252" s="1">
        <v>274</v>
      </c>
      <c r="I252" s="1">
        <v>68634</v>
      </c>
      <c r="J252" s="1">
        <v>68488</v>
      </c>
      <c r="K252" s="1">
        <v>251</v>
      </c>
      <c r="L252" s="1" t="s">
        <v>48</v>
      </c>
      <c r="M252" s="1" t="s">
        <v>359</v>
      </c>
      <c r="N252" s="1" t="s">
        <v>359</v>
      </c>
      <c r="O252" s="8" t="s">
        <v>360</v>
      </c>
      <c r="P252" s="15">
        <f>(Table1_145[[#This Row],[Likes]]+Table1_145[[#This Row],[Shares]]+Table1_145[[#This Row],[Comments]])/Table1_145[[#This Row],[Impressions]]</f>
        <v>7.3170731707317069E-2</v>
      </c>
    </row>
    <row r="253" spans="1:16" x14ac:dyDescent="0.3">
      <c r="A253" s="6" t="s">
        <v>304</v>
      </c>
      <c r="B253" s="1" t="s">
        <v>28</v>
      </c>
      <c r="C253" s="7">
        <v>45743</v>
      </c>
      <c r="D253" s="1" t="s">
        <v>36</v>
      </c>
      <c r="E253" s="1" t="s">
        <v>65</v>
      </c>
      <c r="F253" s="1">
        <v>1377</v>
      </c>
      <c r="G253" s="1">
        <v>796</v>
      </c>
      <c r="H253" s="1">
        <v>387</v>
      </c>
      <c r="I253" s="1">
        <v>22032</v>
      </c>
      <c r="J253" s="1">
        <v>21869</v>
      </c>
      <c r="K253" s="1">
        <v>189</v>
      </c>
      <c r="L253" s="1" t="s">
        <v>48</v>
      </c>
      <c r="M253" s="1" t="s">
        <v>359</v>
      </c>
      <c r="N253" s="1" t="s">
        <v>359</v>
      </c>
      <c r="O253" s="8" t="s">
        <v>360</v>
      </c>
      <c r="P253" s="15">
        <f>(Table1_145[[#This Row],[Likes]]+Table1_145[[#This Row],[Shares]]+Table1_145[[#This Row],[Comments]])/Table1_145[[#This Row],[Impressions]]</f>
        <v>0.11619462599854757</v>
      </c>
    </row>
    <row r="254" spans="1:16" x14ac:dyDescent="0.3">
      <c r="A254" s="6" t="s">
        <v>305</v>
      </c>
      <c r="B254" s="1" t="s">
        <v>35</v>
      </c>
      <c r="C254" s="7">
        <v>45775</v>
      </c>
      <c r="D254" s="1" t="s">
        <v>36</v>
      </c>
      <c r="E254" s="1" t="s">
        <v>37</v>
      </c>
      <c r="F254" s="1">
        <v>2089</v>
      </c>
      <c r="G254" s="1">
        <v>476</v>
      </c>
      <c r="H254" s="1">
        <v>69</v>
      </c>
      <c r="I254" s="1">
        <v>16712</v>
      </c>
      <c r="J254" s="1">
        <v>16309</v>
      </c>
      <c r="K254" s="1">
        <v>64</v>
      </c>
      <c r="L254" s="1" t="s">
        <v>48</v>
      </c>
      <c r="M254" s="1" t="s">
        <v>359</v>
      </c>
      <c r="N254" s="1" t="s">
        <v>359</v>
      </c>
      <c r="O254" s="8" t="s">
        <v>26</v>
      </c>
      <c r="P254" s="15">
        <f>(Table1_145[[#This Row],[Likes]]+Table1_145[[#This Row],[Shares]]+Table1_145[[#This Row],[Comments]])/Table1_145[[#This Row],[Impressions]]</f>
        <v>0.15761129727142173</v>
      </c>
    </row>
    <row r="255" spans="1:16" x14ac:dyDescent="0.3">
      <c r="A255" s="6" t="s">
        <v>306</v>
      </c>
      <c r="B255" s="1" t="s">
        <v>14</v>
      </c>
      <c r="C255" s="7">
        <v>45507</v>
      </c>
      <c r="D255" s="1" t="s">
        <v>15</v>
      </c>
      <c r="E255" s="1" t="s">
        <v>16</v>
      </c>
      <c r="F255" s="1">
        <v>3791</v>
      </c>
      <c r="G255" s="1">
        <v>593</v>
      </c>
      <c r="H255" s="1">
        <v>228</v>
      </c>
      <c r="I255" s="1">
        <v>53074</v>
      </c>
      <c r="J255" s="1">
        <v>52613</v>
      </c>
      <c r="K255" s="1">
        <v>205</v>
      </c>
      <c r="L255" s="1" t="s">
        <v>31</v>
      </c>
      <c r="M255" s="1" t="s">
        <v>359</v>
      </c>
      <c r="N255" s="1" t="s">
        <v>359</v>
      </c>
      <c r="O255" s="8" t="s">
        <v>360</v>
      </c>
      <c r="P255" s="15">
        <f>(Table1_145[[#This Row],[Likes]]+Table1_145[[#This Row],[Shares]]+Table1_145[[#This Row],[Comments]])/Table1_145[[#This Row],[Impressions]]</f>
        <v>8.6897539284772202E-2</v>
      </c>
    </row>
    <row r="256" spans="1:16" x14ac:dyDescent="0.3">
      <c r="A256" s="6" t="s">
        <v>307</v>
      </c>
      <c r="B256" s="1" t="s">
        <v>14</v>
      </c>
      <c r="C256" s="7">
        <v>45671</v>
      </c>
      <c r="D256" s="1" t="s">
        <v>41</v>
      </c>
      <c r="E256" s="1" t="s">
        <v>88</v>
      </c>
      <c r="F256" s="1">
        <v>2692</v>
      </c>
      <c r="G256" s="1">
        <v>115</v>
      </c>
      <c r="H256" s="1">
        <v>64</v>
      </c>
      <c r="I256" s="1">
        <v>21536</v>
      </c>
      <c r="J256" s="1">
        <v>21120</v>
      </c>
      <c r="K256" s="1">
        <v>224</v>
      </c>
      <c r="L256" s="1" t="s">
        <v>48</v>
      </c>
      <c r="M256" s="1" t="s">
        <v>359</v>
      </c>
      <c r="N256" s="1" t="s">
        <v>359</v>
      </c>
      <c r="O256" s="8" t="s">
        <v>21</v>
      </c>
      <c r="P256" s="15">
        <f>(Table1_145[[#This Row],[Likes]]+Table1_145[[#This Row],[Shares]]+Table1_145[[#This Row],[Comments]])/Table1_145[[#This Row],[Impressions]]</f>
        <v>0.13331166419019316</v>
      </c>
    </row>
    <row r="257" spans="1:16" x14ac:dyDescent="0.3">
      <c r="A257" s="6" t="s">
        <v>308</v>
      </c>
      <c r="B257" s="1" t="s">
        <v>35</v>
      </c>
      <c r="C257" s="7">
        <v>45750</v>
      </c>
      <c r="D257" s="1" t="s">
        <v>29</v>
      </c>
      <c r="E257" s="1" t="s">
        <v>54</v>
      </c>
      <c r="F257" s="1">
        <v>3767</v>
      </c>
      <c r="G257" s="1">
        <v>514</v>
      </c>
      <c r="H257" s="1">
        <v>238</v>
      </c>
      <c r="I257" s="1">
        <v>37670</v>
      </c>
      <c r="J257" s="1">
        <v>36807</v>
      </c>
      <c r="K257" s="1">
        <v>226</v>
      </c>
      <c r="L257" s="1" t="s">
        <v>48</v>
      </c>
      <c r="M257" s="1" t="s">
        <v>359</v>
      </c>
      <c r="N257" s="1" t="s">
        <v>359</v>
      </c>
      <c r="O257" s="8" t="s">
        <v>32</v>
      </c>
      <c r="P257" s="15">
        <f>(Table1_145[[#This Row],[Likes]]+Table1_145[[#This Row],[Shares]]+Table1_145[[#This Row],[Comments]])/Table1_145[[#This Row],[Impressions]]</f>
        <v>0.11996283514733209</v>
      </c>
    </row>
    <row r="258" spans="1:16" x14ac:dyDescent="0.3">
      <c r="A258" s="6" t="s">
        <v>309</v>
      </c>
      <c r="B258" s="1" t="s">
        <v>23</v>
      </c>
      <c r="C258" s="7">
        <v>45553</v>
      </c>
      <c r="D258" s="1" t="s">
        <v>36</v>
      </c>
      <c r="E258" s="1" t="s">
        <v>52</v>
      </c>
      <c r="F258" s="1">
        <v>2143</v>
      </c>
      <c r="G258" s="1">
        <v>12</v>
      </c>
      <c r="H258" s="1">
        <v>204</v>
      </c>
      <c r="I258" s="1">
        <v>40717</v>
      </c>
      <c r="J258" s="1">
        <v>40125</v>
      </c>
      <c r="K258" s="1">
        <v>248</v>
      </c>
      <c r="L258" s="1" t="s">
        <v>31</v>
      </c>
      <c r="M258" s="1" t="s">
        <v>359</v>
      </c>
      <c r="N258" s="1" t="s">
        <v>359</v>
      </c>
      <c r="O258" s="8" t="s">
        <v>21</v>
      </c>
      <c r="P258" s="15">
        <f>(Table1_145[[#This Row],[Likes]]+Table1_145[[#This Row],[Shares]]+Table1_145[[#This Row],[Comments]])/Table1_145[[#This Row],[Impressions]]</f>
        <v>5.7936488444630008E-2</v>
      </c>
    </row>
    <row r="259" spans="1:16" x14ac:dyDescent="0.3">
      <c r="A259" s="6" t="s">
        <v>310</v>
      </c>
      <c r="B259" s="1" t="s">
        <v>35</v>
      </c>
      <c r="C259" s="7">
        <v>45753</v>
      </c>
      <c r="D259" s="1" t="s">
        <v>41</v>
      </c>
      <c r="E259" s="1" t="s">
        <v>46</v>
      </c>
      <c r="F259" s="1">
        <v>3090</v>
      </c>
      <c r="G259" s="1">
        <v>697</v>
      </c>
      <c r="H259" s="1">
        <v>164</v>
      </c>
      <c r="I259" s="1">
        <v>49440</v>
      </c>
      <c r="J259" s="1">
        <v>48524</v>
      </c>
      <c r="K259" s="1">
        <v>25</v>
      </c>
      <c r="L259" s="1" t="s">
        <v>31</v>
      </c>
      <c r="M259" s="1" t="s">
        <v>31</v>
      </c>
      <c r="N259" s="1" t="s">
        <v>355</v>
      </c>
      <c r="O259" s="8" t="s">
        <v>21</v>
      </c>
      <c r="P259" s="15">
        <f>(Table1_145[[#This Row],[Likes]]+Table1_145[[#This Row],[Shares]]+Table1_145[[#This Row],[Comments]])/Table1_145[[#This Row],[Impressions]]</f>
        <v>7.9915048543689318E-2</v>
      </c>
    </row>
    <row r="260" spans="1:16" x14ac:dyDescent="0.3">
      <c r="A260" s="6" t="s">
        <v>311</v>
      </c>
      <c r="B260" s="1" t="s">
        <v>28</v>
      </c>
      <c r="C260" s="7">
        <v>45509</v>
      </c>
      <c r="D260" s="1" t="s">
        <v>29</v>
      </c>
      <c r="E260" s="1" t="s">
        <v>30</v>
      </c>
      <c r="F260" s="1">
        <v>3601</v>
      </c>
      <c r="G260" s="1">
        <v>695</v>
      </c>
      <c r="H260" s="1">
        <v>75</v>
      </c>
      <c r="I260" s="1">
        <v>21606</v>
      </c>
      <c r="J260" s="1">
        <v>21454</v>
      </c>
      <c r="K260" s="1">
        <v>172</v>
      </c>
      <c r="L260" s="1" t="s">
        <v>31</v>
      </c>
      <c r="M260" s="1" t="s">
        <v>359</v>
      </c>
      <c r="N260" s="1" t="s">
        <v>359</v>
      </c>
      <c r="O260" s="8" t="s">
        <v>21</v>
      </c>
      <c r="P260" s="15">
        <f>(Table1_145[[#This Row],[Likes]]+Table1_145[[#This Row],[Shares]]+Table1_145[[#This Row],[Comments]])/Table1_145[[#This Row],[Impressions]]</f>
        <v>0.2023049153013052</v>
      </c>
    </row>
    <row r="261" spans="1:16" x14ac:dyDescent="0.3">
      <c r="A261" s="6" t="s">
        <v>312</v>
      </c>
      <c r="B261" s="1" t="s">
        <v>35</v>
      </c>
      <c r="C261" s="7">
        <v>45698</v>
      </c>
      <c r="D261" s="1" t="s">
        <v>19</v>
      </c>
      <c r="E261" s="1" t="s">
        <v>44</v>
      </c>
      <c r="F261" s="1">
        <v>562</v>
      </c>
      <c r="G261" s="1">
        <v>158</v>
      </c>
      <c r="H261" s="1">
        <v>149</v>
      </c>
      <c r="I261" s="1">
        <v>3372</v>
      </c>
      <c r="J261" s="1">
        <v>2940</v>
      </c>
      <c r="K261" s="1">
        <v>93</v>
      </c>
      <c r="L261" s="1" t="s">
        <v>25</v>
      </c>
      <c r="M261" s="1" t="s">
        <v>359</v>
      </c>
      <c r="N261" s="1" t="s">
        <v>359</v>
      </c>
      <c r="O261" s="8" t="s">
        <v>17</v>
      </c>
      <c r="P261" s="15">
        <f>(Table1_145[[#This Row],[Likes]]+Table1_145[[#This Row],[Shares]]+Table1_145[[#This Row],[Comments]])/Table1_145[[#This Row],[Impressions]]</f>
        <v>0.25771055753262156</v>
      </c>
    </row>
    <row r="262" spans="1:16" x14ac:dyDescent="0.3">
      <c r="A262" s="6" t="s">
        <v>313</v>
      </c>
      <c r="B262" s="1" t="s">
        <v>28</v>
      </c>
      <c r="C262" s="7">
        <v>45700</v>
      </c>
      <c r="D262" s="1" t="s">
        <v>29</v>
      </c>
      <c r="E262" s="1" t="s">
        <v>30</v>
      </c>
      <c r="F262" s="1">
        <v>4332</v>
      </c>
      <c r="G262" s="1">
        <v>771</v>
      </c>
      <c r="H262" s="1">
        <v>219</v>
      </c>
      <c r="I262" s="1">
        <v>60648</v>
      </c>
      <c r="J262" s="1">
        <v>60397</v>
      </c>
      <c r="K262" s="1">
        <v>10</v>
      </c>
      <c r="L262" s="1" t="s">
        <v>25</v>
      </c>
      <c r="M262" s="1" t="s">
        <v>31</v>
      </c>
      <c r="N262" s="1" t="s">
        <v>355</v>
      </c>
      <c r="O262" s="8" t="s">
        <v>26</v>
      </c>
      <c r="P262" s="15">
        <f>(Table1_145[[#This Row],[Likes]]+Table1_145[[#This Row],[Shares]]+Table1_145[[#This Row],[Comments]])/Table1_145[[#This Row],[Impressions]]</f>
        <v>8.7752275425405618E-2</v>
      </c>
    </row>
    <row r="263" spans="1:16" x14ac:dyDescent="0.3">
      <c r="A263" s="6" t="s">
        <v>314</v>
      </c>
      <c r="B263" s="1" t="s">
        <v>28</v>
      </c>
      <c r="C263" s="7">
        <v>45592</v>
      </c>
      <c r="D263" s="1" t="s">
        <v>41</v>
      </c>
      <c r="E263" s="1" t="s">
        <v>134</v>
      </c>
      <c r="F263" s="1">
        <v>4853</v>
      </c>
      <c r="G263" s="1">
        <v>837</v>
      </c>
      <c r="H263" s="1">
        <v>340</v>
      </c>
      <c r="I263" s="1">
        <v>72795</v>
      </c>
      <c r="J263" s="1">
        <v>72237</v>
      </c>
      <c r="K263" s="1">
        <v>170</v>
      </c>
      <c r="L263" s="1" t="s">
        <v>31</v>
      </c>
      <c r="M263" s="1" t="s">
        <v>359</v>
      </c>
      <c r="N263" s="1" t="s">
        <v>359</v>
      </c>
      <c r="O263" s="8" t="s">
        <v>17</v>
      </c>
      <c r="P263" s="15">
        <f>(Table1_145[[#This Row],[Likes]]+Table1_145[[#This Row],[Shares]]+Table1_145[[#This Row],[Comments]])/Table1_145[[#This Row],[Impressions]]</f>
        <v>8.2835359571399134E-2</v>
      </c>
    </row>
    <row r="264" spans="1:16" x14ac:dyDescent="0.3">
      <c r="A264" s="6" t="s">
        <v>315</v>
      </c>
      <c r="B264" s="1" t="s">
        <v>23</v>
      </c>
      <c r="C264" s="7">
        <v>45675</v>
      </c>
      <c r="D264" s="1" t="s">
        <v>41</v>
      </c>
      <c r="E264" s="1" t="s">
        <v>42</v>
      </c>
      <c r="F264" s="1">
        <v>1206</v>
      </c>
      <c r="G264" s="1">
        <v>238</v>
      </c>
      <c r="H264" s="1">
        <v>36</v>
      </c>
      <c r="I264" s="1">
        <v>9648</v>
      </c>
      <c r="J264" s="1">
        <v>9417</v>
      </c>
      <c r="K264" s="1">
        <v>237</v>
      </c>
      <c r="L264" s="1" t="s">
        <v>25</v>
      </c>
      <c r="M264" s="1" t="s">
        <v>359</v>
      </c>
      <c r="N264" s="1" t="s">
        <v>359</v>
      </c>
      <c r="O264" s="8" t="s">
        <v>360</v>
      </c>
      <c r="P264" s="15">
        <f>(Table1_145[[#This Row],[Likes]]+Table1_145[[#This Row],[Shares]]+Table1_145[[#This Row],[Comments]])/Table1_145[[#This Row],[Impressions]]</f>
        <v>0.15339966832504145</v>
      </c>
    </row>
    <row r="265" spans="1:16" x14ac:dyDescent="0.3">
      <c r="A265" s="6" t="s">
        <v>316</v>
      </c>
      <c r="B265" s="1" t="s">
        <v>28</v>
      </c>
      <c r="C265" s="7">
        <v>45524</v>
      </c>
      <c r="D265" s="1" t="s">
        <v>15</v>
      </c>
      <c r="E265" s="1" t="s">
        <v>61</v>
      </c>
      <c r="F265" s="1">
        <v>2603</v>
      </c>
      <c r="G265" s="1">
        <v>690</v>
      </c>
      <c r="H265" s="1">
        <v>205</v>
      </c>
      <c r="I265" s="1">
        <v>13015</v>
      </c>
      <c r="J265" s="1">
        <v>12130</v>
      </c>
      <c r="K265" s="1">
        <v>20</v>
      </c>
      <c r="L265" s="1" t="s">
        <v>48</v>
      </c>
      <c r="M265" s="1" t="s">
        <v>359</v>
      </c>
      <c r="N265" s="1" t="s">
        <v>359</v>
      </c>
      <c r="O265" s="8" t="s">
        <v>21</v>
      </c>
      <c r="P265" s="15">
        <f>(Table1_145[[#This Row],[Likes]]+Table1_145[[#This Row],[Shares]]+Table1_145[[#This Row],[Comments]])/Table1_145[[#This Row],[Impressions]]</f>
        <v>0.26876680752977333</v>
      </c>
    </row>
    <row r="266" spans="1:16" x14ac:dyDescent="0.3">
      <c r="A266" s="6" t="s">
        <v>317</v>
      </c>
      <c r="B266" s="1" t="s">
        <v>14</v>
      </c>
      <c r="C266" s="7">
        <v>45687</v>
      </c>
      <c r="D266" s="1" t="s">
        <v>41</v>
      </c>
      <c r="E266" s="1" t="s">
        <v>88</v>
      </c>
      <c r="F266" s="1">
        <v>59</v>
      </c>
      <c r="G266" s="1">
        <v>163</v>
      </c>
      <c r="H266" s="1">
        <v>93</v>
      </c>
      <c r="I266" s="1">
        <v>590</v>
      </c>
      <c r="J266" s="1">
        <v>475</v>
      </c>
      <c r="K266" s="1">
        <v>293</v>
      </c>
      <c r="L266" s="1" t="s">
        <v>25</v>
      </c>
      <c r="M266" s="1" t="s">
        <v>359</v>
      </c>
      <c r="N266" s="1" t="s">
        <v>359</v>
      </c>
      <c r="O266" s="8" t="s">
        <v>21</v>
      </c>
      <c r="P266" s="15">
        <f>(Table1_145[[#This Row],[Likes]]+Table1_145[[#This Row],[Shares]]+Table1_145[[#This Row],[Comments]])/Table1_145[[#This Row],[Impressions]]</f>
        <v>0.53389830508474578</v>
      </c>
    </row>
    <row r="267" spans="1:16" x14ac:dyDescent="0.3">
      <c r="A267" s="6" t="s">
        <v>318</v>
      </c>
      <c r="B267" s="1" t="s">
        <v>14</v>
      </c>
      <c r="C267" s="7">
        <v>45708</v>
      </c>
      <c r="D267" s="1" t="s">
        <v>36</v>
      </c>
      <c r="E267" s="1" t="s">
        <v>39</v>
      </c>
      <c r="F267" s="1">
        <v>1877</v>
      </c>
      <c r="G267" s="1">
        <v>745</v>
      </c>
      <c r="H267" s="1">
        <v>225</v>
      </c>
      <c r="I267" s="1">
        <v>11262</v>
      </c>
      <c r="J267" s="1">
        <v>10967</v>
      </c>
      <c r="K267" s="1">
        <v>41</v>
      </c>
      <c r="L267" s="1" t="s">
        <v>31</v>
      </c>
      <c r="M267" s="1" t="s">
        <v>359</v>
      </c>
      <c r="N267" s="1" t="s">
        <v>359</v>
      </c>
      <c r="O267" s="8" t="s">
        <v>32</v>
      </c>
      <c r="P267" s="15">
        <f>(Table1_145[[#This Row],[Likes]]+Table1_145[[#This Row],[Shares]]+Table1_145[[#This Row],[Comments]])/Table1_145[[#This Row],[Impressions]]</f>
        <v>0.25279701651571657</v>
      </c>
    </row>
    <row r="268" spans="1:16" x14ac:dyDescent="0.3">
      <c r="A268" s="6" t="s">
        <v>319</v>
      </c>
      <c r="B268" s="1" t="s">
        <v>35</v>
      </c>
      <c r="C268" s="7">
        <v>45621</v>
      </c>
      <c r="D268" s="1" t="s">
        <v>29</v>
      </c>
      <c r="E268" s="1" t="s">
        <v>54</v>
      </c>
      <c r="F268" s="1">
        <v>4182</v>
      </c>
      <c r="G268" s="1">
        <v>640</v>
      </c>
      <c r="H268" s="1">
        <v>240</v>
      </c>
      <c r="I268" s="1">
        <v>50184</v>
      </c>
      <c r="J268" s="1">
        <v>49351</v>
      </c>
      <c r="K268" s="1">
        <v>10</v>
      </c>
      <c r="L268" s="1" t="s">
        <v>25</v>
      </c>
      <c r="M268" s="1" t="s">
        <v>359</v>
      </c>
      <c r="N268" s="1" t="s">
        <v>359</v>
      </c>
      <c r="O268" s="8" t="s">
        <v>26</v>
      </c>
      <c r="P268" s="15">
        <f>(Table1_145[[#This Row],[Likes]]+Table1_145[[#This Row],[Shares]]+Table1_145[[#This Row],[Comments]])/Table1_145[[#This Row],[Impressions]]</f>
        <v>0.10086880280567512</v>
      </c>
    </row>
    <row r="269" spans="1:16" x14ac:dyDescent="0.3">
      <c r="A269" s="6" t="s">
        <v>320</v>
      </c>
      <c r="B269" s="1" t="s">
        <v>14</v>
      </c>
      <c r="C269" s="7">
        <v>45569</v>
      </c>
      <c r="D269" s="1" t="s">
        <v>15</v>
      </c>
      <c r="E269" s="1" t="s">
        <v>16</v>
      </c>
      <c r="F269" s="1">
        <v>4187</v>
      </c>
      <c r="G269" s="1">
        <v>66</v>
      </c>
      <c r="H269" s="1">
        <v>31</v>
      </c>
      <c r="I269" s="1">
        <v>66992</v>
      </c>
      <c r="J269" s="1">
        <v>66614</v>
      </c>
      <c r="K269" s="1">
        <v>62</v>
      </c>
      <c r="L269" s="1" t="s">
        <v>48</v>
      </c>
      <c r="M269" s="1" t="s">
        <v>359</v>
      </c>
      <c r="N269" s="1" t="s">
        <v>359</v>
      </c>
      <c r="O269" s="8" t="s">
        <v>360</v>
      </c>
      <c r="P269" s="15">
        <f>(Table1_145[[#This Row],[Likes]]+Table1_145[[#This Row],[Shares]]+Table1_145[[#This Row],[Comments]])/Table1_145[[#This Row],[Impressions]]</f>
        <v>6.3947934081681396E-2</v>
      </c>
    </row>
    <row r="270" spans="1:16" x14ac:dyDescent="0.3">
      <c r="A270" s="6" t="s">
        <v>321</v>
      </c>
      <c r="B270" s="1" t="s">
        <v>28</v>
      </c>
      <c r="C270" s="7">
        <v>45760</v>
      </c>
      <c r="D270" s="1" t="s">
        <v>15</v>
      </c>
      <c r="E270" s="1" t="s">
        <v>61</v>
      </c>
      <c r="F270" s="1">
        <v>4579</v>
      </c>
      <c r="G270" s="1">
        <v>125</v>
      </c>
      <c r="H270" s="1">
        <v>300</v>
      </c>
      <c r="I270" s="1">
        <v>59527</v>
      </c>
      <c r="J270" s="1">
        <v>59400</v>
      </c>
      <c r="K270" s="1">
        <v>269</v>
      </c>
      <c r="L270" s="1" t="s">
        <v>31</v>
      </c>
      <c r="M270" s="1" t="s">
        <v>359</v>
      </c>
      <c r="N270" s="1" t="s">
        <v>359</v>
      </c>
      <c r="O270" s="8" t="s">
        <v>17</v>
      </c>
      <c r="P270" s="15">
        <f>(Table1_145[[#This Row],[Likes]]+Table1_145[[#This Row],[Shares]]+Table1_145[[#This Row],[Comments]])/Table1_145[[#This Row],[Impressions]]</f>
        <v>8.4062694239588759E-2</v>
      </c>
    </row>
    <row r="271" spans="1:16" x14ac:dyDescent="0.3">
      <c r="A271" s="6" t="s">
        <v>322</v>
      </c>
      <c r="B271" s="1" t="s">
        <v>28</v>
      </c>
      <c r="C271" s="7">
        <v>45601</v>
      </c>
      <c r="D271" s="1" t="s">
        <v>56</v>
      </c>
      <c r="E271" s="1" t="s">
        <v>63</v>
      </c>
      <c r="F271" s="1">
        <v>4561</v>
      </c>
      <c r="G271" s="1">
        <v>51</v>
      </c>
      <c r="H271" s="1">
        <v>441</v>
      </c>
      <c r="I271" s="1">
        <v>22805</v>
      </c>
      <c r="J271" s="1">
        <v>21890</v>
      </c>
      <c r="K271" s="1">
        <v>45</v>
      </c>
      <c r="L271" s="1" t="s">
        <v>25</v>
      </c>
      <c r="M271" s="1" t="s">
        <v>359</v>
      </c>
      <c r="N271" s="1" t="s">
        <v>359</v>
      </c>
      <c r="O271" s="8" t="s">
        <v>21</v>
      </c>
      <c r="P271" s="15">
        <f>(Table1_145[[#This Row],[Likes]]+Table1_145[[#This Row],[Shares]]+Table1_145[[#This Row],[Comments]])/Table1_145[[#This Row],[Impressions]]</f>
        <v>0.22157421618066214</v>
      </c>
    </row>
    <row r="272" spans="1:16" x14ac:dyDescent="0.3">
      <c r="A272" s="6" t="s">
        <v>323</v>
      </c>
      <c r="B272" s="1" t="s">
        <v>23</v>
      </c>
      <c r="C272" s="7">
        <v>45672</v>
      </c>
      <c r="D272" s="1" t="s">
        <v>15</v>
      </c>
      <c r="E272" s="1" t="s">
        <v>24</v>
      </c>
      <c r="F272" s="1">
        <v>3774</v>
      </c>
      <c r="G272" s="1">
        <v>239</v>
      </c>
      <c r="H272" s="1">
        <v>39</v>
      </c>
      <c r="I272" s="1">
        <v>60384</v>
      </c>
      <c r="J272" s="1">
        <v>59490</v>
      </c>
      <c r="K272" s="1">
        <v>241</v>
      </c>
      <c r="L272" s="1" t="s">
        <v>25</v>
      </c>
      <c r="M272" s="1" t="s">
        <v>359</v>
      </c>
      <c r="N272" s="1" t="s">
        <v>359</v>
      </c>
      <c r="O272" s="8" t="s">
        <v>26</v>
      </c>
      <c r="P272" s="15">
        <f>(Table1_145[[#This Row],[Likes]]+Table1_145[[#This Row],[Shares]]+Table1_145[[#This Row],[Comments]])/Table1_145[[#This Row],[Impressions]]</f>
        <v>6.7103868574456813E-2</v>
      </c>
    </row>
    <row r="273" spans="1:16" x14ac:dyDescent="0.3">
      <c r="A273" s="6" t="s">
        <v>324</v>
      </c>
      <c r="B273" s="1" t="s">
        <v>28</v>
      </c>
      <c r="C273" s="7">
        <v>45582</v>
      </c>
      <c r="D273" s="1" t="s">
        <v>56</v>
      </c>
      <c r="E273" s="1" t="s">
        <v>63</v>
      </c>
      <c r="F273" s="1">
        <v>3575</v>
      </c>
      <c r="G273" s="1">
        <v>749</v>
      </c>
      <c r="H273" s="1">
        <v>111</v>
      </c>
      <c r="I273" s="1">
        <v>21450</v>
      </c>
      <c r="J273" s="1">
        <v>20785</v>
      </c>
      <c r="K273" s="1">
        <v>195</v>
      </c>
      <c r="L273" s="1" t="s">
        <v>31</v>
      </c>
      <c r="M273" s="1" t="s">
        <v>359</v>
      </c>
      <c r="N273" s="1" t="s">
        <v>359</v>
      </c>
      <c r="O273" s="8" t="s">
        <v>21</v>
      </c>
      <c r="P273" s="15">
        <f>(Table1_145[[#This Row],[Likes]]+Table1_145[[#This Row],[Shares]]+Table1_145[[#This Row],[Comments]])/Table1_145[[#This Row],[Impressions]]</f>
        <v>0.20675990675990677</v>
      </c>
    </row>
    <row r="274" spans="1:16" x14ac:dyDescent="0.3">
      <c r="A274" s="6" t="s">
        <v>325</v>
      </c>
      <c r="B274" s="1" t="s">
        <v>28</v>
      </c>
      <c r="C274" s="7">
        <v>45743</v>
      </c>
      <c r="D274" s="1" t="s">
        <v>19</v>
      </c>
      <c r="E274" s="1" t="s">
        <v>78</v>
      </c>
      <c r="F274" s="1">
        <v>4941</v>
      </c>
      <c r="G274" s="1">
        <v>414</v>
      </c>
      <c r="H274" s="1">
        <v>266</v>
      </c>
      <c r="I274" s="1">
        <v>39528</v>
      </c>
      <c r="J274" s="1">
        <v>39154</v>
      </c>
      <c r="K274" s="1">
        <v>217</v>
      </c>
      <c r="L274" s="1" t="s">
        <v>25</v>
      </c>
      <c r="M274" s="1" t="s">
        <v>359</v>
      </c>
      <c r="N274" s="1" t="s">
        <v>359</v>
      </c>
      <c r="O274" s="8" t="s">
        <v>26</v>
      </c>
      <c r="P274" s="15">
        <f>(Table1_145[[#This Row],[Likes]]+Table1_145[[#This Row],[Shares]]+Table1_145[[#This Row],[Comments]])/Table1_145[[#This Row],[Impressions]]</f>
        <v>0.14220299534507186</v>
      </c>
    </row>
    <row r="275" spans="1:16" x14ac:dyDescent="0.3">
      <c r="A275" s="6" t="s">
        <v>326</v>
      </c>
      <c r="B275" s="1" t="s">
        <v>23</v>
      </c>
      <c r="C275" s="7">
        <v>45577</v>
      </c>
      <c r="D275" s="1" t="s">
        <v>29</v>
      </c>
      <c r="E275" s="1" t="s">
        <v>101</v>
      </c>
      <c r="F275" s="1">
        <v>3641</v>
      </c>
      <c r="G275" s="1">
        <v>226</v>
      </c>
      <c r="H275" s="1">
        <v>46</v>
      </c>
      <c r="I275" s="1">
        <v>40051</v>
      </c>
      <c r="J275" s="1">
        <v>39319</v>
      </c>
      <c r="K275" s="1">
        <v>296</v>
      </c>
      <c r="L275" s="1" t="s">
        <v>31</v>
      </c>
      <c r="M275" s="1" t="s">
        <v>359</v>
      </c>
      <c r="N275" s="1" t="s">
        <v>359</v>
      </c>
      <c r="O275" s="8" t="s">
        <v>32</v>
      </c>
      <c r="P275" s="15">
        <f>(Table1_145[[#This Row],[Likes]]+Table1_145[[#This Row],[Shares]]+Table1_145[[#This Row],[Comments]])/Table1_145[[#This Row],[Impressions]]</f>
        <v>9.7700431949264685E-2</v>
      </c>
    </row>
    <row r="276" spans="1:16" x14ac:dyDescent="0.3">
      <c r="A276" s="6" t="s">
        <v>327</v>
      </c>
      <c r="B276" s="1" t="s">
        <v>14</v>
      </c>
      <c r="C276" s="7">
        <v>45658</v>
      </c>
      <c r="D276" s="1" t="s">
        <v>36</v>
      </c>
      <c r="E276" s="1" t="s">
        <v>39</v>
      </c>
      <c r="F276" s="1">
        <v>3535</v>
      </c>
      <c r="G276" s="1">
        <v>494</v>
      </c>
      <c r="H276" s="1">
        <v>152</v>
      </c>
      <c r="I276" s="1">
        <v>53025</v>
      </c>
      <c r="J276" s="1">
        <v>52791</v>
      </c>
      <c r="K276" s="1">
        <v>44</v>
      </c>
      <c r="L276" s="1" t="s">
        <v>25</v>
      </c>
      <c r="M276" s="1" t="s">
        <v>359</v>
      </c>
      <c r="N276" s="1" t="s">
        <v>359</v>
      </c>
      <c r="O276" s="8" t="s">
        <v>32</v>
      </c>
      <c r="P276" s="15">
        <f>(Table1_145[[#This Row],[Likes]]+Table1_145[[#This Row],[Shares]]+Table1_145[[#This Row],[Comments]])/Table1_145[[#This Row],[Impressions]]</f>
        <v>7.8849599245638849E-2</v>
      </c>
    </row>
    <row r="277" spans="1:16" x14ac:dyDescent="0.3">
      <c r="A277" s="6" t="s">
        <v>328</v>
      </c>
      <c r="B277" s="1" t="s">
        <v>35</v>
      </c>
      <c r="C277" s="7">
        <v>45509</v>
      </c>
      <c r="D277" s="1" t="s">
        <v>15</v>
      </c>
      <c r="E277" s="1" t="s">
        <v>50</v>
      </c>
      <c r="F277" s="1">
        <v>1741</v>
      </c>
      <c r="G277" s="1">
        <v>831</v>
      </c>
      <c r="H277" s="1">
        <v>345</v>
      </c>
      <c r="I277" s="1">
        <v>17410</v>
      </c>
      <c r="J277" s="1">
        <v>16844</v>
      </c>
      <c r="K277" s="1">
        <v>58</v>
      </c>
      <c r="L277" s="1" t="s">
        <v>31</v>
      </c>
      <c r="M277" s="1" t="s">
        <v>359</v>
      </c>
      <c r="N277" s="1" t="s">
        <v>359</v>
      </c>
      <c r="O277" s="8" t="s">
        <v>26</v>
      </c>
      <c r="P277" s="15">
        <f>(Table1_145[[#This Row],[Likes]]+Table1_145[[#This Row],[Shares]]+Table1_145[[#This Row],[Comments]])/Table1_145[[#This Row],[Impressions]]</f>
        <v>0.16754738655944859</v>
      </c>
    </row>
    <row r="278" spans="1:16" x14ac:dyDescent="0.3">
      <c r="A278" s="6" t="s">
        <v>329</v>
      </c>
      <c r="B278" s="1" t="s">
        <v>14</v>
      </c>
      <c r="C278" s="7">
        <v>45450</v>
      </c>
      <c r="D278" s="1" t="s">
        <v>36</v>
      </c>
      <c r="E278" s="1" t="s">
        <v>39</v>
      </c>
      <c r="F278" s="1">
        <v>1556</v>
      </c>
      <c r="G278" s="1">
        <v>195</v>
      </c>
      <c r="H278" s="1">
        <v>131</v>
      </c>
      <c r="I278" s="1">
        <v>9336</v>
      </c>
      <c r="J278" s="1">
        <v>8875</v>
      </c>
      <c r="K278" s="1">
        <v>137</v>
      </c>
      <c r="L278" s="1" t="s">
        <v>25</v>
      </c>
      <c r="M278" s="1" t="s">
        <v>359</v>
      </c>
      <c r="N278" s="1" t="s">
        <v>359</v>
      </c>
      <c r="O278" s="8" t="s">
        <v>21</v>
      </c>
      <c r="P278" s="15">
        <f>(Table1_145[[#This Row],[Likes]]+Table1_145[[#This Row],[Shares]]+Table1_145[[#This Row],[Comments]])/Table1_145[[#This Row],[Impressions]]</f>
        <v>0.2015852613538989</v>
      </c>
    </row>
    <row r="279" spans="1:16" x14ac:dyDescent="0.3">
      <c r="A279" s="6" t="s">
        <v>330</v>
      </c>
      <c r="B279" s="1" t="s">
        <v>35</v>
      </c>
      <c r="C279" s="7">
        <v>45753</v>
      </c>
      <c r="D279" s="1" t="s">
        <v>41</v>
      </c>
      <c r="E279" s="1" t="s">
        <v>46</v>
      </c>
      <c r="F279" s="1">
        <v>4236</v>
      </c>
      <c r="G279" s="1">
        <v>711</v>
      </c>
      <c r="H279" s="1">
        <v>298</v>
      </c>
      <c r="I279" s="1">
        <v>21180</v>
      </c>
      <c r="J279" s="1">
        <v>20516</v>
      </c>
      <c r="K279" s="1">
        <v>238</v>
      </c>
      <c r="L279" s="1" t="s">
        <v>48</v>
      </c>
      <c r="M279" s="1" t="s">
        <v>359</v>
      </c>
      <c r="N279" s="1" t="s">
        <v>359</v>
      </c>
      <c r="O279" s="8" t="s">
        <v>17</v>
      </c>
      <c r="P279" s="15">
        <f>(Table1_145[[#This Row],[Likes]]+Table1_145[[#This Row],[Shares]]+Table1_145[[#This Row],[Comments]])/Table1_145[[#This Row],[Impressions]]</f>
        <v>0.24763928234183191</v>
      </c>
    </row>
    <row r="280" spans="1:16" x14ac:dyDescent="0.3">
      <c r="A280" s="6" t="s">
        <v>331</v>
      </c>
      <c r="B280" s="1" t="s">
        <v>14</v>
      </c>
      <c r="C280" s="7">
        <v>45622</v>
      </c>
      <c r="D280" s="1" t="s">
        <v>19</v>
      </c>
      <c r="E280" s="1" t="s">
        <v>20</v>
      </c>
      <c r="F280" s="1">
        <v>4516</v>
      </c>
      <c r="G280" s="1">
        <v>836</v>
      </c>
      <c r="H280" s="1">
        <v>169</v>
      </c>
      <c r="I280" s="1">
        <v>49676</v>
      </c>
      <c r="J280" s="1">
        <v>49257</v>
      </c>
      <c r="K280" s="1">
        <v>282</v>
      </c>
      <c r="L280" s="1" t="s">
        <v>31</v>
      </c>
      <c r="M280" s="1" t="s">
        <v>359</v>
      </c>
      <c r="N280" s="1" t="s">
        <v>359</v>
      </c>
      <c r="O280" s="8" t="s">
        <v>32</v>
      </c>
      <c r="P280" s="15">
        <f>(Table1_145[[#This Row],[Likes]]+Table1_145[[#This Row],[Shares]]+Table1_145[[#This Row],[Comments]])/Table1_145[[#This Row],[Impressions]]</f>
        <v>0.11114018842096787</v>
      </c>
    </row>
    <row r="281" spans="1:16" x14ac:dyDescent="0.3">
      <c r="A281" s="6" t="s">
        <v>332</v>
      </c>
      <c r="B281" s="1" t="s">
        <v>23</v>
      </c>
      <c r="C281" s="7">
        <v>45537</v>
      </c>
      <c r="D281" s="1" t="s">
        <v>41</v>
      </c>
      <c r="E281" s="1" t="s">
        <v>42</v>
      </c>
      <c r="F281" s="1">
        <v>4905</v>
      </c>
      <c r="G281" s="1">
        <v>845</v>
      </c>
      <c r="H281" s="1">
        <v>129</v>
      </c>
      <c r="I281" s="1">
        <v>98100</v>
      </c>
      <c r="J281" s="1">
        <v>97772</v>
      </c>
      <c r="K281" s="1">
        <v>279</v>
      </c>
      <c r="L281" s="1" t="s">
        <v>25</v>
      </c>
      <c r="M281" s="1" t="s">
        <v>359</v>
      </c>
      <c r="N281" s="1" t="s">
        <v>359</v>
      </c>
      <c r="O281" s="8" t="s">
        <v>21</v>
      </c>
      <c r="P281" s="15">
        <f>(Table1_145[[#This Row],[Likes]]+Table1_145[[#This Row],[Shares]]+Table1_145[[#This Row],[Comments]])/Table1_145[[#This Row],[Impressions]]</f>
        <v>5.9928644240570844E-2</v>
      </c>
    </row>
    <row r="282" spans="1:16" x14ac:dyDescent="0.3">
      <c r="A282" s="6" t="s">
        <v>333</v>
      </c>
      <c r="B282" s="1" t="s">
        <v>23</v>
      </c>
      <c r="C282" s="7">
        <v>45586</v>
      </c>
      <c r="D282" s="1" t="s">
        <v>56</v>
      </c>
      <c r="E282" s="1" t="s">
        <v>136</v>
      </c>
      <c r="F282" s="1">
        <v>4275</v>
      </c>
      <c r="G282" s="1">
        <v>680</v>
      </c>
      <c r="H282" s="1">
        <v>385</v>
      </c>
      <c r="I282" s="1">
        <v>64125</v>
      </c>
      <c r="J282" s="1">
        <v>63650</v>
      </c>
      <c r="K282" s="1">
        <v>104</v>
      </c>
      <c r="L282" s="1" t="s">
        <v>31</v>
      </c>
      <c r="M282" s="1" t="s">
        <v>25</v>
      </c>
      <c r="N282" s="1" t="s">
        <v>354</v>
      </c>
      <c r="O282" s="8" t="s">
        <v>32</v>
      </c>
      <c r="P282" s="15">
        <f>(Table1_145[[#This Row],[Likes]]+Table1_145[[#This Row],[Shares]]+Table1_145[[#This Row],[Comments]])/Table1_145[[#This Row],[Impressions]]</f>
        <v>8.3274853801169585E-2</v>
      </c>
    </row>
    <row r="283" spans="1:16" x14ac:dyDescent="0.3">
      <c r="A283" s="6" t="s">
        <v>334</v>
      </c>
      <c r="B283" s="1" t="s">
        <v>23</v>
      </c>
      <c r="C283" s="7">
        <v>45738</v>
      </c>
      <c r="D283" s="1" t="s">
        <v>41</v>
      </c>
      <c r="E283" s="1" t="s">
        <v>42</v>
      </c>
      <c r="F283" s="1">
        <v>3166</v>
      </c>
      <c r="G283" s="1">
        <v>90</v>
      </c>
      <c r="H283" s="1">
        <v>341</v>
      </c>
      <c r="I283" s="1">
        <v>56988</v>
      </c>
      <c r="J283" s="1">
        <v>56125</v>
      </c>
      <c r="K283" s="1">
        <v>135</v>
      </c>
      <c r="L283" s="1" t="s">
        <v>31</v>
      </c>
      <c r="M283" s="1" t="s">
        <v>359</v>
      </c>
      <c r="N283" s="1" t="s">
        <v>359</v>
      </c>
      <c r="O283" s="8" t="s">
        <v>21</v>
      </c>
      <c r="P283" s="15">
        <f>(Table1_145[[#This Row],[Likes]]+Table1_145[[#This Row],[Shares]]+Table1_145[[#This Row],[Comments]])/Table1_145[[#This Row],[Impressions]]</f>
        <v>6.3118551273952411E-2</v>
      </c>
    </row>
    <row r="284" spans="1:16" x14ac:dyDescent="0.3">
      <c r="A284" s="6" t="s">
        <v>335</v>
      </c>
      <c r="B284" s="1" t="s">
        <v>28</v>
      </c>
      <c r="C284" s="7">
        <v>45568</v>
      </c>
      <c r="D284" s="1" t="s">
        <v>56</v>
      </c>
      <c r="E284" s="1" t="s">
        <v>63</v>
      </c>
      <c r="F284" s="1">
        <v>1488</v>
      </c>
      <c r="G284" s="1">
        <v>417</v>
      </c>
      <c r="H284" s="1">
        <v>168</v>
      </c>
      <c r="I284" s="1">
        <v>19344</v>
      </c>
      <c r="J284" s="1">
        <v>18395</v>
      </c>
      <c r="K284" s="1">
        <v>30</v>
      </c>
      <c r="L284" s="1" t="s">
        <v>48</v>
      </c>
      <c r="M284" s="1" t="s">
        <v>359</v>
      </c>
      <c r="N284" s="1" t="s">
        <v>359</v>
      </c>
      <c r="O284" s="8" t="s">
        <v>26</v>
      </c>
      <c r="P284" s="15">
        <f>(Table1_145[[#This Row],[Likes]]+Table1_145[[#This Row],[Shares]]+Table1_145[[#This Row],[Comments]])/Table1_145[[#This Row],[Impressions]]</f>
        <v>0.1071650124069479</v>
      </c>
    </row>
    <row r="285" spans="1:16" x14ac:dyDescent="0.3">
      <c r="A285" s="6" t="s">
        <v>336</v>
      </c>
      <c r="B285" s="1" t="s">
        <v>14</v>
      </c>
      <c r="C285" s="7">
        <v>45786</v>
      </c>
      <c r="D285" s="1" t="s">
        <v>15</v>
      </c>
      <c r="E285" s="1" t="s">
        <v>16</v>
      </c>
      <c r="F285" s="1">
        <v>3367</v>
      </c>
      <c r="G285" s="1">
        <v>302</v>
      </c>
      <c r="H285" s="1">
        <v>57</v>
      </c>
      <c r="I285" s="1">
        <v>63973</v>
      </c>
      <c r="J285" s="1">
        <v>63789</v>
      </c>
      <c r="K285" s="1">
        <v>157</v>
      </c>
      <c r="L285" s="1" t="s">
        <v>48</v>
      </c>
      <c r="M285" s="1" t="s">
        <v>359</v>
      </c>
      <c r="N285" s="1" t="s">
        <v>359</v>
      </c>
      <c r="O285" s="8" t="s">
        <v>21</v>
      </c>
      <c r="P285" s="15">
        <f>(Table1_145[[#This Row],[Likes]]+Table1_145[[#This Row],[Shares]]+Table1_145[[#This Row],[Comments]])/Table1_145[[#This Row],[Impressions]]</f>
        <v>5.8243321401216137E-2</v>
      </c>
    </row>
    <row r="286" spans="1:16" x14ac:dyDescent="0.3">
      <c r="A286" s="6" t="s">
        <v>337</v>
      </c>
      <c r="B286" s="1" t="s">
        <v>14</v>
      </c>
      <c r="C286" s="7">
        <v>45552</v>
      </c>
      <c r="D286" s="1" t="s">
        <v>19</v>
      </c>
      <c r="E286" s="1" t="s">
        <v>20</v>
      </c>
      <c r="F286" s="1">
        <v>571</v>
      </c>
      <c r="G286" s="1">
        <v>190</v>
      </c>
      <c r="H286" s="1">
        <v>352</v>
      </c>
      <c r="I286" s="1">
        <v>9707</v>
      </c>
      <c r="J286" s="1">
        <v>9418</v>
      </c>
      <c r="K286" s="1">
        <v>231</v>
      </c>
      <c r="L286" s="1" t="s">
        <v>25</v>
      </c>
      <c r="M286" s="1" t="s">
        <v>359</v>
      </c>
      <c r="N286" s="1" t="s">
        <v>359</v>
      </c>
      <c r="O286" s="8" t="s">
        <v>32</v>
      </c>
      <c r="P286" s="15">
        <f>(Table1_145[[#This Row],[Likes]]+Table1_145[[#This Row],[Shares]]+Table1_145[[#This Row],[Comments]])/Table1_145[[#This Row],[Impressions]]</f>
        <v>0.11465952405480581</v>
      </c>
    </row>
    <row r="287" spans="1:16" x14ac:dyDescent="0.3">
      <c r="A287" s="6" t="s">
        <v>338</v>
      </c>
      <c r="B287" s="1" t="s">
        <v>23</v>
      </c>
      <c r="C287" s="7">
        <v>45491</v>
      </c>
      <c r="D287" s="1" t="s">
        <v>19</v>
      </c>
      <c r="E287" s="1" t="s">
        <v>73</v>
      </c>
      <c r="F287" s="1">
        <v>4021</v>
      </c>
      <c r="G287" s="1">
        <v>794</v>
      </c>
      <c r="H287" s="1">
        <v>77</v>
      </c>
      <c r="I287" s="1">
        <v>36189</v>
      </c>
      <c r="J287" s="1">
        <v>35505</v>
      </c>
      <c r="K287" s="1">
        <v>174</v>
      </c>
      <c r="L287" s="1" t="s">
        <v>31</v>
      </c>
      <c r="M287" s="1" t="s">
        <v>359</v>
      </c>
      <c r="N287" s="1" t="s">
        <v>359</v>
      </c>
      <c r="O287" s="8" t="s">
        <v>360</v>
      </c>
      <c r="P287" s="15">
        <f>(Table1_145[[#This Row],[Likes]]+Table1_145[[#This Row],[Shares]]+Table1_145[[#This Row],[Comments]])/Table1_145[[#This Row],[Impressions]]</f>
        <v>0.13517919809886983</v>
      </c>
    </row>
    <row r="288" spans="1:16" x14ac:dyDescent="0.3">
      <c r="A288" s="6" t="s">
        <v>339</v>
      </c>
      <c r="B288" s="1" t="s">
        <v>23</v>
      </c>
      <c r="C288" s="7">
        <v>45560</v>
      </c>
      <c r="D288" s="1" t="s">
        <v>56</v>
      </c>
      <c r="E288" s="1" t="s">
        <v>136</v>
      </c>
      <c r="F288" s="1">
        <v>3389</v>
      </c>
      <c r="G288" s="1">
        <v>344</v>
      </c>
      <c r="H288" s="1">
        <v>229</v>
      </c>
      <c r="I288" s="1">
        <v>20334</v>
      </c>
      <c r="J288" s="1">
        <v>19443</v>
      </c>
      <c r="K288" s="1">
        <v>228</v>
      </c>
      <c r="L288" s="1" t="s">
        <v>48</v>
      </c>
      <c r="M288" s="1" t="s">
        <v>359</v>
      </c>
      <c r="N288" s="1" t="s">
        <v>359</v>
      </c>
      <c r="O288" s="8" t="s">
        <v>26</v>
      </c>
      <c r="P288" s="15">
        <f>(Table1_145[[#This Row],[Likes]]+Table1_145[[#This Row],[Shares]]+Table1_145[[#This Row],[Comments]])/Table1_145[[#This Row],[Impressions]]</f>
        <v>0.19484607062063539</v>
      </c>
    </row>
    <row r="289" spans="1:16" x14ac:dyDescent="0.3">
      <c r="A289" s="6" t="s">
        <v>340</v>
      </c>
      <c r="B289" s="1" t="s">
        <v>28</v>
      </c>
      <c r="C289" s="7">
        <v>45519</v>
      </c>
      <c r="D289" s="1" t="s">
        <v>15</v>
      </c>
      <c r="E289" s="1" t="s">
        <v>61</v>
      </c>
      <c r="F289" s="1">
        <v>1164</v>
      </c>
      <c r="G289" s="1">
        <v>616</v>
      </c>
      <c r="H289" s="1">
        <v>324</v>
      </c>
      <c r="I289" s="1">
        <v>6984</v>
      </c>
      <c r="J289" s="1">
        <v>6636</v>
      </c>
      <c r="K289" s="1">
        <v>82</v>
      </c>
      <c r="L289" s="1" t="s">
        <v>31</v>
      </c>
      <c r="M289" s="1" t="s">
        <v>359</v>
      </c>
      <c r="N289" s="1" t="s">
        <v>359</v>
      </c>
      <c r="O289" s="8" t="s">
        <v>17</v>
      </c>
      <c r="P289" s="15">
        <f>(Table1_145[[#This Row],[Likes]]+Table1_145[[#This Row],[Shares]]+Table1_145[[#This Row],[Comments]])/Table1_145[[#This Row],[Impressions]]</f>
        <v>0.30126002290950743</v>
      </c>
    </row>
    <row r="290" spans="1:16" x14ac:dyDescent="0.3">
      <c r="A290" s="6" t="s">
        <v>341</v>
      </c>
      <c r="B290" s="1" t="s">
        <v>23</v>
      </c>
      <c r="C290" s="7">
        <v>45764</v>
      </c>
      <c r="D290" s="1" t="s">
        <v>36</v>
      </c>
      <c r="E290" s="1" t="s">
        <v>52</v>
      </c>
      <c r="F290" s="1">
        <v>4780</v>
      </c>
      <c r="G290" s="1">
        <v>691</v>
      </c>
      <c r="H290" s="1">
        <v>380</v>
      </c>
      <c r="I290" s="1">
        <v>86040</v>
      </c>
      <c r="J290" s="1">
        <v>85743</v>
      </c>
      <c r="K290" s="1">
        <v>262</v>
      </c>
      <c r="L290" s="1" t="s">
        <v>48</v>
      </c>
      <c r="M290" s="1" t="s">
        <v>359</v>
      </c>
      <c r="N290" s="1" t="s">
        <v>359</v>
      </c>
      <c r="O290" s="8" t="s">
        <v>26</v>
      </c>
      <c r="P290" s="15">
        <f>(Table1_145[[#This Row],[Likes]]+Table1_145[[#This Row],[Shares]]+Table1_145[[#This Row],[Comments]])/Table1_145[[#This Row],[Impressions]]</f>
        <v>6.800325430032543E-2</v>
      </c>
    </row>
    <row r="291" spans="1:16" x14ac:dyDescent="0.3">
      <c r="A291" s="6" t="s">
        <v>342</v>
      </c>
      <c r="B291" s="1" t="s">
        <v>35</v>
      </c>
      <c r="C291" s="7">
        <v>45624</v>
      </c>
      <c r="D291" s="1" t="s">
        <v>36</v>
      </c>
      <c r="E291" s="1" t="s">
        <v>37</v>
      </c>
      <c r="F291" s="1">
        <v>2751</v>
      </c>
      <c r="G291" s="1">
        <v>33</v>
      </c>
      <c r="H291" s="1">
        <v>430</v>
      </c>
      <c r="I291" s="1">
        <v>44016</v>
      </c>
      <c r="J291" s="1">
        <v>43415</v>
      </c>
      <c r="K291" s="1">
        <v>129</v>
      </c>
      <c r="L291" s="1" t="s">
        <v>48</v>
      </c>
      <c r="M291" s="1" t="s">
        <v>359</v>
      </c>
      <c r="N291" s="1" t="s">
        <v>359</v>
      </c>
      <c r="O291" s="8" t="s">
        <v>360</v>
      </c>
      <c r="P291" s="15">
        <f>(Table1_145[[#This Row],[Likes]]+Table1_145[[#This Row],[Shares]]+Table1_145[[#This Row],[Comments]])/Table1_145[[#This Row],[Impressions]]</f>
        <v>7.3018902217375503E-2</v>
      </c>
    </row>
    <row r="292" spans="1:16" x14ac:dyDescent="0.3">
      <c r="A292" s="6" t="s">
        <v>343</v>
      </c>
      <c r="B292" s="1" t="s">
        <v>28</v>
      </c>
      <c r="C292" s="7">
        <v>45646</v>
      </c>
      <c r="D292" s="1" t="s">
        <v>36</v>
      </c>
      <c r="E292" s="1" t="s">
        <v>65</v>
      </c>
      <c r="F292" s="1">
        <v>2107</v>
      </c>
      <c r="G292" s="1">
        <v>550</v>
      </c>
      <c r="H292" s="1">
        <v>349</v>
      </c>
      <c r="I292" s="1">
        <v>35819</v>
      </c>
      <c r="J292" s="1">
        <v>35340</v>
      </c>
      <c r="K292" s="1">
        <v>191</v>
      </c>
      <c r="L292" s="1" t="s">
        <v>31</v>
      </c>
      <c r="M292" s="1" t="s">
        <v>359</v>
      </c>
      <c r="N292" s="1" t="s">
        <v>359</v>
      </c>
      <c r="O292" s="8" t="s">
        <v>32</v>
      </c>
      <c r="P292" s="15">
        <f>(Table1_145[[#This Row],[Likes]]+Table1_145[[#This Row],[Shares]]+Table1_145[[#This Row],[Comments]])/Table1_145[[#This Row],[Impressions]]</f>
        <v>8.3921940869371006E-2</v>
      </c>
    </row>
    <row r="293" spans="1:16" x14ac:dyDescent="0.3">
      <c r="A293" s="6" t="s">
        <v>344</v>
      </c>
      <c r="B293" s="1" t="s">
        <v>35</v>
      </c>
      <c r="C293" s="7">
        <v>45602</v>
      </c>
      <c r="D293" s="1" t="s">
        <v>56</v>
      </c>
      <c r="E293" s="1" t="s">
        <v>57</v>
      </c>
      <c r="F293" s="1">
        <v>4663</v>
      </c>
      <c r="G293" s="1">
        <v>145</v>
      </c>
      <c r="H293" s="1">
        <v>225</v>
      </c>
      <c r="I293" s="1">
        <v>69945</v>
      </c>
      <c r="J293" s="1">
        <v>69596</v>
      </c>
      <c r="K293" s="1">
        <v>35</v>
      </c>
      <c r="L293" s="1" t="s">
        <v>31</v>
      </c>
      <c r="M293" s="1" t="s">
        <v>359</v>
      </c>
      <c r="N293" s="1" t="s">
        <v>359</v>
      </c>
      <c r="O293" s="8" t="s">
        <v>32</v>
      </c>
      <c r="P293" s="15">
        <f>(Table1_145[[#This Row],[Likes]]+Table1_145[[#This Row],[Shares]]+Table1_145[[#This Row],[Comments]])/Table1_145[[#This Row],[Impressions]]</f>
        <v>7.1956537279290869E-2</v>
      </c>
    </row>
    <row r="294" spans="1:16" x14ac:dyDescent="0.3">
      <c r="A294" s="6" t="s">
        <v>345</v>
      </c>
      <c r="B294" s="1" t="s">
        <v>35</v>
      </c>
      <c r="C294" s="7">
        <v>45613</v>
      </c>
      <c r="D294" s="1" t="s">
        <v>19</v>
      </c>
      <c r="E294" s="1" t="s">
        <v>44</v>
      </c>
      <c r="F294" s="1">
        <v>880</v>
      </c>
      <c r="G294" s="1">
        <v>297</v>
      </c>
      <c r="H294" s="1">
        <v>345</v>
      </c>
      <c r="I294" s="1">
        <v>12320</v>
      </c>
      <c r="J294" s="1">
        <v>11978</v>
      </c>
      <c r="K294" s="1">
        <v>238</v>
      </c>
      <c r="L294" s="1" t="s">
        <v>25</v>
      </c>
      <c r="M294" s="1" t="s">
        <v>354</v>
      </c>
      <c r="N294" s="1" t="s">
        <v>359</v>
      </c>
      <c r="O294" s="8" t="s">
        <v>360</v>
      </c>
      <c r="P294" s="15">
        <f>(Table1_145[[#This Row],[Likes]]+Table1_145[[#This Row],[Shares]]+Table1_145[[#This Row],[Comments]])/Table1_145[[#This Row],[Impressions]]</f>
        <v>0.12353896103896105</v>
      </c>
    </row>
    <row r="295" spans="1:16" x14ac:dyDescent="0.3">
      <c r="A295" s="6" t="s">
        <v>346</v>
      </c>
      <c r="B295" s="1" t="s">
        <v>35</v>
      </c>
      <c r="C295" s="7">
        <v>45791</v>
      </c>
      <c r="D295" s="1" t="s">
        <v>19</v>
      </c>
      <c r="E295" s="1" t="s">
        <v>44</v>
      </c>
      <c r="F295" s="1">
        <v>2634</v>
      </c>
      <c r="G295" s="1">
        <v>726</v>
      </c>
      <c r="H295" s="1">
        <v>241</v>
      </c>
      <c r="I295" s="1">
        <v>28974</v>
      </c>
      <c r="J295" s="1">
        <v>28102</v>
      </c>
      <c r="K295" s="1">
        <v>277</v>
      </c>
      <c r="L295" s="1" t="s">
        <v>31</v>
      </c>
      <c r="M295" s="1" t="s">
        <v>359</v>
      </c>
      <c r="N295" s="1" t="s">
        <v>359</v>
      </c>
      <c r="O295" s="8" t="s">
        <v>17</v>
      </c>
      <c r="P295" s="15">
        <f>(Table1_145[[#This Row],[Likes]]+Table1_145[[#This Row],[Shares]]+Table1_145[[#This Row],[Comments]])/Table1_145[[#This Row],[Impressions]]</f>
        <v>0.12428384068475185</v>
      </c>
    </row>
    <row r="296" spans="1:16" x14ac:dyDescent="0.3">
      <c r="A296" s="6" t="s">
        <v>347</v>
      </c>
      <c r="B296" s="1" t="s">
        <v>35</v>
      </c>
      <c r="C296" s="7">
        <v>45462</v>
      </c>
      <c r="D296" s="1" t="s">
        <v>36</v>
      </c>
      <c r="E296" s="1" t="s">
        <v>37</v>
      </c>
      <c r="F296" s="1">
        <v>4731</v>
      </c>
      <c r="G296" s="1">
        <v>173</v>
      </c>
      <c r="H296" s="1">
        <v>276</v>
      </c>
      <c r="I296" s="1">
        <v>28386</v>
      </c>
      <c r="J296" s="1">
        <v>28185</v>
      </c>
      <c r="K296" s="1">
        <v>89</v>
      </c>
      <c r="L296" s="1" t="s">
        <v>31</v>
      </c>
      <c r="M296" s="1" t="s">
        <v>359</v>
      </c>
      <c r="N296" s="1" t="s">
        <v>359</v>
      </c>
      <c r="O296" s="8" t="s">
        <v>26</v>
      </c>
      <c r="P296" s="15">
        <f>(Table1_145[[#This Row],[Likes]]+Table1_145[[#This Row],[Shares]]+Table1_145[[#This Row],[Comments]])/Table1_145[[#This Row],[Impressions]]</f>
        <v>0.18248432325794406</v>
      </c>
    </row>
    <row r="297" spans="1:16" x14ac:dyDescent="0.3">
      <c r="A297" s="6" t="s">
        <v>348</v>
      </c>
      <c r="B297" s="1" t="s">
        <v>14</v>
      </c>
      <c r="C297" s="7">
        <v>45783</v>
      </c>
      <c r="D297" s="1" t="s">
        <v>41</v>
      </c>
      <c r="E297" s="1" t="s">
        <v>88</v>
      </c>
      <c r="F297" s="1">
        <v>1952</v>
      </c>
      <c r="G297" s="1">
        <v>344</v>
      </c>
      <c r="H297" s="1">
        <v>287</v>
      </c>
      <c r="I297" s="1">
        <v>15616</v>
      </c>
      <c r="J297" s="1">
        <v>15403</v>
      </c>
      <c r="K297" s="1">
        <v>235</v>
      </c>
      <c r="L297" s="1" t="s">
        <v>48</v>
      </c>
      <c r="M297" s="1" t="s">
        <v>25</v>
      </c>
      <c r="N297" s="1" t="s">
        <v>354</v>
      </c>
      <c r="O297" s="8" t="s">
        <v>21</v>
      </c>
      <c r="P297" s="15">
        <f>(Table1_145[[#This Row],[Likes]]+Table1_145[[#This Row],[Shares]]+Table1_145[[#This Row],[Comments]])/Table1_145[[#This Row],[Impressions]]</f>
        <v>0.16540727459016394</v>
      </c>
    </row>
    <row r="298" spans="1:16" x14ac:dyDescent="0.3">
      <c r="A298" s="6" t="s">
        <v>349</v>
      </c>
      <c r="B298" s="1" t="s">
        <v>14</v>
      </c>
      <c r="C298" s="7">
        <v>45699</v>
      </c>
      <c r="D298" s="1" t="s">
        <v>56</v>
      </c>
      <c r="E298" s="1" t="s">
        <v>95</v>
      </c>
      <c r="F298" s="1">
        <v>3440</v>
      </c>
      <c r="G298" s="1">
        <v>13</v>
      </c>
      <c r="H298" s="1">
        <v>20</v>
      </c>
      <c r="I298" s="1">
        <v>58480</v>
      </c>
      <c r="J298" s="1">
        <v>58146</v>
      </c>
      <c r="K298" s="1">
        <v>210</v>
      </c>
      <c r="L298" s="1" t="s">
        <v>25</v>
      </c>
      <c r="M298" s="1" t="s">
        <v>356</v>
      </c>
      <c r="N298" s="1" t="s">
        <v>359</v>
      </c>
      <c r="O298" s="8" t="s">
        <v>32</v>
      </c>
      <c r="P298" s="15">
        <f>(Table1_145[[#This Row],[Likes]]+Table1_145[[#This Row],[Shares]]+Table1_145[[#This Row],[Comments]])/Table1_145[[#This Row],[Impressions]]</f>
        <v>5.9387824897400819E-2</v>
      </c>
    </row>
    <row r="299" spans="1:16" x14ac:dyDescent="0.3">
      <c r="A299" s="6" t="s">
        <v>350</v>
      </c>
      <c r="B299" s="1" t="s">
        <v>14</v>
      </c>
      <c r="C299" s="7">
        <v>45650</v>
      </c>
      <c r="D299" s="1" t="s">
        <v>19</v>
      </c>
      <c r="E299" s="1" t="s">
        <v>20</v>
      </c>
      <c r="F299" s="1">
        <v>2166</v>
      </c>
      <c r="G299" s="1">
        <v>354</v>
      </c>
      <c r="H299" s="1">
        <v>117</v>
      </c>
      <c r="I299" s="1">
        <v>10830</v>
      </c>
      <c r="J299" s="1">
        <v>10245</v>
      </c>
      <c r="K299" s="1">
        <v>24</v>
      </c>
      <c r="L299" s="1" t="s">
        <v>31</v>
      </c>
      <c r="M299" s="1" t="s">
        <v>359</v>
      </c>
      <c r="N299" s="1" t="s">
        <v>359</v>
      </c>
      <c r="O299" s="8" t="s">
        <v>32</v>
      </c>
      <c r="P299" s="15">
        <f>(Table1_145[[#This Row],[Likes]]+Table1_145[[#This Row],[Shares]]+Table1_145[[#This Row],[Comments]])/Table1_145[[#This Row],[Impressions]]</f>
        <v>0.24349030470914126</v>
      </c>
    </row>
    <row r="300" spans="1:16" x14ac:dyDescent="0.3">
      <c r="A300" s="6" t="s">
        <v>351</v>
      </c>
      <c r="B300" s="1" t="s">
        <v>35</v>
      </c>
      <c r="C300" s="7">
        <v>45589</v>
      </c>
      <c r="D300" s="1" t="s">
        <v>41</v>
      </c>
      <c r="E300" s="1" t="s">
        <v>46</v>
      </c>
      <c r="F300" s="1">
        <v>4303</v>
      </c>
      <c r="G300" s="1">
        <v>451</v>
      </c>
      <c r="H300" s="1">
        <v>286</v>
      </c>
      <c r="I300" s="1">
        <v>86060</v>
      </c>
      <c r="J300" s="1">
        <v>85823</v>
      </c>
      <c r="K300" s="1">
        <v>14</v>
      </c>
      <c r="L300" s="1" t="s">
        <v>25</v>
      </c>
      <c r="M300" s="1" t="s">
        <v>359</v>
      </c>
      <c r="N300" s="1" t="s">
        <v>359</v>
      </c>
      <c r="O300" s="8" t="s">
        <v>26</v>
      </c>
      <c r="P300" s="15">
        <f>(Table1_145[[#This Row],[Likes]]+Table1_145[[#This Row],[Shares]]+Table1_145[[#This Row],[Comments]])/Table1_145[[#This Row],[Impressions]]</f>
        <v>5.8563792702765516E-2</v>
      </c>
    </row>
    <row r="301" spans="1:16" x14ac:dyDescent="0.3">
      <c r="A301" s="6" t="s">
        <v>352</v>
      </c>
      <c r="B301" s="1" t="s">
        <v>35</v>
      </c>
      <c r="C301" s="7">
        <v>45530</v>
      </c>
      <c r="D301" s="1" t="s">
        <v>41</v>
      </c>
      <c r="E301" s="1" t="s">
        <v>46</v>
      </c>
      <c r="F301" s="1">
        <v>2581</v>
      </c>
      <c r="G301" s="1">
        <v>517</v>
      </c>
      <c r="H301" s="1">
        <v>117</v>
      </c>
      <c r="I301" s="1">
        <v>23229</v>
      </c>
      <c r="J301" s="1">
        <v>22331</v>
      </c>
      <c r="K301" s="1">
        <v>70</v>
      </c>
      <c r="L301" s="1" t="s">
        <v>48</v>
      </c>
      <c r="M301" s="1" t="s">
        <v>359</v>
      </c>
      <c r="N301" s="1" t="s">
        <v>359</v>
      </c>
      <c r="O301" s="8" t="s">
        <v>26</v>
      </c>
      <c r="P301" s="15">
        <f>(Table1_145[[#This Row],[Likes]]+Table1_145[[#This Row],[Shares]]+Table1_145[[#This Row],[Comments]])/Table1_145[[#This Row],[Impressions]]</f>
        <v>0.13840458048129492</v>
      </c>
    </row>
    <row r="302" spans="1:16" x14ac:dyDescent="0.3">
      <c r="A302" s="9" t="s">
        <v>353</v>
      </c>
      <c r="B302" s="10" t="s">
        <v>14</v>
      </c>
      <c r="C302" s="11">
        <v>45535</v>
      </c>
      <c r="D302" s="10" t="s">
        <v>36</v>
      </c>
      <c r="E302" s="10" t="s">
        <v>39</v>
      </c>
      <c r="F302" s="10">
        <v>4494</v>
      </c>
      <c r="G302" s="10">
        <v>717</v>
      </c>
      <c r="H302" s="10">
        <v>45</v>
      </c>
      <c r="I302" s="10">
        <v>62916</v>
      </c>
      <c r="J302" s="10">
        <v>62688</v>
      </c>
      <c r="K302" s="10">
        <v>191</v>
      </c>
      <c r="L302" s="10" t="s">
        <v>25</v>
      </c>
      <c r="M302" s="10" t="s">
        <v>31</v>
      </c>
      <c r="N302" s="10" t="s">
        <v>355</v>
      </c>
      <c r="O302" s="12" t="s">
        <v>17</v>
      </c>
      <c r="P302" s="16">
        <f>(Table1_145[[#This Row],[Likes]]+Table1_145[[#This Row],[Shares]]+Table1_145[[#This Row],[Comments]])/Table1_145[[#This Row],[Impressions]]</f>
        <v>8.3539958039290485E-2</v>
      </c>
    </row>
  </sheetData>
  <conditionalFormatting sqref="A3:P302">
    <cfRule type="expression" dxfId="11" priority="1">
      <formula>RANK($P3,$P$3:$P$302)&lt;=10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6D203-14A2-4A52-BE9E-7C0C66880256}">
  <sheetPr codeName="Sheet4"/>
  <dimension ref="A3:Q13"/>
  <sheetViews>
    <sheetView workbookViewId="0">
      <selection activeCell="M24" sqref="M24"/>
    </sheetView>
  </sheetViews>
  <sheetFormatPr defaultRowHeight="14.4" x14ac:dyDescent="0.3"/>
  <cols>
    <col min="1" max="1" width="12.5546875" bestFit="1" customWidth="1"/>
    <col min="2" max="2" width="15.5546875" bestFit="1" customWidth="1"/>
    <col min="3" max="3" width="13.109375" bestFit="1" customWidth="1"/>
    <col min="4" max="4" width="16.6640625" bestFit="1" customWidth="1"/>
    <col min="5" max="5" width="11.5546875" bestFit="1" customWidth="1"/>
    <col min="6" max="6" width="13.109375" bestFit="1" customWidth="1"/>
    <col min="7" max="7" width="16.6640625" bestFit="1" customWidth="1"/>
    <col min="8" max="8" width="11.5546875" bestFit="1" customWidth="1"/>
    <col min="9" max="9" width="13.109375" bestFit="1" customWidth="1"/>
    <col min="10" max="10" width="16.6640625" bestFit="1" customWidth="1"/>
    <col min="11" max="11" width="11.5546875" bestFit="1" customWidth="1"/>
    <col min="12" max="12" width="13.109375" bestFit="1" customWidth="1"/>
    <col min="13" max="13" width="16.6640625" bestFit="1" customWidth="1"/>
    <col min="14" max="14" width="16.33203125" bestFit="1" customWidth="1"/>
    <col min="15" max="15" width="17.88671875" bestFit="1" customWidth="1"/>
    <col min="16" max="16" width="21.5546875" bestFit="1" customWidth="1"/>
    <col min="17" max="17" width="16.33203125" bestFit="1" customWidth="1"/>
    <col min="18" max="18" width="17.88671875" bestFit="1" customWidth="1"/>
    <col min="19" max="19" width="21.5546875" bestFit="1" customWidth="1"/>
  </cols>
  <sheetData>
    <row r="3" spans="1:17" ht="28.8" x14ac:dyDescent="0.55000000000000004">
      <c r="D3" s="26" t="s">
        <v>367</v>
      </c>
      <c r="E3" s="27"/>
      <c r="F3" s="27"/>
      <c r="G3" s="27"/>
      <c r="H3" s="27"/>
      <c r="I3" s="27"/>
      <c r="J3" s="27"/>
      <c r="K3" s="27"/>
      <c r="L3" s="27"/>
      <c r="M3" s="28"/>
      <c r="N3" s="28"/>
      <c r="O3" s="28"/>
      <c r="P3" s="29"/>
      <c r="Q3" s="29"/>
    </row>
    <row r="7" spans="1:17" x14ac:dyDescent="0.3">
      <c r="A7" s="1"/>
      <c r="B7" s="17" t="s">
        <v>368</v>
      </c>
      <c r="C7" s="1"/>
      <c r="D7" s="1"/>
      <c r="E7" s="1"/>
      <c r="F7" s="1"/>
      <c r="G7" s="1"/>
      <c r="H7" s="1"/>
      <c r="I7" s="1"/>
      <c r="J7" s="1"/>
      <c r="K7" s="1"/>
      <c r="L7" s="1"/>
      <c r="M7" s="1"/>
    </row>
    <row r="8" spans="1:17" x14ac:dyDescent="0.3">
      <c r="A8" s="1"/>
      <c r="B8" s="1" t="s">
        <v>35</v>
      </c>
      <c r="C8" s="1"/>
      <c r="D8" s="1"/>
      <c r="E8" s="1" t="s">
        <v>28</v>
      </c>
      <c r="F8" s="1"/>
      <c r="G8" s="1"/>
      <c r="H8" s="1" t="s">
        <v>14</v>
      </c>
      <c r="I8" s="1"/>
      <c r="J8" s="1"/>
      <c r="K8" s="1" t="s">
        <v>23</v>
      </c>
      <c r="L8" s="1"/>
      <c r="M8" s="1"/>
    </row>
    <row r="9" spans="1:17" x14ac:dyDescent="0.3">
      <c r="A9" s="17" t="s">
        <v>362</v>
      </c>
      <c r="B9" s="1" t="s">
        <v>369</v>
      </c>
      <c r="C9" s="1" t="s">
        <v>370</v>
      </c>
      <c r="D9" s="1" t="s">
        <v>371</v>
      </c>
      <c r="E9" s="1" t="s">
        <v>369</v>
      </c>
      <c r="F9" s="1" t="s">
        <v>370</v>
      </c>
      <c r="G9" s="1" t="s">
        <v>371</v>
      </c>
      <c r="H9" s="1" t="s">
        <v>369</v>
      </c>
      <c r="I9" s="1" t="s">
        <v>370</v>
      </c>
      <c r="J9" s="1" t="s">
        <v>371</v>
      </c>
      <c r="K9" s="1" t="s">
        <v>369</v>
      </c>
      <c r="L9" s="1" t="s">
        <v>370</v>
      </c>
      <c r="M9" s="1" t="s">
        <v>371</v>
      </c>
    </row>
    <row r="10" spans="1:17" x14ac:dyDescent="0.3">
      <c r="A10" s="20" t="s">
        <v>36</v>
      </c>
      <c r="B10" s="1">
        <v>44476</v>
      </c>
      <c r="C10" s="1">
        <v>7400</v>
      </c>
      <c r="D10" s="1">
        <v>4589</v>
      </c>
      <c r="E10" s="1">
        <v>43948</v>
      </c>
      <c r="F10" s="1">
        <v>6975</v>
      </c>
      <c r="G10" s="1">
        <v>3890</v>
      </c>
      <c r="H10" s="1">
        <v>48649</v>
      </c>
      <c r="I10" s="1">
        <v>5791</v>
      </c>
      <c r="J10" s="1">
        <v>3607</v>
      </c>
      <c r="K10" s="1">
        <v>24926</v>
      </c>
      <c r="L10" s="1">
        <v>6305</v>
      </c>
      <c r="M10" s="1">
        <v>2422</v>
      </c>
    </row>
    <row r="11" spans="1:17" x14ac:dyDescent="0.3">
      <c r="A11" s="20" t="s">
        <v>29</v>
      </c>
      <c r="B11" s="1">
        <v>29405</v>
      </c>
      <c r="C11" s="1">
        <v>4950</v>
      </c>
      <c r="D11" s="1">
        <v>3223</v>
      </c>
      <c r="E11" s="1">
        <v>42649</v>
      </c>
      <c r="F11" s="1">
        <v>10049</v>
      </c>
      <c r="G11" s="1">
        <v>3846</v>
      </c>
      <c r="H11" s="1">
        <v>20466</v>
      </c>
      <c r="I11" s="1">
        <v>5090</v>
      </c>
      <c r="J11" s="1">
        <v>3026</v>
      </c>
      <c r="K11" s="1">
        <v>31968</v>
      </c>
      <c r="L11" s="1">
        <v>3866</v>
      </c>
      <c r="M11" s="1">
        <v>2012</v>
      </c>
    </row>
    <row r="12" spans="1:17" x14ac:dyDescent="0.3">
      <c r="A12" s="20" t="s">
        <v>19</v>
      </c>
      <c r="B12" s="1">
        <v>31963</v>
      </c>
      <c r="C12" s="1">
        <v>4792</v>
      </c>
      <c r="D12" s="1">
        <v>3377</v>
      </c>
      <c r="E12" s="1">
        <v>25567</v>
      </c>
      <c r="F12" s="1">
        <v>5112</v>
      </c>
      <c r="G12" s="1">
        <v>1946</v>
      </c>
      <c r="H12" s="1">
        <v>31899</v>
      </c>
      <c r="I12" s="1">
        <v>4861</v>
      </c>
      <c r="J12" s="1">
        <v>3910</v>
      </c>
      <c r="K12" s="1">
        <v>27067</v>
      </c>
      <c r="L12" s="1">
        <v>3928</v>
      </c>
      <c r="M12" s="1">
        <v>1052</v>
      </c>
    </row>
    <row r="13" spans="1:17" x14ac:dyDescent="0.3">
      <c r="A13" s="20" t="s">
        <v>56</v>
      </c>
      <c r="B13" s="1">
        <v>28947</v>
      </c>
      <c r="C13" s="1">
        <v>3171</v>
      </c>
      <c r="D13" s="1">
        <v>2263</v>
      </c>
      <c r="E13" s="1">
        <v>25770</v>
      </c>
      <c r="F13" s="1">
        <v>5912</v>
      </c>
      <c r="G13" s="1">
        <v>2128</v>
      </c>
      <c r="H13" s="1">
        <v>29593</v>
      </c>
      <c r="I13" s="1">
        <v>6326</v>
      </c>
      <c r="J13" s="1">
        <v>3299</v>
      </c>
      <c r="K13" s="1">
        <v>31285</v>
      </c>
      <c r="L13" s="1">
        <v>5586</v>
      </c>
      <c r="M13" s="1">
        <v>2589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981B4-1499-4CE8-A7A3-03DA20307B40}">
  <sheetPr codeName="Sheet5"/>
  <dimension ref="B6:L21"/>
  <sheetViews>
    <sheetView workbookViewId="0">
      <selection activeCell="R7" sqref="R7"/>
    </sheetView>
  </sheetViews>
  <sheetFormatPr defaultRowHeight="14.4" x14ac:dyDescent="0.3"/>
  <cols>
    <col min="1" max="2" width="20.21875" bestFit="1" customWidth="1"/>
    <col min="3" max="3" width="15.33203125" bestFit="1" customWidth="1"/>
  </cols>
  <sheetData>
    <row r="6" spans="2:12" ht="28.8" x14ac:dyDescent="0.55000000000000004">
      <c r="D6" s="26" t="s">
        <v>375</v>
      </c>
      <c r="E6" s="27"/>
      <c r="F6" s="27"/>
      <c r="G6" s="27"/>
      <c r="H6" s="27"/>
      <c r="I6" s="27"/>
      <c r="J6" s="27"/>
      <c r="K6" s="25"/>
      <c r="L6" s="25"/>
    </row>
    <row r="14" spans="2:12" x14ac:dyDescent="0.3">
      <c r="B14" s="17" t="s">
        <v>362</v>
      </c>
      <c r="C14" s="1" t="s">
        <v>374</v>
      </c>
    </row>
    <row r="15" spans="2:12" x14ac:dyDescent="0.3">
      <c r="B15" s="18" t="s">
        <v>354</v>
      </c>
      <c r="C15" s="32">
        <v>161.19999999999999</v>
      </c>
    </row>
    <row r="16" spans="2:12" x14ac:dyDescent="0.3">
      <c r="B16" s="20" t="s">
        <v>25</v>
      </c>
      <c r="C16" s="31">
        <v>158.65420560747663</v>
      </c>
    </row>
    <row r="17" spans="2:3" x14ac:dyDescent="0.3">
      <c r="B17" s="20" t="s">
        <v>31</v>
      </c>
      <c r="C17" s="31">
        <v>151.52941176470588</v>
      </c>
    </row>
    <row r="18" spans="2:3" x14ac:dyDescent="0.3">
      <c r="B18" s="20" t="s">
        <v>48</v>
      </c>
      <c r="C18" s="31">
        <v>144.03883495145632</v>
      </c>
    </row>
    <row r="19" spans="2:3" x14ac:dyDescent="0.3">
      <c r="B19" s="20" t="s">
        <v>355</v>
      </c>
      <c r="C19" s="31">
        <v>114.85714285714286</v>
      </c>
    </row>
    <row r="20" spans="2:3" x14ac:dyDescent="0.3">
      <c r="B20" s="20" t="s">
        <v>356</v>
      </c>
      <c r="C20" s="31">
        <v>111.8</v>
      </c>
    </row>
    <row r="21" spans="2:3" x14ac:dyDescent="0.3">
      <c r="B21" s="20" t="s">
        <v>363</v>
      </c>
      <c r="C21" s="1">
        <v>150.58702064896755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A66E-151F-43A6-B7B0-80327B40C162}">
  <sheetPr codeName="Sheet6"/>
  <dimension ref="A1:N901"/>
  <sheetViews>
    <sheetView workbookViewId="0">
      <selection activeCell="D24" sqref="D24"/>
    </sheetView>
  </sheetViews>
  <sheetFormatPr defaultRowHeight="14.4" x14ac:dyDescent="0.3"/>
  <cols>
    <col min="1" max="1" width="9.109375" bestFit="1" customWidth="1"/>
    <col min="2" max="2" width="10.5546875" bestFit="1" customWidth="1"/>
    <col min="3" max="3" width="12.44140625" style="2" customWidth="1"/>
    <col min="4" max="4" width="14.5546875" bestFit="1" customWidth="1"/>
    <col min="5" max="5" width="37" bestFit="1" customWidth="1"/>
    <col min="6" max="6" width="7.33203125" bestFit="1" customWidth="1"/>
    <col min="7" max="7" width="8.77734375" bestFit="1" customWidth="1"/>
    <col min="8" max="8" width="12.33203125" bestFit="1" customWidth="1"/>
    <col min="9" max="9" width="13.21875" bestFit="1" customWidth="1"/>
    <col min="10" max="10" width="8.33203125" bestFit="1" customWidth="1"/>
    <col min="11" max="11" width="7.88671875" bestFit="1" customWidth="1"/>
    <col min="12" max="12" width="17.77734375" bestFit="1" customWidth="1"/>
    <col min="13" max="13" width="12.88671875" bestFit="1" customWidth="1"/>
    <col min="14" max="14" width="20.21875" bestFit="1" customWidth="1"/>
  </cols>
  <sheetData>
    <row r="1" spans="1:14" x14ac:dyDescent="0.3">
      <c r="A1" s="3" t="s">
        <v>0</v>
      </c>
      <c r="B1" s="4" t="s">
        <v>1</v>
      </c>
      <c r="C1" s="30" t="s">
        <v>2</v>
      </c>
      <c r="D1" s="4" t="s">
        <v>3</v>
      </c>
      <c r="E1" s="4" t="s">
        <v>4</v>
      </c>
      <c r="F1" s="4" t="s">
        <v>5</v>
      </c>
      <c r="G1" s="4" t="s">
        <v>6</v>
      </c>
      <c r="H1" s="4" t="s">
        <v>7</v>
      </c>
      <c r="I1" s="4" t="s">
        <v>8</v>
      </c>
      <c r="J1" s="4" t="s">
        <v>9</v>
      </c>
      <c r="K1" s="4" t="s">
        <v>10</v>
      </c>
      <c r="L1" s="4" t="s">
        <v>12</v>
      </c>
      <c r="M1" s="4" t="s">
        <v>372</v>
      </c>
      <c r="N1" s="5" t="s">
        <v>373</v>
      </c>
    </row>
    <row r="2" spans="1:14" x14ac:dyDescent="0.3">
      <c r="A2" s="6" t="s">
        <v>13</v>
      </c>
      <c r="B2" s="1" t="s">
        <v>14</v>
      </c>
      <c r="C2" s="7">
        <v>45649</v>
      </c>
      <c r="D2" s="1" t="s">
        <v>15</v>
      </c>
      <c r="E2" s="1" t="s">
        <v>16</v>
      </c>
      <c r="F2" s="1">
        <v>1461</v>
      </c>
      <c r="G2" s="1">
        <v>184</v>
      </c>
      <c r="H2" s="1">
        <v>344</v>
      </c>
      <c r="I2" s="1">
        <v>21915</v>
      </c>
      <c r="J2" s="1">
        <v>21675</v>
      </c>
      <c r="K2" s="1">
        <v>15</v>
      </c>
      <c r="L2" s="1" t="s">
        <v>17</v>
      </c>
      <c r="M2" s="1" t="s">
        <v>11</v>
      </c>
      <c r="N2" s="8" t="s">
        <v>48</v>
      </c>
    </row>
    <row r="3" spans="1:14" x14ac:dyDescent="0.3">
      <c r="A3" s="6" t="s">
        <v>13</v>
      </c>
      <c r="B3" s="1" t="s">
        <v>14</v>
      </c>
      <c r="C3" s="7">
        <v>45649</v>
      </c>
      <c r="D3" s="1" t="s">
        <v>15</v>
      </c>
      <c r="E3" s="1" t="s">
        <v>16</v>
      </c>
      <c r="F3" s="1">
        <v>1461</v>
      </c>
      <c r="G3" s="1">
        <v>184</v>
      </c>
      <c r="H3" s="1">
        <v>344</v>
      </c>
      <c r="I3" s="1">
        <v>21915</v>
      </c>
      <c r="J3" s="1">
        <v>21675</v>
      </c>
      <c r="K3" s="1">
        <v>15</v>
      </c>
      <c r="L3" s="1" t="s">
        <v>17</v>
      </c>
      <c r="M3" s="1" t="s">
        <v>357</v>
      </c>
      <c r="N3" s="8" t="s">
        <v>354</v>
      </c>
    </row>
    <row r="4" spans="1:14" x14ac:dyDescent="0.3">
      <c r="A4" s="6" t="s">
        <v>13</v>
      </c>
      <c r="B4" s="1" t="s">
        <v>14</v>
      </c>
      <c r="C4" s="7">
        <v>45649</v>
      </c>
      <c r="D4" s="1" t="s">
        <v>15</v>
      </c>
      <c r="E4" s="1" t="s">
        <v>16</v>
      </c>
      <c r="F4" s="1">
        <v>1461</v>
      </c>
      <c r="G4" s="1">
        <v>184</v>
      </c>
      <c r="H4" s="1">
        <v>344</v>
      </c>
      <c r="I4" s="1">
        <v>21915</v>
      </c>
      <c r="J4" s="1">
        <v>21675</v>
      </c>
      <c r="K4" s="1">
        <v>15</v>
      </c>
      <c r="L4" s="1" t="s">
        <v>17</v>
      </c>
      <c r="M4" s="1" t="s">
        <v>358</v>
      </c>
      <c r="N4" s="8" t="s">
        <v>359</v>
      </c>
    </row>
    <row r="5" spans="1:14" x14ac:dyDescent="0.3">
      <c r="A5" s="6" t="s">
        <v>18</v>
      </c>
      <c r="B5" s="1" t="s">
        <v>14</v>
      </c>
      <c r="C5" s="7">
        <v>45750</v>
      </c>
      <c r="D5" s="1" t="s">
        <v>19</v>
      </c>
      <c r="E5" s="1" t="s">
        <v>20</v>
      </c>
      <c r="F5" s="1">
        <v>4054</v>
      </c>
      <c r="G5" s="1">
        <v>389</v>
      </c>
      <c r="H5" s="1">
        <v>493</v>
      </c>
      <c r="I5" s="1">
        <v>64864</v>
      </c>
      <c r="J5" s="1">
        <v>64383</v>
      </c>
      <c r="K5" s="1">
        <v>117</v>
      </c>
      <c r="L5" s="1" t="s">
        <v>21</v>
      </c>
      <c r="M5" s="1" t="s">
        <v>11</v>
      </c>
      <c r="N5" s="8" t="s">
        <v>25</v>
      </c>
    </row>
    <row r="6" spans="1:14" x14ac:dyDescent="0.3">
      <c r="A6" s="6" t="s">
        <v>18</v>
      </c>
      <c r="B6" s="1" t="s">
        <v>14</v>
      </c>
      <c r="C6" s="7">
        <v>45750</v>
      </c>
      <c r="D6" s="1" t="s">
        <v>19</v>
      </c>
      <c r="E6" s="1" t="s">
        <v>20</v>
      </c>
      <c r="F6" s="1">
        <v>4054</v>
      </c>
      <c r="G6" s="1">
        <v>389</v>
      </c>
      <c r="H6" s="1">
        <v>493</v>
      </c>
      <c r="I6" s="1">
        <v>64864</v>
      </c>
      <c r="J6" s="1">
        <v>64383</v>
      </c>
      <c r="K6" s="1">
        <v>117</v>
      </c>
      <c r="L6" s="1" t="s">
        <v>21</v>
      </c>
      <c r="M6" s="1" t="s">
        <v>357</v>
      </c>
      <c r="N6" s="8" t="s">
        <v>355</v>
      </c>
    </row>
    <row r="7" spans="1:14" x14ac:dyDescent="0.3">
      <c r="A7" s="6" t="s">
        <v>18</v>
      </c>
      <c r="B7" s="1" t="s">
        <v>14</v>
      </c>
      <c r="C7" s="7">
        <v>45750</v>
      </c>
      <c r="D7" s="1" t="s">
        <v>19</v>
      </c>
      <c r="E7" s="1" t="s">
        <v>20</v>
      </c>
      <c r="F7" s="1">
        <v>4054</v>
      </c>
      <c r="G7" s="1">
        <v>389</v>
      </c>
      <c r="H7" s="1">
        <v>493</v>
      </c>
      <c r="I7" s="1">
        <v>64864</v>
      </c>
      <c r="J7" s="1">
        <v>64383</v>
      </c>
      <c r="K7" s="1">
        <v>117</v>
      </c>
      <c r="L7" s="1" t="s">
        <v>21</v>
      </c>
      <c r="M7" s="1" t="s">
        <v>358</v>
      </c>
      <c r="N7" s="8" t="s">
        <v>359</v>
      </c>
    </row>
    <row r="8" spans="1:14" x14ac:dyDescent="0.3">
      <c r="A8" s="6" t="s">
        <v>22</v>
      </c>
      <c r="B8" s="1" t="s">
        <v>23</v>
      </c>
      <c r="C8" s="7">
        <v>45789</v>
      </c>
      <c r="D8" s="1" t="s">
        <v>15</v>
      </c>
      <c r="E8" s="1" t="s">
        <v>24</v>
      </c>
      <c r="F8" s="1">
        <v>2795</v>
      </c>
      <c r="G8" s="1">
        <v>105</v>
      </c>
      <c r="H8" s="1">
        <v>49</v>
      </c>
      <c r="I8" s="1">
        <v>53105</v>
      </c>
      <c r="J8" s="1">
        <v>52307</v>
      </c>
      <c r="K8" s="1">
        <v>204</v>
      </c>
      <c r="L8" s="1" t="s">
        <v>26</v>
      </c>
      <c r="M8" s="1" t="s">
        <v>11</v>
      </c>
      <c r="N8" s="8" t="s">
        <v>25</v>
      </c>
    </row>
    <row r="9" spans="1:14" x14ac:dyDescent="0.3">
      <c r="A9" s="6" t="s">
        <v>22</v>
      </c>
      <c r="B9" s="1" t="s">
        <v>23</v>
      </c>
      <c r="C9" s="7">
        <v>45789</v>
      </c>
      <c r="D9" s="1" t="s">
        <v>15</v>
      </c>
      <c r="E9" s="1" t="s">
        <v>24</v>
      </c>
      <c r="F9" s="1">
        <v>2795</v>
      </c>
      <c r="G9" s="1">
        <v>105</v>
      </c>
      <c r="H9" s="1">
        <v>49</v>
      </c>
      <c r="I9" s="1">
        <v>53105</v>
      </c>
      <c r="J9" s="1">
        <v>52307</v>
      </c>
      <c r="K9" s="1">
        <v>204</v>
      </c>
      <c r="L9" s="1" t="s">
        <v>26</v>
      </c>
      <c r="M9" s="1" t="s">
        <v>357</v>
      </c>
      <c r="N9" s="8" t="s">
        <v>359</v>
      </c>
    </row>
    <row r="10" spans="1:14" x14ac:dyDescent="0.3">
      <c r="A10" s="6" t="s">
        <v>22</v>
      </c>
      <c r="B10" s="1" t="s">
        <v>23</v>
      </c>
      <c r="C10" s="7">
        <v>45789</v>
      </c>
      <c r="D10" s="1" t="s">
        <v>15</v>
      </c>
      <c r="E10" s="1" t="s">
        <v>24</v>
      </c>
      <c r="F10" s="1">
        <v>2795</v>
      </c>
      <c r="G10" s="1">
        <v>105</v>
      </c>
      <c r="H10" s="1">
        <v>49</v>
      </c>
      <c r="I10" s="1">
        <v>53105</v>
      </c>
      <c r="J10" s="1">
        <v>52307</v>
      </c>
      <c r="K10" s="1">
        <v>204</v>
      </c>
      <c r="L10" s="1" t="s">
        <v>26</v>
      </c>
      <c r="M10" s="1" t="s">
        <v>358</v>
      </c>
      <c r="N10" s="8" t="s">
        <v>359</v>
      </c>
    </row>
    <row r="11" spans="1:14" x14ac:dyDescent="0.3">
      <c r="A11" s="6" t="s">
        <v>27</v>
      </c>
      <c r="B11" s="1" t="s">
        <v>28</v>
      </c>
      <c r="C11" s="7">
        <v>45516</v>
      </c>
      <c r="D11" s="1" t="s">
        <v>29</v>
      </c>
      <c r="E11" s="1" t="s">
        <v>30</v>
      </c>
      <c r="F11" s="1">
        <v>2404</v>
      </c>
      <c r="G11" s="1">
        <v>363</v>
      </c>
      <c r="H11" s="1">
        <v>138</v>
      </c>
      <c r="I11" s="1">
        <v>19232</v>
      </c>
      <c r="J11" s="1">
        <v>18636</v>
      </c>
      <c r="K11" s="1">
        <v>128</v>
      </c>
      <c r="L11" s="1" t="s">
        <v>32</v>
      </c>
      <c r="M11" s="1" t="s">
        <v>11</v>
      </c>
      <c r="N11" s="8" t="s">
        <v>31</v>
      </c>
    </row>
    <row r="12" spans="1:14" x14ac:dyDescent="0.3">
      <c r="A12" s="6" t="s">
        <v>27</v>
      </c>
      <c r="B12" s="1" t="s">
        <v>28</v>
      </c>
      <c r="C12" s="7">
        <v>45516</v>
      </c>
      <c r="D12" s="1" t="s">
        <v>29</v>
      </c>
      <c r="E12" s="1" t="s">
        <v>30</v>
      </c>
      <c r="F12" s="1">
        <v>2404</v>
      </c>
      <c r="G12" s="1">
        <v>363</v>
      </c>
      <c r="H12" s="1">
        <v>138</v>
      </c>
      <c r="I12" s="1">
        <v>19232</v>
      </c>
      <c r="J12" s="1">
        <v>18636</v>
      </c>
      <c r="K12" s="1">
        <v>128</v>
      </c>
      <c r="L12" s="1" t="s">
        <v>32</v>
      </c>
      <c r="M12" s="1" t="s">
        <v>357</v>
      </c>
      <c r="N12" s="8" t="s">
        <v>359</v>
      </c>
    </row>
    <row r="13" spans="1:14" x14ac:dyDescent="0.3">
      <c r="A13" s="6" t="s">
        <v>27</v>
      </c>
      <c r="B13" s="1" t="s">
        <v>28</v>
      </c>
      <c r="C13" s="7">
        <v>45516</v>
      </c>
      <c r="D13" s="1" t="s">
        <v>29</v>
      </c>
      <c r="E13" s="1" t="s">
        <v>30</v>
      </c>
      <c r="F13" s="1">
        <v>2404</v>
      </c>
      <c r="G13" s="1">
        <v>363</v>
      </c>
      <c r="H13" s="1">
        <v>138</v>
      </c>
      <c r="I13" s="1">
        <v>19232</v>
      </c>
      <c r="J13" s="1">
        <v>18636</v>
      </c>
      <c r="K13" s="1">
        <v>128</v>
      </c>
      <c r="L13" s="1" t="s">
        <v>32</v>
      </c>
      <c r="M13" s="1" t="s">
        <v>358</v>
      </c>
      <c r="N13" s="8" t="s">
        <v>359</v>
      </c>
    </row>
    <row r="14" spans="1:14" x14ac:dyDescent="0.3">
      <c r="A14" s="6" t="s">
        <v>33</v>
      </c>
      <c r="B14" s="1" t="s">
        <v>23</v>
      </c>
      <c r="C14" s="7">
        <v>45469</v>
      </c>
      <c r="D14" s="1" t="s">
        <v>15</v>
      </c>
      <c r="E14" s="1" t="s">
        <v>24</v>
      </c>
      <c r="F14" s="1">
        <v>3557</v>
      </c>
      <c r="G14" s="1">
        <v>687</v>
      </c>
      <c r="H14" s="1">
        <v>424</v>
      </c>
      <c r="I14" s="1">
        <v>71140</v>
      </c>
      <c r="J14" s="1">
        <v>70701</v>
      </c>
      <c r="K14" s="1">
        <v>224</v>
      </c>
      <c r="L14" s="1" t="s">
        <v>17</v>
      </c>
      <c r="M14" s="1" t="s">
        <v>11</v>
      </c>
      <c r="N14" s="8" t="s">
        <v>31</v>
      </c>
    </row>
    <row r="15" spans="1:14" x14ac:dyDescent="0.3">
      <c r="A15" s="6" t="s">
        <v>33</v>
      </c>
      <c r="B15" s="1" t="s">
        <v>23</v>
      </c>
      <c r="C15" s="7">
        <v>45469</v>
      </c>
      <c r="D15" s="1" t="s">
        <v>15</v>
      </c>
      <c r="E15" s="1" t="s">
        <v>24</v>
      </c>
      <c r="F15" s="1">
        <v>3557</v>
      </c>
      <c r="G15" s="1">
        <v>687</v>
      </c>
      <c r="H15" s="1">
        <v>424</v>
      </c>
      <c r="I15" s="1">
        <v>71140</v>
      </c>
      <c r="J15" s="1">
        <v>70701</v>
      </c>
      <c r="K15" s="1">
        <v>224</v>
      </c>
      <c r="L15" s="1" t="s">
        <v>17</v>
      </c>
      <c r="M15" s="1" t="s">
        <v>357</v>
      </c>
      <c r="N15" s="8" t="s">
        <v>25</v>
      </c>
    </row>
    <row r="16" spans="1:14" x14ac:dyDescent="0.3">
      <c r="A16" s="6" t="s">
        <v>33</v>
      </c>
      <c r="B16" s="1" t="s">
        <v>23</v>
      </c>
      <c r="C16" s="7">
        <v>45469</v>
      </c>
      <c r="D16" s="1" t="s">
        <v>15</v>
      </c>
      <c r="E16" s="1" t="s">
        <v>24</v>
      </c>
      <c r="F16" s="1">
        <v>3557</v>
      </c>
      <c r="G16" s="1">
        <v>687</v>
      </c>
      <c r="H16" s="1">
        <v>424</v>
      </c>
      <c r="I16" s="1">
        <v>71140</v>
      </c>
      <c r="J16" s="1">
        <v>70701</v>
      </c>
      <c r="K16" s="1">
        <v>224</v>
      </c>
      <c r="L16" s="1" t="s">
        <v>17</v>
      </c>
      <c r="M16" s="1" t="s">
        <v>358</v>
      </c>
      <c r="N16" s="8" t="s">
        <v>359</v>
      </c>
    </row>
    <row r="17" spans="1:14" x14ac:dyDescent="0.3">
      <c r="A17" s="6" t="s">
        <v>34</v>
      </c>
      <c r="B17" s="1" t="s">
        <v>35</v>
      </c>
      <c r="C17" s="7">
        <v>45596</v>
      </c>
      <c r="D17" s="1" t="s">
        <v>36</v>
      </c>
      <c r="E17" s="1" t="s">
        <v>37</v>
      </c>
      <c r="F17" s="1">
        <v>2945</v>
      </c>
      <c r="G17" s="1">
        <v>930</v>
      </c>
      <c r="H17" s="1">
        <v>355</v>
      </c>
      <c r="I17" s="1">
        <v>23560</v>
      </c>
      <c r="J17" s="1">
        <v>23275</v>
      </c>
      <c r="K17" s="1">
        <v>256</v>
      </c>
      <c r="L17" s="1" t="s">
        <v>21</v>
      </c>
      <c r="M17" s="1" t="s">
        <v>11</v>
      </c>
      <c r="N17" s="8" t="s">
        <v>25</v>
      </c>
    </row>
    <row r="18" spans="1:14" x14ac:dyDescent="0.3">
      <c r="A18" s="6" t="s">
        <v>34</v>
      </c>
      <c r="B18" s="1" t="s">
        <v>35</v>
      </c>
      <c r="C18" s="7">
        <v>45596</v>
      </c>
      <c r="D18" s="1" t="s">
        <v>36</v>
      </c>
      <c r="E18" s="1" t="s">
        <v>37</v>
      </c>
      <c r="F18" s="1">
        <v>2945</v>
      </c>
      <c r="G18" s="1">
        <v>930</v>
      </c>
      <c r="H18" s="1">
        <v>355</v>
      </c>
      <c r="I18" s="1">
        <v>23560</v>
      </c>
      <c r="J18" s="1">
        <v>23275</v>
      </c>
      <c r="K18" s="1">
        <v>256</v>
      </c>
      <c r="L18" s="1" t="s">
        <v>21</v>
      </c>
      <c r="M18" s="1" t="s">
        <v>357</v>
      </c>
      <c r="N18" s="8" t="s">
        <v>359</v>
      </c>
    </row>
    <row r="19" spans="1:14" x14ac:dyDescent="0.3">
      <c r="A19" s="6" t="s">
        <v>34</v>
      </c>
      <c r="B19" s="1" t="s">
        <v>35</v>
      </c>
      <c r="C19" s="7">
        <v>45596</v>
      </c>
      <c r="D19" s="1" t="s">
        <v>36</v>
      </c>
      <c r="E19" s="1" t="s">
        <v>37</v>
      </c>
      <c r="F19" s="1">
        <v>2945</v>
      </c>
      <c r="G19" s="1">
        <v>930</v>
      </c>
      <c r="H19" s="1">
        <v>355</v>
      </c>
      <c r="I19" s="1">
        <v>23560</v>
      </c>
      <c r="J19" s="1">
        <v>23275</v>
      </c>
      <c r="K19" s="1">
        <v>256</v>
      </c>
      <c r="L19" s="1" t="s">
        <v>21</v>
      </c>
      <c r="M19" s="1" t="s">
        <v>358</v>
      </c>
      <c r="N19" s="8" t="s">
        <v>359</v>
      </c>
    </row>
    <row r="20" spans="1:14" x14ac:dyDescent="0.3">
      <c r="A20" s="6" t="s">
        <v>38</v>
      </c>
      <c r="B20" s="1" t="s">
        <v>14</v>
      </c>
      <c r="C20" s="7">
        <v>45467</v>
      </c>
      <c r="D20" s="1" t="s">
        <v>36</v>
      </c>
      <c r="E20" s="1" t="s">
        <v>39</v>
      </c>
      <c r="F20" s="1">
        <v>3860</v>
      </c>
      <c r="G20" s="1">
        <v>201</v>
      </c>
      <c r="H20" s="1">
        <v>279</v>
      </c>
      <c r="I20" s="1">
        <v>61760</v>
      </c>
      <c r="J20" s="1">
        <v>61660</v>
      </c>
      <c r="K20" s="1">
        <v>235</v>
      </c>
      <c r="L20" s="1" t="s">
        <v>21</v>
      </c>
      <c r="M20" s="1" t="s">
        <v>11</v>
      </c>
      <c r="N20" s="8" t="s">
        <v>25</v>
      </c>
    </row>
    <row r="21" spans="1:14" x14ac:dyDescent="0.3">
      <c r="A21" s="6" t="s">
        <v>38</v>
      </c>
      <c r="B21" s="1" t="s">
        <v>14</v>
      </c>
      <c r="C21" s="7">
        <v>45467</v>
      </c>
      <c r="D21" s="1" t="s">
        <v>36</v>
      </c>
      <c r="E21" s="1" t="s">
        <v>39</v>
      </c>
      <c r="F21" s="1">
        <v>3860</v>
      </c>
      <c r="G21" s="1">
        <v>201</v>
      </c>
      <c r="H21" s="1">
        <v>279</v>
      </c>
      <c r="I21" s="1">
        <v>61760</v>
      </c>
      <c r="J21" s="1">
        <v>61660</v>
      </c>
      <c r="K21" s="1">
        <v>235</v>
      </c>
      <c r="L21" s="1" t="s">
        <v>21</v>
      </c>
      <c r="M21" s="1" t="s">
        <v>357</v>
      </c>
      <c r="N21" s="8" t="s">
        <v>359</v>
      </c>
    </row>
    <row r="22" spans="1:14" x14ac:dyDescent="0.3">
      <c r="A22" s="6" t="s">
        <v>38</v>
      </c>
      <c r="B22" s="1" t="s">
        <v>14</v>
      </c>
      <c r="C22" s="7">
        <v>45467</v>
      </c>
      <c r="D22" s="1" t="s">
        <v>36</v>
      </c>
      <c r="E22" s="1" t="s">
        <v>39</v>
      </c>
      <c r="F22" s="1">
        <v>3860</v>
      </c>
      <c r="G22" s="1">
        <v>201</v>
      </c>
      <c r="H22" s="1">
        <v>279</v>
      </c>
      <c r="I22" s="1">
        <v>61760</v>
      </c>
      <c r="J22" s="1">
        <v>61660</v>
      </c>
      <c r="K22" s="1">
        <v>235</v>
      </c>
      <c r="L22" s="1" t="s">
        <v>21</v>
      </c>
      <c r="M22" s="1" t="s">
        <v>358</v>
      </c>
      <c r="N22" s="8" t="s">
        <v>359</v>
      </c>
    </row>
    <row r="23" spans="1:14" x14ac:dyDescent="0.3">
      <c r="A23" s="6" t="s">
        <v>40</v>
      </c>
      <c r="B23" s="1" t="s">
        <v>23</v>
      </c>
      <c r="C23" s="7">
        <v>45486</v>
      </c>
      <c r="D23" s="1" t="s">
        <v>41</v>
      </c>
      <c r="E23" s="1" t="s">
        <v>42</v>
      </c>
      <c r="F23" s="1">
        <v>3929</v>
      </c>
      <c r="G23" s="1">
        <v>262</v>
      </c>
      <c r="H23" s="1">
        <v>278</v>
      </c>
      <c r="I23" s="1">
        <v>43219</v>
      </c>
      <c r="J23" s="1">
        <v>42841</v>
      </c>
      <c r="K23" s="1">
        <v>39</v>
      </c>
      <c r="L23" s="1" t="s">
        <v>32</v>
      </c>
      <c r="M23" s="1" t="s">
        <v>11</v>
      </c>
      <c r="N23" s="8" t="s">
        <v>31</v>
      </c>
    </row>
    <row r="24" spans="1:14" x14ac:dyDescent="0.3">
      <c r="A24" s="6" t="s">
        <v>40</v>
      </c>
      <c r="B24" s="1" t="s">
        <v>23</v>
      </c>
      <c r="C24" s="7">
        <v>45486</v>
      </c>
      <c r="D24" s="1" t="s">
        <v>41</v>
      </c>
      <c r="E24" s="1" t="s">
        <v>42</v>
      </c>
      <c r="F24" s="1">
        <v>3929</v>
      </c>
      <c r="G24" s="1">
        <v>262</v>
      </c>
      <c r="H24" s="1">
        <v>278</v>
      </c>
      <c r="I24" s="1">
        <v>43219</v>
      </c>
      <c r="J24" s="1">
        <v>42841</v>
      </c>
      <c r="K24" s="1">
        <v>39</v>
      </c>
      <c r="L24" s="1" t="s">
        <v>32</v>
      </c>
      <c r="M24" s="1" t="s">
        <v>357</v>
      </c>
      <c r="N24" s="8" t="s">
        <v>359</v>
      </c>
    </row>
    <row r="25" spans="1:14" x14ac:dyDescent="0.3">
      <c r="A25" s="6" t="s">
        <v>40</v>
      </c>
      <c r="B25" s="1" t="s">
        <v>23</v>
      </c>
      <c r="C25" s="7">
        <v>45486</v>
      </c>
      <c r="D25" s="1" t="s">
        <v>41</v>
      </c>
      <c r="E25" s="1" t="s">
        <v>42</v>
      </c>
      <c r="F25" s="1">
        <v>3929</v>
      </c>
      <c r="G25" s="1">
        <v>262</v>
      </c>
      <c r="H25" s="1">
        <v>278</v>
      </c>
      <c r="I25" s="1">
        <v>43219</v>
      </c>
      <c r="J25" s="1">
        <v>42841</v>
      </c>
      <c r="K25" s="1">
        <v>39</v>
      </c>
      <c r="L25" s="1" t="s">
        <v>32</v>
      </c>
      <c r="M25" s="1" t="s">
        <v>358</v>
      </c>
      <c r="N25" s="8" t="s">
        <v>359</v>
      </c>
    </row>
    <row r="26" spans="1:14" x14ac:dyDescent="0.3">
      <c r="A26" s="6" t="s">
        <v>43</v>
      </c>
      <c r="B26" s="1" t="s">
        <v>35</v>
      </c>
      <c r="C26" s="7">
        <v>45534</v>
      </c>
      <c r="D26" s="1" t="s">
        <v>19</v>
      </c>
      <c r="E26" s="1" t="s">
        <v>44</v>
      </c>
      <c r="F26" s="1">
        <v>3784</v>
      </c>
      <c r="G26" s="1">
        <v>808</v>
      </c>
      <c r="H26" s="1">
        <v>404</v>
      </c>
      <c r="I26" s="1">
        <v>56760</v>
      </c>
      <c r="J26" s="1">
        <v>56343</v>
      </c>
      <c r="K26" s="1">
        <v>131</v>
      </c>
      <c r="L26" s="1" t="s">
        <v>21</v>
      </c>
      <c r="M26" s="1" t="s">
        <v>11</v>
      </c>
      <c r="N26" s="8" t="s">
        <v>25</v>
      </c>
    </row>
    <row r="27" spans="1:14" x14ac:dyDescent="0.3">
      <c r="A27" s="6" t="s">
        <v>43</v>
      </c>
      <c r="B27" s="1" t="s">
        <v>35</v>
      </c>
      <c r="C27" s="7">
        <v>45534</v>
      </c>
      <c r="D27" s="1" t="s">
        <v>19</v>
      </c>
      <c r="E27" s="1" t="s">
        <v>44</v>
      </c>
      <c r="F27" s="1">
        <v>3784</v>
      </c>
      <c r="G27" s="1">
        <v>808</v>
      </c>
      <c r="H27" s="1">
        <v>404</v>
      </c>
      <c r="I27" s="1">
        <v>56760</v>
      </c>
      <c r="J27" s="1">
        <v>56343</v>
      </c>
      <c r="K27" s="1">
        <v>131</v>
      </c>
      <c r="L27" s="1" t="s">
        <v>21</v>
      </c>
      <c r="M27" s="1" t="s">
        <v>357</v>
      </c>
      <c r="N27" s="8" t="s">
        <v>359</v>
      </c>
    </row>
    <row r="28" spans="1:14" x14ac:dyDescent="0.3">
      <c r="A28" s="6" t="s">
        <v>43</v>
      </c>
      <c r="B28" s="1" t="s">
        <v>35</v>
      </c>
      <c r="C28" s="7">
        <v>45534</v>
      </c>
      <c r="D28" s="1" t="s">
        <v>19</v>
      </c>
      <c r="E28" s="1" t="s">
        <v>44</v>
      </c>
      <c r="F28" s="1">
        <v>3784</v>
      </c>
      <c r="G28" s="1">
        <v>808</v>
      </c>
      <c r="H28" s="1">
        <v>404</v>
      </c>
      <c r="I28" s="1">
        <v>56760</v>
      </c>
      <c r="J28" s="1">
        <v>56343</v>
      </c>
      <c r="K28" s="1">
        <v>131</v>
      </c>
      <c r="L28" s="1" t="s">
        <v>21</v>
      </c>
      <c r="M28" s="1" t="s">
        <v>358</v>
      </c>
      <c r="N28" s="8" t="s">
        <v>359</v>
      </c>
    </row>
    <row r="29" spans="1:14" x14ac:dyDescent="0.3">
      <c r="A29" s="6" t="s">
        <v>45</v>
      </c>
      <c r="B29" s="1" t="s">
        <v>35</v>
      </c>
      <c r="C29" s="7">
        <v>45727</v>
      </c>
      <c r="D29" s="1" t="s">
        <v>41</v>
      </c>
      <c r="E29" s="1" t="s">
        <v>46</v>
      </c>
      <c r="F29" s="1">
        <v>4241</v>
      </c>
      <c r="G29" s="1">
        <v>902</v>
      </c>
      <c r="H29" s="1">
        <v>47</v>
      </c>
      <c r="I29" s="1">
        <v>72097</v>
      </c>
      <c r="J29" s="1">
        <v>71598</v>
      </c>
      <c r="K29" s="1">
        <v>167</v>
      </c>
      <c r="L29" s="1" t="s">
        <v>21</v>
      </c>
      <c r="M29" s="1" t="s">
        <v>11</v>
      </c>
      <c r="N29" s="8" t="s">
        <v>25</v>
      </c>
    </row>
    <row r="30" spans="1:14" x14ac:dyDescent="0.3">
      <c r="A30" s="6" t="s">
        <v>45</v>
      </c>
      <c r="B30" s="1" t="s">
        <v>35</v>
      </c>
      <c r="C30" s="7">
        <v>45727</v>
      </c>
      <c r="D30" s="1" t="s">
        <v>41</v>
      </c>
      <c r="E30" s="1" t="s">
        <v>46</v>
      </c>
      <c r="F30" s="1">
        <v>4241</v>
      </c>
      <c r="G30" s="1">
        <v>902</v>
      </c>
      <c r="H30" s="1">
        <v>47</v>
      </c>
      <c r="I30" s="1">
        <v>72097</v>
      </c>
      <c r="J30" s="1">
        <v>71598</v>
      </c>
      <c r="K30" s="1">
        <v>167</v>
      </c>
      <c r="L30" s="1" t="s">
        <v>21</v>
      </c>
      <c r="M30" s="1" t="s">
        <v>357</v>
      </c>
      <c r="N30" s="8" t="s">
        <v>359</v>
      </c>
    </row>
    <row r="31" spans="1:14" x14ac:dyDescent="0.3">
      <c r="A31" s="6" t="s">
        <v>45</v>
      </c>
      <c r="B31" s="1" t="s">
        <v>35</v>
      </c>
      <c r="C31" s="7">
        <v>45727</v>
      </c>
      <c r="D31" s="1" t="s">
        <v>41</v>
      </c>
      <c r="E31" s="1" t="s">
        <v>46</v>
      </c>
      <c r="F31" s="1">
        <v>4241</v>
      </c>
      <c r="G31" s="1">
        <v>902</v>
      </c>
      <c r="H31" s="1">
        <v>47</v>
      </c>
      <c r="I31" s="1">
        <v>72097</v>
      </c>
      <c r="J31" s="1">
        <v>71598</v>
      </c>
      <c r="K31" s="1">
        <v>167</v>
      </c>
      <c r="L31" s="1" t="s">
        <v>21</v>
      </c>
      <c r="M31" s="1" t="s">
        <v>358</v>
      </c>
      <c r="N31" s="8" t="s">
        <v>359</v>
      </c>
    </row>
    <row r="32" spans="1:14" x14ac:dyDescent="0.3">
      <c r="A32" s="6" t="s">
        <v>47</v>
      </c>
      <c r="B32" s="1" t="s">
        <v>28</v>
      </c>
      <c r="C32" s="7">
        <v>45690</v>
      </c>
      <c r="D32" s="1" t="s">
        <v>29</v>
      </c>
      <c r="E32" s="1" t="s">
        <v>30</v>
      </c>
      <c r="F32" s="1">
        <v>1792</v>
      </c>
      <c r="G32" s="1">
        <v>614</v>
      </c>
      <c r="H32" s="1">
        <v>497</v>
      </c>
      <c r="I32" s="1">
        <v>25088</v>
      </c>
      <c r="J32" s="1">
        <v>24675</v>
      </c>
      <c r="K32" s="1">
        <v>65</v>
      </c>
      <c r="L32" s="1" t="s">
        <v>32</v>
      </c>
      <c r="M32" s="1" t="s">
        <v>11</v>
      </c>
      <c r="N32" s="8" t="s">
        <v>48</v>
      </c>
    </row>
    <row r="33" spans="1:14" x14ac:dyDescent="0.3">
      <c r="A33" s="6" t="s">
        <v>47</v>
      </c>
      <c r="B33" s="1" t="s">
        <v>28</v>
      </c>
      <c r="C33" s="7">
        <v>45690</v>
      </c>
      <c r="D33" s="1" t="s">
        <v>29</v>
      </c>
      <c r="E33" s="1" t="s">
        <v>30</v>
      </c>
      <c r="F33" s="1">
        <v>1792</v>
      </c>
      <c r="G33" s="1">
        <v>614</v>
      </c>
      <c r="H33" s="1">
        <v>497</v>
      </c>
      <c r="I33" s="1">
        <v>25088</v>
      </c>
      <c r="J33" s="1">
        <v>24675</v>
      </c>
      <c r="K33" s="1">
        <v>65</v>
      </c>
      <c r="L33" s="1" t="s">
        <v>32</v>
      </c>
      <c r="M33" s="1" t="s">
        <v>357</v>
      </c>
      <c r="N33" s="8" t="s">
        <v>359</v>
      </c>
    </row>
    <row r="34" spans="1:14" x14ac:dyDescent="0.3">
      <c r="A34" s="6" t="s">
        <v>47</v>
      </c>
      <c r="B34" s="1" t="s">
        <v>28</v>
      </c>
      <c r="C34" s="7">
        <v>45690</v>
      </c>
      <c r="D34" s="1" t="s">
        <v>29</v>
      </c>
      <c r="E34" s="1" t="s">
        <v>30</v>
      </c>
      <c r="F34" s="1">
        <v>1792</v>
      </c>
      <c r="G34" s="1">
        <v>614</v>
      </c>
      <c r="H34" s="1">
        <v>497</v>
      </c>
      <c r="I34" s="1">
        <v>25088</v>
      </c>
      <c r="J34" s="1">
        <v>24675</v>
      </c>
      <c r="K34" s="1">
        <v>65</v>
      </c>
      <c r="L34" s="1" t="s">
        <v>32</v>
      </c>
      <c r="M34" s="1" t="s">
        <v>358</v>
      </c>
      <c r="N34" s="8" t="s">
        <v>359</v>
      </c>
    </row>
    <row r="35" spans="1:14" x14ac:dyDescent="0.3">
      <c r="A35" s="6" t="s">
        <v>49</v>
      </c>
      <c r="B35" s="1" t="s">
        <v>35</v>
      </c>
      <c r="C35" s="7">
        <v>45494</v>
      </c>
      <c r="D35" s="1" t="s">
        <v>15</v>
      </c>
      <c r="E35" s="1" t="s">
        <v>50</v>
      </c>
      <c r="F35" s="1">
        <v>1946</v>
      </c>
      <c r="G35" s="1">
        <v>686</v>
      </c>
      <c r="H35" s="1">
        <v>377</v>
      </c>
      <c r="I35" s="1">
        <v>23352</v>
      </c>
      <c r="J35" s="1">
        <v>22982</v>
      </c>
      <c r="K35" s="1">
        <v>213</v>
      </c>
      <c r="L35" s="1" t="s">
        <v>26</v>
      </c>
      <c r="M35" s="1" t="s">
        <v>11</v>
      </c>
      <c r="N35" s="8" t="s">
        <v>48</v>
      </c>
    </row>
    <row r="36" spans="1:14" x14ac:dyDescent="0.3">
      <c r="A36" s="6" t="s">
        <v>49</v>
      </c>
      <c r="B36" s="1" t="s">
        <v>35</v>
      </c>
      <c r="C36" s="7">
        <v>45494</v>
      </c>
      <c r="D36" s="1" t="s">
        <v>15</v>
      </c>
      <c r="E36" s="1" t="s">
        <v>50</v>
      </c>
      <c r="F36" s="1">
        <v>1946</v>
      </c>
      <c r="G36" s="1">
        <v>686</v>
      </c>
      <c r="H36" s="1">
        <v>377</v>
      </c>
      <c r="I36" s="1">
        <v>23352</v>
      </c>
      <c r="J36" s="1">
        <v>22982</v>
      </c>
      <c r="K36" s="1">
        <v>213</v>
      </c>
      <c r="L36" s="1" t="s">
        <v>26</v>
      </c>
      <c r="M36" s="1" t="s">
        <v>357</v>
      </c>
      <c r="N36" s="8" t="s">
        <v>359</v>
      </c>
    </row>
    <row r="37" spans="1:14" x14ac:dyDescent="0.3">
      <c r="A37" s="6" t="s">
        <v>49</v>
      </c>
      <c r="B37" s="1" t="s">
        <v>35</v>
      </c>
      <c r="C37" s="7">
        <v>45494</v>
      </c>
      <c r="D37" s="1" t="s">
        <v>15</v>
      </c>
      <c r="E37" s="1" t="s">
        <v>50</v>
      </c>
      <c r="F37" s="1">
        <v>1946</v>
      </c>
      <c r="G37" s="1">
        <v>686</v>
      </c>
      <c r="H37" s="1">
        <v>377</v>
      </c>
      <c r="I37" s="1">
        <v>23352</v>
      </c>
      <c r="J37" s="1">
        <v>22982</v>
      </c>
      <c r="K37" s="1">
        <v>213</v>
      </c>
      <c r="L37" s="1" t="s">
        <v>26</v>
      </c>
      <c r="M37" s="1" t="s">
        <v>358</v>
      </c>
      <c r="N37" s="8" t="s">
        <v>359</v>
      </c>
    </row>
    <row r="38" spans="1:14" x14ac:dyDescent="0.3">
      <c r="A38" s="6" t="s">
        <v>51</v>
      </c>
      <c r="B38" s="1" t="s">
        <v>23</v>
      </c>
      <c r="C38" s="7">
        <v>45614</v>
      </c>
      <c r="D38" s="1" t="s">
        <v>36</v>
      </c>
      <c r="E38" s="1" t="s">
        <v>52</v>
      </c>
      <c r="F38" s="1">
        <v>1171</v>
      </c>
      <c r="G38" s="1">
        <v>286</v>
      </c>
      <c r="H38" s="1">
        <v>231</v>
      </c>
      <c r="I38" s="1">
        <v>22249</v>
      </c>
      <c r="J38" s="1">
        <v>21282</v>
      </c>
      <c r="K38" s="1">
        <v>114</v>
      </c>
      <c r="L38" s="1" t="s">
        <v>17</v>
      </c>
      <c r="M38" s="1" t="s">
        <v>11</v>
      </c>
      <c r="N38" s="8" t="s">
        <v>31</v>
      </c>
    </row>
    <row r="39" spans="1:14" x14ac:dyDescent="0.3">
      <c r="A39" s="6" t="s">
        <v>51</v>
      </c>
      <c r="B39" s="1" t="s">
        <v>23</v>
      </c>
      <c r="C39" s="7">
        <v>45614</v>
      </c>
      <c r="D39" s="1" t="s">
        <v>36</v>
      </c>
      <c r="E39" s="1" t="s">
        <v>52</v>
      </c>
      <c r="F39" s="1">
        <v>1171</v>
      </c>
      <c r="G39" s="1">
        <v>286</v>
      </c>
      <c r="H39" s="1">
        <v>231</v>
      </c>
      <c r="I39" s="1">
        <v>22249</v>
      </c>
      <c r="J39" s="1">
        <v>21282</v>
      </c>
      <c r="K39" s="1">
        <v>114</v>
      </c>
      <c r="L39" s="1" t="s">
        <v>17</v>
      </c>
      <c r="M39" s="1" t="s">
        <v>357</v>
      </c>
      <c r="N39" s="8" t="s">
        <v>359</v>
      </c>
    </row>
    <row r="40" spans="1:14" x14ac:dyDescent="0.3">
      <c r="A40" s="6" t="s">
        <v>51</v>
      </c>
      <c r="B40" s="1" t="s">
        <v>23</v>
      </c>
      <c r="C40" s="7">
        <v>45614</v>
      </c>
      <c r="D40" s="1" t="s">
        <v>36</v>
      </c>
      <c r="E40" s="1" t="s">
        <v>52</v>
      </c>
      <c r="F40" s="1">
        <v>1171</v>
      </c>
      <c r="G40" s="1">
        <v>286</v>
      </c>
      <c r="H40" s="1">
        <v>231</v>
      </c>
      <c r="I40" s="1">
        <v>22249</v>
      </c>
      <c r="J40" s="1">
        <v>21282</v>
      </c>
      <c r="K40" s="1">
        <v>114</v>
      </c>
      <c r="L40" s="1" t="s">
        <v>17</v>
      </c>
      <c r="M40" s="1" t="s">
        <v>358</v>
      </c>
      <c r="N40" s="8" t="s">
        <v>359</v>
      </c>
    </row>
    <row r="41" spans="1:14" x14ac:dyDescent="0.3">
      <c r="A41" s="6" t="s">
        <v>53</v>
      </c>
      <c r="B41" s="1" t="s">
        <v>35</v>
      </c>
      <c r="C41" s="7">
        <v>45704</v>
      </c>
      <c r="D41" s="1" t="s">
        <v>29</v>
      </c>
      <c r="E41" s="1" t="s">
        <v>54</v>
      </c>
      <c r="F41" s="1">
        <v>4242</v>
      </c>
      <c r="G41" s="1">
        <v>555</v>
      </c>
      <c r="H41" s="1">
        <v>131</v>
      </c>
      <c r="I41" s="1">
        <v>33936</v>
      </c>
      <c r="J41" s="1">
        <v>33802</v>
      </c>
      <c r="K41" s="1">
        <v>265</v>
      </c>
      <c r="L41" s="1" t="s">
        <v>360</v>
      </c>
      <c r="M41" s="1" t="s">
        <v>11</v>
      </c>
      <c r="N41" s="8" t="s">
        <v>48</v>
      </c>
    </row>
    <row r="42" spans="1:14" x14ac:dyDescent="0.3">
      <c r="A42" s="6" t="s">
        <v>53</v>
      </c>
      <c r="B42" s="1" t="s">
        <v>35</v>
      </c>
      <c r="C42" s="7">
        <v>45704</v>
      </c>
      <c r="D42" s="1" t="s">
        <v>29</v>
      </c>
      <c r="E42" s="1" t="s">
        <v>54</v>
      </c>
      <c r="F42" s="1">
        <v>4242</v>
      </c>
      <c r="G42" s="1">
        <v>555</v>
      </c>
      <c r="H42" s="1">
        <v>131</v>
      </c>
      <c r="I42" s="1">
        <v>33936</v>
      </c>
      <c r="J42" s="1">
        <v>33802</v>
      </c>
      <c r="K42" s="1">
        <v>265</v>
      </c>
      <c r="L42" s="1" t="s">
        <v>360</v>
      </c>
      <c r="M42" s="1" t="s">
        <v>357</v>
      </c>
      <c r="N42" s="8" t="s">
        <v>359</v>
      </c>
    </row>
    <row r="43" spans="1:14" x14ac:dyDescent="0.3">
      <c r="A43" s="6" t="s">
        <v>53</v>
      </c>
      <c r="B43" s="1" t="s">
        <v>35</v>
      </c>
      <c r="C43" s="7">
        <v>45704</v>
      </c>
      <c r="D43" s="1" t="s">
        <v>29</v>
      </c>
      <c r="E43" s="1" t="s">
        <v>54</v>
      </c>
      <c r="F43" s="1">
        <v>4242</v>
      </c>
      <c r="G43" s="1">
        <v>555</v>
      </c>
      <c r="H43" s="1">
        <v>131</v>
      </c>
      <c r="I43" s="1">
        <v>33936</v>
      </c>
      <c r="J43" s="1">
        <v>33802</v>
      </c>
      <c r="K43" s="1">
        <v>265</v>
      </c>
      <c r="L43" s="1" t="s">
        <v>360</v>
      </c>
      <c r="M43" s="1" t="s">
        <v>358</v>
      </c>
      <c r="N43" s="8" t="s">
        <v>359</v>
      </c>
    </row>
    <row r="44" spans="1:14" x14ac:dyDescent="0.3">
      <c r="A44" s="6" t="s">
        <v>55</v>
      </c>
      <c r="B44" s="1" t="s">
        <v>35</v>
      </c>
      <c r="C44" s="7">
        <v>45589</v>
      </c>
      <c r="D44" s="1" t="s">
        <v>56</v>
      </c>
      <c r="E44" s="1" t="s">
        <v>57</v>
      </c>
      <c r="F44" s="1">
        <v>3888</v>
      </c>
      <c r="G44" s="1">
        <v>604</v>
      </c>
      <c r="H44" s="1">
        <v>128</v>
      </c>
      <c r="I44" s="1">
        <v>77760</v>
      </c>
      <c r="J44" s="1">
        <v>77167</v>
      </c>
      <c r="K44" s="1">
        <v>20</v>
      </c>
      <c r="L44" s="1" t="s">
        <v>17</v>
      </c>
      <c r="M44" s="1" t="s">
        <v>11</v>
      </c>
      <c r="N44" s="8" t="s">
        <v>48</v>
      </c>
    </row>
    <row r="45" spans="1:14" x14ac:dyDescent="0.3">
      <c r="A45" s="6" t="s">
        <v>55</v>
      </c>
      <c r="B45" s="1" t="s">
        <v>35</v>
      </c>
      <c r="C45" s="7">
        <v>45589</v>
      </c>
      <c r="D45" s="1" t="s">
        <v>56</v>
      </c>
      <c r="E45" s="1" t="s">
        <v>57</v>
      </c>
      <c r="F45" s="1">
        <v>3888</v>
      </c>
      <c r="G45" s="1">
        <v>604</v>
      </c>
      <c r="H45" s="1">
        <v>128</v>
      </c>
      <c r="I45" s="1">
        <v>77760</v>
      </c>
      <c r="J45" s="1">
        <v>77167</v>
      </c>
      <c r="K45" s="1">
        <v>20</v>
      </c>
      <c r="L45" s="1" t="s">
        <v>17</v>
      </c>
      <c r="M45" s="1" t="s">
        <v>357</v>
      </c>
      <c r="N45" s="8" t="s">
        <v>359</v>
      </c>
    </row>
    <row r="46" spans="1:14" x14ac:dyDescent="0.3">
      <c r="A46" s="6" t="s">
        <v>55</v>
      </c>
      <c r="B46" s="1" t="s">
        <v>35</v>
      </c>
      <c r="C46" s="7">
        <v>45589</v>
      </c>
      <c r="D46" s="1" t="s">
        <v>56</v>
      </c>
      <c r="E46" s="1" t="s">
        <v>57</v>
      </c>
      <c r="F46" s="1">
        <v>3888</v>
      </c>
      <c r="G46" s="1">
        <v>604</v>
      </c>
      <c r="H46" s="1">
        <v>128</v>
      </c>
      <c r="I46" s="1">
        <v>77760</v>
      </c>
      <c r="J46" s="1">
        <v>77167</v>
      </c>
      <c r="K46" s="1">
        <v>20</v>
      </c>
      <c r="L46" s="1" t="s">
        <v>17</v>
      </c>
      <c r="M46" s="1" t="s">
        <v>358</v>
      </c>
      <c r="N46" s="8" t="s">
        <v>359</v>
      </c>
    </row>
    <row r="47" spans="1:14" x14ac:dyDescent="0.3">
      <c r="A47" s="6" t="s">
        <v>58</v>
      </c>
      <c r="B47" s="1" t="s">
        <v>35</v>
      </c>
      <c r="C47" s="7">
        <v>45530</v>
      </c>
      <c r="D47" s="1" t="s">
        <v>19</v>
      </c>
      <c r="E47" s="1" t="s">
        <v>44</v>
      </c>
      <c r="F47" s="1">
        <v>3452</v>
      </c>
      <c r="G47" s="1">
        <v>377</v>
      </c>
      <c r="H47" s="1">
        <v>360</v>
      </c>
      <c r="I47" s="1">
        <v>55232</v>
      </c>
      <c r="J47" s="1">
        <v>55075</v>
      </c>
      <c r="K47" s="1">
        <v>87</v>
      </c>
      <c r="L47" s="1" t="s">
        <v>26</v>
      </c>
      <c r="M47" s="1" t="s">
        <v>11</v>
      </c>
      <c r="N47" s="8" t="s">
        <v>48</v>
      </c>
    </row>
    <row r="48" spans="1:14" x14ac:dyDescent="0.3">
      <c r="A48" s="6" t="s">
        <v>58</v>
      </c>
      <c r="B48" s="1" t="s">
        <v>35</v>
      </c>
      <c r="C48" s="7">
        <v>45530</v>
      </c>
      <c r="D48" s="1" t="s">
        <v>19</v>
      </c>
      <c r="E48" s="1" t="s">
        <v>44</v>
      </c>
      <c r="F48" s="1">
        <v>3452</v>
      </c>
      <c r="G48" s="1">
        <v>377</v>
      </c>
      <c r="H48" s="1">
        <v>360</v>
      </c>
      <c r="I48" s="1">
        <v>55232</v>
      </c>
      <c r="J48" s="1">
        <v>55075</v>
      </c>
      <c r="K48" s="1">
        <v>87</v>
      </c>
      <c r="L48" s="1" t="s">
        <v>26</v>
      </c>
      <c r="M48" s="1" t="s">
        <v>357</v>
      </c>
      <c r="N48" s="8" t="s">
        <v>359</v>
      </c>
    </row>
    <row r="49" spans="1:14" x14ac:dyDescent="0.3">
      <c r="A49" s="6" t="s">
        <v>58</v>
      </c>
      <c r="B49" s="1" t="s">
        <v>35</v>
      </c>
      <c r="C49" s="7">
        <v>45530</v>
      </c>
      <c r="D49" s="1" t="s">
        <v>19</v>
      </c>
      <c r="E49" s="1" t="s">
        <v>44</v>
      </c>
      <c r="F49" s="1">
        <v>3452</v>
      </c>
      <c r="G49" s="1">
        <v>377</v>
      </c>
      <c r="H49" s="1">
        <v>360</v>
      </c>
      <c r="I49" s="1">
        <v>55232</v>
      </c>
      <c r="J49" s="1">
        <v>55075</v>
      </c>
      <c r="K49" s="1">
        <v>87</v>
      </c>
      <c r="L49" s="1" t="s">
        <v>26</v>
      </c>
      <c r="M49" s="1" t="s">
        <v>358</v>
      </c>
      <c r="N49" s="8" t="s">
        <v>359</v>
      </c>
    </row>
    <row r="50" spans="1:14" x14ac:dyDescent="0.3">
      <c r="A50" s="6" t="s">
        <v>59</v>
      </c>
      <c r="B50" s="1" t="s">
        <v>35</v>
      </c>
      <c r="C50" s="7">
        <v>45782</v>
      </c>
      <c r="D50" s="1" t="s">
        <v>19</v>
      </c>
      <c r="E50" s="1" t="s">
        <v>44</v>
      </c>
      <c r="F50" s="1">
        <v>4441</v>
      </c>
      <c r="G50" s="1">
        <v>511</v>
      </c>
      <c r="H50" s="1">
        <v>70</v>
      </c>
      <c r="I50" s="1">
        <v>53292</v>
      </c>
      <c r="J50" s="1">
        <v>53082</v>
      </c>
      <c r="K50" s="1">
        <v>159</v>
      </c>
      <c r="L50" s="1" t="s">
        <v>32</v>
      </c>
      <c r="M50" s="1" t="s">
        <v>11</v>
      </c>
      <c r="N50" s="8" t="s">
        <v>31</v>
      </c>
    </row>
    <row r="51" spans="1:14" x14ac:dyDescent="0.3">
      <c r="A51" s="6" t="s">
        <v>59</v>
      </c>
      <c r="B51" s="1" t="s">
        <v>35</v>
      </c>
      <c r="C51" s="7">
        <v>45782</v>
      </c>
      <c r="D51" s="1" t="s">
        <v>19</v>
      </c>
      <c r="E51" s="1" t="s">
        <v>44</v>
      </c>
      <c r="F51" s="1">
        <v>4441</v>
      </c>
      <c r="G51" s="1">
        <v>511</v>
      </c>
      <c r="H51" s="1">
        <v>70</v>
      </c>
      <c r="I51" s="1">
        <v>53292</v>
      </c>
      <c r="J51" s="1">
        <v>53082</v>
      </c>
      <c r="K51" s="1">
        <v>159</v>
      </c>
      <c r="L51" s="1" t="s">
        <v>32</v>
      </c>
      <c r="M51" s="1" t="s">
        <v>357</v>
      </c>
      <c r="N51" s="8" t="s">
        <v>359</v>
      </c>
    </row>
    <row r="52" spans="1:14" x14ac:dyDescent="0.3">
      <c r="A52" s="6" t="s">
        <v>59</v>
      </c>
      <c r="B52" s="1" t="s">
        <v>35</v>
      </c>
      <c r="C52" s="7">
        <v>45782</v>
      </c>
      <c r="D52" s="1" t="s">
        <v>19</v>
      </c>
      <c r="E52" s="1" t="s">
        <v>44</v>
      </c>
      <c r="F52" s="1">
        <v>4441</v>
      </c>
      <c r="G52" s="1">
        <v>511</v>
      </c>
      <c r="H52" s="1">
        <v>70</v>
      </c>
      <c r="I52" s="1">
        <v>53292</v>
      </c>
      <c r="J52" s="1">
        <v>53082</v>
      </c>
      <c r="K52" s="1">
        <v>159</v>
      </c>
      <c r="L52" s="1" t="s">
        <v>32</v>
      </c>
      <c r="M52" s="1" t="s">
        <v>358</v>
      </c>
      <c r="N52" s="8" t="s">
        <v>359</v>
      </c>
    </row>
    <row r="53" spans="1:14" x14ac:dyDescent="0.3">
      <c r="A53" s="6" t="s">
        <v>60</v>
      </c>
      <c r="B53" s="1" t="s">
        <v>28</v>
      </c>
      <c r="C53" s="7">
        <v>45523</v>
      </c>
      <c r="D53" s="1" t="s">
        <v>15</v>
      </c>
      <c r="E53" s="1" t="s">
        <v>61</v>
      </c>
      <c r="F53" s="1">
        <v>3000</v>
      </c>
      <c r="G53" s="1">
        <v>382</v>
      </c>
      <c r="H53" s="1">
        <v>325</v>
      </c>
      <c r="I53" s="1">
        <v>36000</v>
      </c>
      <c r="J53" s="1">
        <v>35819</v>
      </c>
      <c r="K53" s="1">
        <v>19</v>
      </c>
      <c r="L53" s="1" t="s">
        <v>17</v>
      </c>
      <c r="M53" s="1" t="s">
        <v>11</v>
      </c>
      <c r="N53" s="8" t="s">
        <v>48</v>
      </c>
    </row>
    <row r="54" spans="1:14" x14ac:dyDescent="0.3">
      <c r="A54" s="6" t="s">
        <v>60</v>
      </c>
      <c r="B54" s="1" t="s">
        <v>28</v>
      </c>
      <c r="C54" s="7">
        <v>45523</v>
      </c>
      <c r="D54" s="1" t="s">
        <v>15</v>
      </c>
      <c r="E54" s="1" t="s">
        <v>61</v>
      </c>
      <c r="F54" s="1">
        <v>3000</v>
      </c>
      <c r="G54" s="1">
        <v>382</v>
      </c>
      <c r="H54" s="1">
        <v>325</v>
      </c>
      <c r="I54" s="1">
        <v>36000</v>
      </c>
      <c r="J54" s="1">
        <v>35819</v>
      </c>
      <c r="K54" s="1">
        <v>19</v>
      </c>
      <c r="L54" s="1" t="s">
        <v>17</v>
      </c>
      <c r="M54" s="1" t="s">
        <v>357</v>
      </c>
      <c r="N54" s="8" t="s">
        <v>359</v>
      </c>
    </row>
    <row r="55" spans="1:14" x14ac:dyDescent="0.3">
      <c r="A55" s="6" t="s">
        <v>60</v>
      </c>
      <c r="B55" s="1" t="s">
        <v>28</v>
      </c>
      <c r="C55" s="7">
        <v>45523</v>
      </c>
      <c r="D55" s="1" t="s">
        <v>15</v>
      </c>
      <c r="E55" s="1" t="s">
        <v>61</v>
      </c>
      <c r="F55" s="1">
        <v>3000</v>
      </c>
      <c r="G55" s="1">
        <v>382</v>
      </c>
      <c r="H55" s="1">
        <v>325</v>
      </c>
      <c r="I55" s="1">
        <v>36000</v>
      </c>
      <c r="J55" s="1">
        <v>35819</v>
      </c>
      <c r="K55" s="1">
        <v>19</v>
      </c>
      <c r="L55" s="1" t="s">
        <v>17</v>
      </c>
      <c r="M55" s="1" t="s">
        <v>358</v>
      </c>
      <c r="N55" s="8" t="s">
        <v>359</v>
      </c>
    </row>
    <row r="56" spans="1:14" x14ac:dyDescent="0.3">
      <c r="A56" s="6" t="s">
        <v>62</v>
      </c>
      <c r="B56" s="1" t="s">
        <v>28</v>
      </c>
      <c r="C56" s="7">
        <v>45466</v>
      </c>
      <c r="D56" s="1" t="s">
        <v>56</v>
      </c>
      <c r="E56" s="1" t="s">
        <v>63</v>
      </c>
      <c r="F56" s="1">
        <v>1071</v>
      </c>
      <c r="G56" s="1">
        <v>519</v>
      </c>
      <c r="H56" s="1">
        <v>22</v>
      </c>
      <c r="I56" s="1">
        <v>16065</v>
      </c>
      <c r="J56" s="1">
        <v>15865</v>
      </c>
      <c r="K56" s="1">
        <v>103</v>
      </c>
      <c r="L56" s="1" t="s">
        <v>32</v>
      </c>
      <c r="M56" s="1" t="s">
        <v>11</v>
      </c>
      <c r="N56" s="8" t="s">
        <v>25</v>
      </c>
    </row>
    <row r="57" spans="1:14" x14ac:dyDescent="0.3">
      <c r="A57" s="6" t="s">
        <v>62</v>
      </c>
      <c r="B57" s="1" t="s">
        <v>28</v>
      </c>
      <c r="C57" s="7">
        <v>45466</v>
      </c>
      <c r="D57" s="1" t="s">
        <v>56</v>
      </c>
      <c r="E57" s="1" t="s">
        <v>63</v>
      </c>
      <c r="F57" s="1">
        <v>1071</v>
      </c>
      <c r="G57" s="1">
        <v>519</v>
      </c>
      <c r="H57" s="1">
        <v>22</v>
      </c>
      <c r="I57" s="1">
        <v>16065</v>
      </c>
      <c r="J57" s="1">
        <v>15865</v>
      </c>
      <c r="K57" s="1">
        <v>103</v>
      </c>
      <c r="L57" s="1" t="s">
        <v>32</v>
      </c>
      <c r="M57" s="1" t="s">
        <v>357</v>
      </c>
      <c r="N57" s="8" t="s">
        <v>359</v>
      </c>
    </row>
    <row r="58" spans="1:14" x14ac:dyDescent="0.3">
      <c r="A58" s="6" t="s">
        <v>62</v>
      </c>
      <c r="B58" s="1" t="s">
        <v>28</v>
      </c>
      <c r="C58" s="7">
        <v>45466</v>
      </c>
      <c r="D58" s="1" t="s">
        <v>56</v>
      </c>
      <c r="E58" s="1" t="s">
        <v>63</v>
      </c>
      <c r="F58" s="1">
        <v>1071</v>
      </c>
      <c r="G58" s="1">
        <v>519</v>
      </c>
      <c r="H58" s="1">
        <v>22</v>
      </c>
      <c r="I58" s="1">
        <v>16065</v>
      </c>
      <c r="J58" s="1">
        <v>15865</v>
      </c>
      <c r="K58" s="1">
        <v>103</v>
      </c>
      <c r="L58" s="1" t="s">
        <v>32</v>
      </c>
      <c r="M58" s="1" t="s">
        <v>358</v>
      </c>
      <c r="N58" s="8" t="s">
        <v>359</v>
      </c>
    </row>
    <row r="59" spans="1:14" x14ac:dyDescent="0.3">
      <c r="A59" s="6" t="s">
        <v>64</v>
      </c>
      <c r="B59" s="1" t="s">
        <v>28</v>
      </c>
      <c r="C59" s="7">
        <v>45544</v>
      </c>
      <c r="D59" s="1" t="s">
        <v>36</v>
      </c>
      <c r="E59" s="1" t="s">
        <v>65</v>
      </c>
      <c r="F59" s="1">
        <v>4054</v>
      </c>
      <c r="G59" s="1">
        <v>488</v>
      </c>
      <c r="H59" s="1">
        <v>373</v>
      </c>
      <c r="I59" s="1">
        <v>77026</v>
      </c>
      <c r="J59" s="1">
        <v>76881</v>
      </c>
      <c r="K59" s="1">
        <v>25</v>
      </c>
      <c r="L59" s="1" t="s">
        <v>17</v>
      </c>
      <c r="M59" s="1" t="s">
        <v>11</v>
      </c>
      <c r="N59" s="8" t="s">
        <v>25</v>
      </c>
    </row>
    <row r="60" spans="1:14" x14ac:dyDescent="0.3">
      <c r="A60" s="6" t="s">
        <v>64</v>
      </c>
      <c r="B60" s="1" t="s">
        <v>28</v>
      </c>
      <c r="C60" s="7">
        <v>45544</v>
      </c>
      <c r="D60" s="1" t="s">
        <v>36</v>
      </c>
      <c r="E60" s="1" t="s">
        <v>65</v>
      </c>
      <c r="F60" s="1">
        <v>4054</v>
      </c>
      <c r="G60" s="1">
        <v>488</v>
      </c>
      <c r="H60" s="1">
        <v>373</v>
      </c>
      <c r="I60" s="1">
        <v>77026</v>
      </c>
      <c r="J60" s="1">
        <v>76881</v>
      </c>
      <c r="K60" s="1">
        <v>25</v>
      </c>
      <c r="L60" s="1" t="s">
        <v>17</v>
      </c>
      <c r="M60" s="1" t="s">
        <v>357</v>
      </c>
      <c r="N60" s="8" t="s">
        <v>359</v>
      </c>
    </row>
    <row r="61" spans="1:14" x14ac:dyDescent="0.3">
      <c r="A61" s="6" t="s">
        <v>64</v>
      </c>
      <c r="B61" s="1" t="s">
        <v>28</v>
      </c>
      <c r="C61" s="7">
        <v>45544</v>
      </c>
      <c r="D61" s="1" t="s">
        <v>36</v>
      </c>
      <c r="E61" s="1" t="s">
        <v>65</v>
      </c>
      <c r="F61" s="1">
        <v>4054</v>
      </c>
      <c r="G61" s="1">
        <v>488</v>
      </c>
      <c r="H61" s="1">
        <v>373</v>
      </c>
      <c r="I61" s="1">
        <v>77026</v>
      </c>
      <c r="J61" s="1">
        <v>76881</v>
      </c>
      <c r="K61" s="1">
        <v>25</v>
      </c>
      <c r="L61" s="1" t="s">
        <v>17</v>
      </c>
      <c r="M61" s="1" t="s">
        <v>358</v>
      </c>
      <c r="N61" s="8" t="s">
        <v>359</v>
      </c>
    </row>
    <row r="62" spans="1:14" x14ac:dyDescent="0.3">
      <c r="A62" s="6" t="s">
        <v>66</v>
      </c>
      <c r="B62" s="1" t="s">
        <v>28</v>
      </c>
      <c r="C62" s="7">
        <v>45661</v>
      </c>
      <c r="D62" s="1" t="s">
        <v>15</v>
      </c>
      <c r="E62" s="1" t="s">
        <v>61</v>
      </c>
      <c r="F62" s="1">
        <v>4838</v>
      </c>
      <c r="G62" s="1">
        <v>640</v>
      </c>
      <c r="H62" s="1">
        <v>128</v>
      </c>
      <c r="I62" s="1">
        <v>72570</v>
      </c>
      <c r="J62" s="1">
        <v>72396</v>
      </c>
      <c r="K62" s="1">
        <v>83</v>
      </c>
      <c r="L62" s="1" t="s">
        <v>32</v>
      </c>
      <c r="M62" s="1" t="s">
        <v>11</v>
      </c>
      <c r="N62" s="8" t="s">
        <v>48</v>
      </c>
    </row>
    <row r="63" spans="1:14" x14ac:dyDescent="0.3">
      <c r="A63" s="6" t="s">
        <v>66</v>
      </c>
      <c r="B63" s="1" t="s">
        <v>28</v>
      </c>
      <c r="C63" s="7">
        <v>45661</v>
      </c>
      <c r="D63" s="1" t="s">
        <v>15</v>
      </c>
      <c r="E63" s="1" t="s">
        <v>61</v>
      </c>
      <c r="F63" s="1">
        <v>4838</v>
      </c>
      <c r="G63" s="1">
        <v>640</v>
      </c>
      <c r="H63" s="1">
        <v>128</v>
      </c>
      <c r="I63" s="1">
        <v>72570</v>
      </c>
      <c r="J63" s="1">
        <v>72396</v>
      </c>
      <c r="K63" s="1">
        <v>83</v>
      </c>
      <c r="L63" s="1" t="s">
        <v>32</v>
      </c>
      <c r="M63" s="1" t="s">
        <v>357</v>
      </c>
      <c r="N63" s="8" t="s">
        <v>359</v>
      </c>
    </row>
    <row r="64" spans="1:14" x14ac:dyDescent="0.3">
      <c r="A64" s="6" t="s">
        <v>66</v>
      </c>
      <c r="B64" s="1" t="s">
        <v>28</v>
      </c>
      <c r="C64" s="7">
        <v>45661</v>
      </c>
      <c r="D64" s="1" t="s">
        <v>15</v>
      </c>
      <c r="E64" s="1" t="s">
        <v>61</v>
      </c>
      <c r="F64" s="1">
        <v>4838</v>
      </c>
      <c r="G64" s="1">
        <v>640</v>
      </c>
      <c r="H64" s="1">
        <v>128</v>
      </c>
      <c r="I64" s="1">
        <v>72570</v>
      </c>
      <c r="J64" s="1">
        <v>72396</v>
      </c>
      <c r="K64" s="1">
        <v>83</v>
      </c>
      <c r="L64" s="1" t="s">
        <v>32</v>
      </c>
      <c r="M64" s="1" t="s">
        <v>358</v>
      </c>
      <c r="N64" s="8" t="s">
        <v>359</v>
      </c>
    </row>
    <row r="65" spans="1:14" x14ac:dyDescent="0.3">
      <c r="A65" s="6" t="s">
        <v>67</v>
      </c>
      <c r="B65" s="1" t="s">
        <v>35</v>
      </c>
      <c r="C65" s="7">
        <v>45715</v>
      </c>
      <c r="D65" s="1" t="s">
        <v>19</v>
      </c>
      <c r="E65" s="1" t="s">
        <v>44</v>
      </c>
      <c r="F65" s="1">
        <v>1570</v>
      </c>
      <c r="G65" s="1">
        <v>187</v>
      </c>
      <c r="H65" s="1">
        <v>260</v>
      </c>
      <c r="I65" s="1">
        <v>25120</v>
      </c>
      <c r="J65" s="1">
        <v>24613</v>
      </c>
      <c r="K65" s="1">
        <v>133</v>
      </c>
      <c r="L65" s="1" t="s">
        <v>32</v>
      </c>
      <c r="M65" s="1" t="s">
        <v>11</v>
      </c>
      <c r="N65" s="8" t="s">
        <v>25</v>
      </c>
    </row>
    <row r="66" spans="1:14" x14ac:dyDescent="0.3">
      <c r="A66" s="6" t="s">
        <v>67</v>
      </c>
      <c r="B66" s="1" t="s">
        <v>35</v>
      </c>
      <c r="C66" s="7">
        <v>45715</v>
      </c>
      <c r="D66" s="1" t="s">
        <v>19</v>
      </c>
      <c r="E66" s="1" t="s">
        <v>44</v>
      </c>
      <c r="F66" s="1">
        <v>1570</v>
      </c>
      <c r="G66" s="1">
        <v>187</v>
      </c>
      <c r="H66" s="1">
        <v>260</v>
      </c>
      <c r="I66" s="1">
        <v>25120</v>
      </c>
      <c r="J66" s="1">
        <v>24613</v>
      </c>
      <c r="K66" s="1">
        <v>133</v>
      </c>
      <c r="L66" s="1" t="s">
        <v>32</v>
      </c>
      <c r="M66" s="1" t="s">
        <v>357</v>
      </c>
      <c r="N66" s="8" t="s">
        <v>359</v>
      </c>
    </row>
    <row r="67" spans="1:14" x14ac:dyDescent="0.3">
      <c r="A67" s="6" t="s">
        <v>67</v>
      </c>
      <c r="B67" s="1" t="s">
        <v>35</v>
      </c>
      <c r="C67" s="7">
        <v>45715</v>
      </c>
      <c r="D67" s="1" t="s">
        <v>19</v>
      </c>
      <c r="E67" s="1" t="s">
        <v>44</v>
      </c>
      <c r="F67" s="1">
        <v>1570</v>
      </c>
      <c r="G67" s="1">
        <v>187</v>
      </c>
      <c r="H67" s="1">
        <v>260</v>
      </c>
      <c r="I67" s="1">
        <v>25120</v>
      </c>
      <c r="J67" s="1">
        <v>24613</v>
      </c>
      <c r="K67" s="1">
        <v>133</v>
      </c>
      <c r="L67" s="1" t="s">
        <v>32</v>
      </c>
      <c r="M67" s="1" t="s">
        <v>358</v>
      </c>
      <c r="N67" s="8" t="s">
        <v>359</v>
      </c>
    </row>
    <row r="68" spans="1:14" x14ac:dyDescent="0.3">
      <c r="A68" s="6" t="s">
        <v>68</v>
      </c>
      <c r="B68" s="1" t="s">
        <v>35</v>
      </c>
      <c r="C68" s="7">
        <v>45602</v>
      </c>
      <c r="D68" s="1" t="s">
        <v>56</v>
      </c>
      <c r="E68" s="1" t="s">
        <v>57</v>
      </c>
      <c r="F68" s="1">
        <v>1606</v>
      </c>
      <c r="G68" s="1">
        <v>547</v>
      </c>
      <c r="H68" s="1">
        <v>316</v>
      </c>
      <c r="I68" s="1">
        <v>32120</v>
      </c>
      <c r="J68" s="1">
        <v>31736</v>
      </c>
      <c r="K68" s="1">
        <v>225</v>
      </c>
      <c r="L68" s="1" t="s">
        <v>21</v>
      </c>
      <c r="M68" s="1" t="s">
        <v>11</v>
      </c>
      <c r="N68" s="8" t="s">
        <v>25</v>
      </c>
    </row>
    <row r="69" spans="1:14" x14ac:dyDescent="0.3">
      <c r="A69" s="6" t="s">
        <v>68</v>
      </c>
      <c r="B69" s="1" t="s">
        <v>35</v>
      </c>
      <c r="C69" s="7">
        <v>45602</v>
      </c>
      <c r="D69" s="1" t="s">
        <v>56</v>
      </c>
      <c r="E69" s="1" t="s">
        <v>57</v>
      </c>
      <c r="F69" s="1">
        <v>1606</v>
      </c>
      <c r="G69" s="1">
        <v>547</v>
      </c>
      <c r="H69" s="1">
        <v>316</v>
      </c>
      <c r="I69" s="1">
        <v>32120</v>
      </c>
      <c r="J69" s="1">
        <v>31736</v>
      </c>
      <c r="K69" s="1">
        <v>225</v>
      </c>
      <c r="L69" s="1" t="s">
        <v>21</v>
      </c>
      <c r="M69" s="1" t="s">
        <v>357</v>
      </c>
      <c r="N69" s="8" t="s">
        <v>354</v>
      </c>
    </row>
    <row r="70" spans="1:14" x14ac:dyDescent="0.3">
      <c r="A70" s="6" t="s">
        <v>68</v>
      </c>
      <c r="B70" s="1" t="s">
        <v>35</v>
      </c>
      <c r="C70" s="7">
        <v>45602</v>
      </c>
      <c r="D70" s="1" t="s">
        <v>56</v>
      </c>
      <c r="E70" s="1" t="s">
        <v>57</v>
      </c>
      <c r="F70" s="1">
        <v>1606</v>
      </c>
      <c r="G70" s="1">
        <v>547</v>
      </c>
      <c r="H70" s="1">
        <v>316</v>
      </c>
      <c r="I70" s="1">
        <v>32120</v>
      </c>
      <c r="J70" s="1">
        <v>31736</v>
      </c>
      <c r="K70" s="1">
        <v>225</v>
      </c>
      <c r="L70" s="1" t="s">
        <v>21</v>
      </c>
      <c r="M70" s="1" t="s">
        <v>358</v>
      </c>
      <c r="N70" s="8" t="s">
        <v>359</v>
      </c>
    </row>
    <row r="71" spans="1:14" x14ac:dyDescent="0.3">
      <c r="A71" s="6" t="s">
        <v>69</v>
      </c>
      <c r="B71" s="1" t="s">
        <v>35</v>
      </c>
      <c r="C71" s="7">
        <v>45680</v>
      </c>
      <c r="D71" s="1" t="s">
        <v>56</v>
      </c>
      <c r="E71" s="1" t="s">
        <v>57</v>
      </c>
      <c r="F71" s="1">
        <v>3961</v>
      </c>
      <c r="G71" s="1">
        <v>761</v>
      </c>
      <c r="H71" s="1">
        <v>131</v>
      </c>
      <c r="I71" s="1">
        <v>67337</v>
      </c>
      <c r="J71" s="1">
        <v>66615</v>
      </c>
      <c r="K71" s="1">
        <v>161</v>
      </c>
      <c r="L71" s="1" t="s">
        <v>26</v>
      </c>
      <c r="M71" s="1" t="s">
        <v>11</v>
      </c>
      <c r="N71" s="8" t="s">
        <v>48</v>
      </c>
    </row>
    <row r="72" spans="1:14" x14ac:dyDescent="0.3">
      <c r="A72" s="6" t="s">
        <v>69</v>
      </c>
      <c r="B72" s="1" t="s">
        <v>35</v>
      </c>
      <c r="C72" s="7">
        <v>45680</v>
      </c>
      <c r="D72" s="1" t="s">
        <v>56</v>
      </c>
      <c r="E72" s="1" t="s">
        <v>57</v>
      </c>
      <c r="F72" s="1">
        <v>3961</v>
      </c>
      <c r="G72" s="1">
        <v>761</v>
      </c>
      <c r="H72" s="1">
        <v>131</v>
      </c>
      <c r="I72" s="1">
        <v>67337</v>
      </c>
      <c r="J72" s="1">
        <v>66615</v>
      </c>
      <c r="K72" s="1">
        <v>161</v>
      </c>
      <c r="L72" s="1" t="s">
        <v>26</v>
      </c>
      <c r="M72" s="1" t="s">
        <v>357</v>
      </c>
      <c r="N72" s="8" t="s">
        <v>359</v>
      </c>
    </row>
    <row r="73" spans="1:14" x14ac:dyDescent="0.3">
      <c r="A73" s="6" t="s">
        <v>69</v>
      </c>
      <c r="B73" s="1" t="s">
        <v>35</v>
      </c>
      <c r="C73" s="7">
        <v>45680</v>
      </c>
      <c r="D73" s="1" t="s">
        <v>56</v>
      </c>
      <c r="E73" s="1" t="s">
        <v>57</v>
      </c>
      <c r="F73" s="1">
        <v>3961</v>
      </c>
      <c r="G73" s="1">
        <v>761</v>
      </c>
      <c r="H73" s="1">
        <v>131</v>
      </c>
      <c r="I73" s="1">
        <v>67337</v>
      </c>
      <c r="J73" s="1">
        <v>66615</v>
      </c>
      <c r="K73" s="1">
        <v>161</v>
      </c>
      <c r="L73" s="1" t="s">
        <v>26</v>
      </c>
      <c r="M73" s="1" t="s">
        <v>358</v>
      </c>
      <c r="N73" s="8" t="s">
        <v>359</v>
      </c>
    </row>
    <row r="74" spans="1:14" x14ac:dyDescent="0.3">
      <c r="A74" s="6" t="s">
        <v>70</v>
      </c>
      <c r="B74" s="1" t="s">
        <v>14</v>
      </c>
      <c r="C74" s="7">
        <v>45757</v>
      </c>
      <c r="D74" s="1" t="s">
        <v>36</v>
      </c>
      <c r="E74" s="1" t="s">
        <v>39</v>
      </c>
      <c r="F74" s="1">
        <v>3128</v>
      </c>
      <c r="G74" s="1">
        <v>211</v>
      </c>
      <c r="H74" s="1">
        <v>197</v>
      </c>
      <c r="I74" s="1">
        <v>59432</v>
      </c>
      <c r="J74" s="1">
        <v>59182</v>
      </c>
      <c r="K74" s="1">
        <v>238</v>
      </c>
      <c r="L74" s="1" t="s">
        <v>360</v>
      </c>
      <c r="M74" s="1" t="s">
        <v>11</v>
      </c>
      <c r="N74" s="8" t="s">
        <v>31</v>
      </c>
    </row>
    <row r="75" spans="1:14" x14ac:dyDescent="0.3">
      <c r="A75" s="6" t="s">
        <v>70</v>
      </c>
      <c r="B75" s="1" t="s">
        <v>14</v>
      </c>
      <c r="C75" s="7">
        <v>45757</v>
      </c>
      <c r="D75" s="1" t="s">
        <v>36</v>
      </c>
      <c r="E75" s="1" t="s">
        <v>39</v>
      </c>
      <c r="F75" s="1">
        <v>3128</v>
      </c>
      <c r="G75" s="1">
        <v>211</v>
      </c>
      <c r="H75" s="1">
        <v>197</v>
      </c>
      <c r="I75" s="1">
        <v>59432</v>
      </c>
      <c r="J75" s="1">
        <v>59182</v>
      </c>
      <c r="K75" s="1">
        <v>238</v>
      </c>
      <c r="L75" s="1" t="s">
        <v>360</v>
      </c>
      <c r="M75" s="1" t="s">
        <v>357</v>
      </c>
      <c r="N75" s="8" t="s">
        <v>359</v>
      </c>
    </row>
    <row r="76" spans="1:14" x14ac:dyDescent="0.3">
      <c r="A76" s="6" t="s">
        <v>70</v>
      </c>
      <c r="B76" s="1" t="s">
        <v>14</v>
      </c>
      <c r="C76" s="7">
        <v>45757</v>
      </c>
      <c r="D76" s="1" t="s">
        <v>36</v>
      </c>
      <c r="E76" s="1" t="s">
        <v>39</v>
      </c>
      <c r="F76" s="1">
        <v>3128</v>
      </c>
      <c r="G76" s="1">
        <v>211</v>
      </c>
      <c r="H76" s="1">
        <v>197</v>
      </c>
      <c r="I76" s="1">
        <v>59432</v>
      </c>
      <c r="J76" s="1">
        <v>59182</v>
      </c>
      <c r="K76" s="1">
        <v>238</v>
      </c>
      <c r="L76" s="1" t="s">
        <v>360</v>
      </c>
      <c r="M76" s="1" t="s">
        <v>358</v>
      </c>
      <c r="N76" s="8" t="s">
        <v>359</v>
      </c>
    </row>
    <row r="77" spans="1:14" x14ac:dyDescent="0.3">
      <c r="A77" s="6" t="s">
        <v>71</v>
      </c>
      <c r="B77" s="1" t="s">
        <v>23</v>
      </c>
      <c r="C77" s="7">
        <v>45752</v>
      </c>
      <c r="D77" s="1" t="s">
        <v>15</v>
      </c>
      <c r="E77" s="1" t="s">
        <v>24</v>
      </c>
      <c r="F77" s="1">
        <v>3009</v>
      </c>
      <c r="G77" s="1">
        <v>413</v>
      </c>
      <c r="H77" s="1">
        <v>358</v>
      </c>
      <c r="I77" s="1">
        <v>42126</v>
      </c>
      <c r="J77" s="1">
        <v>41309</v>
      </c>
      <c r="K77" s="1">
        <v>211</v>
      </c>
      <c r="L77" s="1" t="s">
        <v>21</v>
      </c>
      <c r="M77" s="1" t="s">
        <v>11</v>
      </c>
      <c r="N77" s="8" t="s">
        <v>48</v>
      </c>
    </row>
    <row r="78" spans="1:14" x14ac:dyDescent="0.3">
      <c r="A78" s="6" t="s">
        <v>71</v>
      </c>
      <c r="B78" s="1" t="s">
        <v>23</v>
      </c>
      <c r="C78" s="7">
        <v>45752</v>
      </c>
      <c r="D78" s="1" t="s">
        <v>15</v>
      </c>
      <c r="E78" s="1" t="s">
        <v>24</v>
      </c>
      <c r="F78" s="1">
        <v>3009</v>
      </c>
      <c r="G78" s="1">
        <v>413</v>
      </c>
      <c r="H78" s="1">
        <v>358</v>
      </c>
      <c r="I78" s="1">
        <v>42126</v>
      </c>
      <c r="J78" s="1">
        <v>41309</v>
      </c>
      <c r="K78" s="1">
        <v>211</v>
      </c>
      <c r="L78" s="1" t="s">
        <v>21</v>
      </c>
      <c r="M78" s="1" t="s">
        <v>357</v>
      </c>
      <c r="N78" s="8" t="s">
        <v>359</v>
      </c>
    </row>
    <row r="79" spans="1:14" x14ac:dyDescent="0.3">
      <c r="A79" s="6" t="s">
        <v>71</v>
      </c>
      <c r="B79" s="1" t="s">
        <v>23</v>
      </c>
      <c r="C79" s="7">
        <v>45752</v>
      </c>
      <c r="D79" s="1" t="s">
        <v>15</v>
      </c>
      <c r="E79" s="1" t="s">
        <v>24</v>
      </c>
      <c r="F79" s="1">
        <v>3009</v>
      </c>
      <c r="G79" s="1">
        <v>413</v>
      </c>
      <c r="H79" s="1">
        <v>358</v>
      </c>
      <c r="I79" s="1">
        <v>42126</v>
      </c>
      <c r="J79" s="1">
        <v>41309</v>
      </c>
      <c r="K79" s="1">
        <v>211</v>
      </c>
      <c r="L79" s="1" t="s">
        <v>21</v>
      </c>
      <c r="M79" s="1" t="s">
        <v>358</v>
      </c>
      <c r="N79" s="8" t="s">
        <v>359</v>
      </c>
    </row>
    <row r="80" spans="1:14" x14ac:dyDescent="0.3">
      <c r="A80" s="6" t="s">
        <v>72</v>
      </c>
      <c r="B80" s="1" t="s">
        <v>23</v>
      </c>
      <c r="C80" s="7">
        <v>45552</v>
      </c>
      <c r="D80" s="1" t="s">
        <v>19</v>
      </c>
      <c r="E80" s="1" t="s">
        <v>73</v>
      </c>
      <c r="F80" s="1">
        <v>2076</v>
      </c>
      <c r="G80" s="1">
        <v>195</v>
      </c>
      <c r="H80" s="1">
        <v>104</v>
      </c>
      <c r="I80" s="1">
        <v>33216</v>
      </c>
      <c r="J80" s="1">
        <v>32244</v>
      </c>
      <c r="K80" s="1">
        <v>51</v>
      </c>
      <c r="L80" s="1" t="s">
        <v>32</v>
      </c>
      <c r="M80" s="1" t="s">
        <v>11</v>
      </c>
      <c r="N80" s="8" t="s">
        <v>48</v>
      </c>
    </row>
    <row r="81" spans="1:14" x14ac:dyDescent="0.3">
      <c r="A81" s="6" t="s">
        <v>72</v>
      </c>
      <c r="B81" s="1" t="s">
        <v>23</v>
      </c>
      <c r="C81" s="7">
        <v>45552</v>
      </c>
      <c r="D81" s="1" t="s">
        <v>19</v>
      </c>
      <c r="E81" s="1" t="s">
        <v>73</v>
      </c>
      <c r="F81" s="1">
        <v>2076</v>
      </c>
      <c r="G81" s="1">
        <v>195</v>
      </c>
      <c r="H81" s="1">
        <v>104</v>
      </c>
      <c r="I81" s="1">
        <v>33216</v>
      </c>
      <c r="J81" s="1">
        <v>32244</v>
      </c>
      <c r="K81" s="1">
        <v>51</v>
      </c>
      <c r="L81" s="1" t="s">
        <v>32</v>
      </c>
      <c r="M81" s="1" t="s">
        <v>357</v>
      </c>
      <c r="N81" s="8" t="s">
        <v>359</v>
      </c>
    </row>
    <row r="82" spans="1:14" x14ac:dyDescent="0.3">
      <c r="A82" s="6" t="s">
        <v>72</v>
      </c>
      <c r="B82" s="1" t="s">
        <v>23</v>
      </c>
      <c r="C82" s="7">
        <v>45552</v>
      </c>
      <c r="D82" s="1" t="s">
        <v>19</v>
      </c>
      <c r="E82" s="1" t="s">
        <v>73</v>
      </c>
      <c r="F82" s="1">
        <v>2076</v>
      </c>
      <c r="G82" s="1">
        <v>195</v>
      </c>
      <c r="H82" s="1">
        <v>104</v>
      </c>
      <c r="I82" s="1">
        <v>33216</v>
      </c>
      <c r="J82" s="1">
        <v>32244</v>
      </c>
      <c r="K82" s="1">
        <v>51</v>
      </c>
      <c r="L82" s="1" t="s">
        <v>32</v>
      </c>
      <c r="M82" s="1" t="s">
        <v>358</v>
      </c>
      <c r="N82" s="8" t="s">
        <v>359</v>
      </c>
    </row>
    <row r="83" spans="1:14" x14ac:dyDescent="0.3">
      <c r="A83" s="6" t="s">
        <v>74</v>
      </c>
      <c r="B83" s="1" t="s">
        <v>28</v>
      </c>
      <c r="C83" s="7">
        <v>45720</v>
      </c>
      <c r="D83" s="1" t="s">
        <v>56</v>
      </c>
      <c r="E83" s="1" t="s">
        <v>63</v>
      </c>
      <c r="F83" s="1">
        <v>432</v>
      </c>
      <c r="G83" s="1">
        <v>624</v>
      </c>
      <c r="H83" s="1">
        <v>123</v>
      </c>
      <c r="I83" s="1">
        <v>6912</v>
      </c>
      <c r="J83" s="1">
        <v>6259</v>
      </c>
      <c r="K83" s="1">
        <v>79</v>
      </c>
      <c r="L83" s="1" t="s">
        <v>32</v>
      </c>
      <c r="M83" s="1" t="s">
        <v>11</v>
      </c>
      <c r="N83" s="8" t="s">
        <v>48</v>
      </c>
    </row>
    <row r="84" spans="1:14" x14ac:dyDescent="0.3">
      <c r="A84" s="6" t="s">
        <v>74</v>
      </c>
      <c r="B84" s="1" t="s">
        <v>28</v>
      </c>
      <c r="C84" s="7">
        <v>45720</v>
      </c>
      <c r="D84" s="1" t="s">
        <v>56</v>
      </c>
      <c r="E84" s="1" t="s">
        <v>63</v>
      </c>
      <c r="F84" s="1">
        <v>432</v>
      </c>
      <c r="G84" s="1">
        <v>624</v>
      </c>
      <c r="H84" s="1">
        <v>123</v>
      </c>
      <c r="I84" s="1">
        <v>6912</v>
      </c>
      <c r="J84" s="1">
        <v>6259</v>
      </c>
      <c r="K84" s="1">
        <v>79</v>
      </c>
      <c r="L84" s="1" t="s">
        <v>32</v>
      </c>
      <c r="M84" s="1" t="s">
        <v>357</v>
      </c>
      <c r="N84" s="8" t="s">
        <v>359</v>
      </c>
    </row>
    <row r="85" spans="1:14" x14ac:dyDescent="0.3">
      <c r="A85" s="6" t="s">
        <v>74</v>
      </c>
      <c r="B85" s="1" t="s">
        <v>28</v>
      </c>
      <c r="C85" s="7">
        <v>45720</v>
      </c>
      <c r="D85" s="1" t="s">
        <v>56</v>
      </c>
      <c r="E85" s="1" t="s">
        <v>63</v>
      </c>
      <c r="F85" s="1">
        <v>432</v>
      </c>
      <c r="G85" s="1">
        <v>624</v>
      </c>
      <c r="H85" s="1">
        <v>123</v>
      </c>
      <c r="I85" s="1">
        <v>6912</v>
      </c>
      <c r="J85" s="1">
        <v>6259</v>
      </c>
      <c r="K85" s="1">
        <v>79</v>
      </c>
      <c r="L85" s="1" t="s">
        <v>32</v>
      </c>
      <c r="M85" s="1" t="s">
        <v>358</v>
      </c>
      <c r="N85" s="8" t="s">
        <v>359</v>
      </c>
    </row>
    <row r="86" spans="1:14" x14ac:dyDescent="0.3">
      <c r="A86" s="6" t="s">
        <v>75</v>
      </c>
      <c r="B86" s="1" t="s">
        <v>28</v>
      </c>
      <c r="C86" s="7">
        <v>45688</v>
      </c>
      <c r="D86" s="1" t="s">
        <v>36</v>
      </c>
      <c r="E86" s="1" t="s">
        <v>65</v>
      </c>
      <c r="F86" s="1">
        <v>2566</v>
      </c>
      <c r="G86" s="1">
        <v>118</v>
      </c>
      <c r="H86" s="1">
        <v>37</v>
      </c>
      <c r="I86" s="1">
        <v>12830</v>
      </c>
      <c r="J86" s="1">
        <v>12264</v>
      </c>
      <c r="K86" s="1">
        <v>221</v>
      </c>
      <c r="L86" s="1" t="s">
        <v>26</v>
      </c>
      <c r="M86" s="1" t="s">
        <v>11</v>
      </c>
      <c r="N86" s="8" t="s">
        <v>48</v>
      </c>
    </row>
    <row r="87" spans="1:14" x14ac:dyDescent="0.3">
      <c r="A87" s="6" t="s">
        <v>75</v>
      </c>
      <c r="B87" s="1" t="s">
        <v>28</v>
      </c>
      <c r="C87" s="7">
        <v>45688</v>
      </c>
      <c r="D87" s="1" t="s">
        <v>36</v>
      </c>
      <c r="E87" s="1" t="s">
        <v>65</v>
      </c>
      <c r="F87" s="1">
        <v>2566</v>
      </c>
      <c r="G87" s="1">
        <v>118</v>
      </c>
      <c r="H87" s="1">
        <v>37</v>
      </c>
      <c r="I87" s="1">
        <v>12830</v>
      </c>
      <c r="J87" s="1">
        <v>12264</v>
      </c>
      <c r="K87" s="1">
        <v>221</v>
      </c>
      <c r="L87" s="1" t="s">
        <v>26</v>
      </c>
      <c r="M87" s="1" t="s">
        <v>357</v>
      </c>
      <c r="N87" s="8" t="s">
        <v>359</v>
      </c>
    </row>
    <row r="88" spans="1:14" x14ac:dyDescent="0.3">
      <c r="A88" s="6" t="s">
        <v>75</v>
      </c>
      <c r="B88" s="1" t="s">
        <v>28</v>
      </c>
      <c r="C88" s="7">
        <v>45688</v>
      </c>
      <c r="D88" s="1" t="s">
        <v>36</v>
      </c>
      <c r="E88" s="1" t="s">
        <v>65</v>
      </c>
      <c r="F88" s="1">
        <v>2566</v>
      </c>
      <c r="G88" s="1">
        <v>118</v>
      </c>
      <c r="H88" s="1">
        <v>37</v>
      </c>
      <c r="I88" s="1">
        <v>12830</v>
      </c>
      <c r="J88" s="1">
        <v>12264</v>
      </c>
      <c r="K88" s="1">
        <v>221</v>
      </c>
      <c r="L88" s="1" t="s">
        <v>26</v>
      </c>
      <c r="M88" s="1" t="s">
        <v>358</v>
      </c>
      <c r="N88" s="8" t="s">
        <v>359</v>
      </c>
    </row>
    <row r="89" spans="1:14" x14ac:dyDescent="0.3">
      <c r="A89" s="6" t="s">
        <v>76</v>
      </c>
      <c r="B89" s="1" t="s">
        <v>28</v>
      </c>
      <c r="C89" s="7">
        <v>45713</v>
      </c>
      <c r="D89" s="1" t="s">
        <v>56</v>
      </c>
      <c r="E89" s="1" t="s">
        <v>63</v>
      </c>
      <c r="F89" s="1">
        <v>3095</v>
      </c>
      <c r="G89" s="1">
        <v>39</v>
      </c>
      <c r="H89" s="1">
        <v>78</v>
      </c>
      <c r="I89" s="1">
        <v>55710</v>
      </c>
      <c r="J89" s="1">
        <v>54808</v>
      </c>
      <c r="K89" s="1">
        <v>93</v>
      </c>
      <c r="L89" s="1" t="s">
        <v>360</v>
      </c>
      <c r="M89" s="1" t="s">
        <v>11</v>
      </c>
      <c r="N89" s="8" t="s">
        <v>31</v>
      </c>
    </row>
    <row r="90" spans="1:14" x14ac:dyDescent="0.3">
      <c r="A90" s="6" t="s">
        <v>76</v>
      </c>
      <c r="B90" s="1" t="s">
        <v>28</v>
      </c>
      <c r="C90" s="7">
        <v>45713</v>
      </c>
      <c r="D90" s="1" t="s">
        <v>56</v>
      </c>
      <c r="E90" s="1" t="s">
        <v>63</v>
      </c>
      <c r="F90" s="1">
        <v>3095</v>
      </c>
      <c r="G90" s="1">
        <v>39</v>
      </c>
      <c r="H90" s="1">
        <v>78</v>
      </c>
      <c r="I90" s="1">
        <v>55710</v>
      </c>
      <c r="J90" s="1">
        <v>54808</v>
      </c>
      <c r="K90" s="1">
        <v>93</v>
      </c>
      <c r="L90" s="1" t="s">
        <v>360</v>
      </c>
      <c r="M90" s="1" t="s">
        <v>357</v>
      </c>
      <c r="N90" s="8" t="s">
        <v>359</v>
      </c>
    </row>
    <row r="91" spans="1:14" x14ac:dyDescent="0.3">
      <c r="A91" s="6" t="s">
        <v>76</v>
      </c>
      <c r="B91" s="1" t="s">
        <v>28</v>
      </c>
      <c r="C91" s="7">
        <v>45713</v>
      </c>
      <c r="D91" s="1" t="s">
        <v>56</v>
      </c>
      <c r="E91" s="1" t="s">
        <v>63</v>
      </c>
      <c r="F91" s="1">
        <v>3095</v>
      </c>
      <c r="G91" s="1">
        <v>39</v>
      </c>
      <c r="H91" s="1">
        <v>78</v>
      </c>
      <c r="I91" s="1">
        <v>55710</v>
      </c>
      <c r="J91" s="1">
        <v>54808</v>
      </c>
      <c r="K91" s="1">
        <v>93</v>
      </c>
      <c r="L91" s="1" t="s">
        <v>360</v>
      </c>
      <c r="M91" s="1" t="s">
        <v>358</v>
      </c>
      <c r="N91" s="8" t="s">
        <v>359</v>
      </c>
    </row>
    <row r="92" spans="1:14" x14ac:dyDescent="0.3">
      <c r="A92" s="6" t="s">
        <v>77</v>
      </c>
      <c r="B92" s="1" t="s">
        <v>28</v>
      </c>
      <c r="C92" s="7">
        <v>45642</v>
      </c>
      <c r="D92" s="1" t="s">
        <v>19</v>
      </c>
      <c r="E92" s="1" t="s">
        <v>78</v>
      </c>
      <c r="F92" s="1">
        <v>438</v>
      </c>
      <c r="G92" s="1">
        <v>153</v>
      </c>
      <c r="H92" s="1">
        <v>275</v>
      </c>
      <c r="I92" s="1">
        <v>3066</v>
      </c>
      <c r="J92" s="1">
        <v>2701</v>
      </c>
      <c r="K92" s="1">
        <v>282</v>
      </c>
      <c r="L92" s="1" t="s">
        <v>21</v>
      </c>
      <c r="M92" s="1" t="s">
        <v>11</v>
      </c>
      <c r="N92" s="8" t="s">
        <v>25</v>
      </c>
    </row>
    <row r="93" spans="1:14" x14ac:dyDescent="0.3">
      <c r="A93" s="6" t="s">
        <v>77</v>
      </c>
      <c r="B93" s="1" t="s">
        <v>28</v>
      </c>
      <c r="C93" s="7">
        <v>45642</v>
      </c>
      <c r="D93" s="1" t="s">
        <v>19</v>
      </c>
      <c r="E93" s="1" t="s">
        <v>78</v>
      </c>
      <c r="F93" s="1">
        <v>438</v>
      </c>
      <c r="G93" s="1">
        <v>153</v>
      </c>
      <c r="H93" s="1">
        <v>275</v>
      </c>
      <c r="I93" s="1">
        <v>3066</v>
      </c>
      <c r="J93" s="1">
        <v>2701</v>
      </c>
      <c r="K93" s="1">
        <v>282</v>
      </c>
      <c r="L93" s="1" t="s">
        <v>21</v>
      </c>
      <c r="M93" s="1" t="s">
        <v>357</v>
      </c>
      <c r="N93" s="8" t="s">
        <v>359</v>
      </c>
    </row>
    <row r="94" spans="1:14" x14ac:dyDescent="0.3">
      <c r="A94" s="6" t="s">
        <v>77</v>
      </c>
      <c r="B94" s="1" t="s">
        <v>28</v>
      </c>
      <c r="C94" s="7">
        <v>45642</v>
      </c>
      <c r="D94" s="1" t="s">
        <v>19</v>
      </c>
      <c r="E94" s="1" t="s">
        <v>78</v>
      </c>
      <c r="F94" s="1">
        <v>438</v>
      </c>
      <c r="G94" s="1">
        <v>153</v>
      </c>
      <c r="H94" s="1">
        <v>275</v>
      </c>
      <c r="I94" s="1">
        <v>3066</v>
      </c>
      <c r="J94" s="1">
        <v>2701</v>
      </c>
      <c r="K94" s="1">
        <v>282</v>
      </c>
      <c r="L94" s="1" t="s">
        <v>21</v>
      </c>
      <c r="M94" s="1" t="s">
        <v>358</v>
      </c>
      <c r="N94" s="8" t="s">
        <v>359</v>
      </c>
    </row>
    <row r="95" spans="1:14" x14ac:dyDescent="0.3">
      <c r="A95" s="6" t="s">
        <v>79</v>
      </c>
      <c r="B95" s="1" t="s">
        <v>14</v>
      </c>
      <c r="C95" s="7">
        <v>45504</v>
      </c>
      <c r="D95" s="1" t="s">
        <v>36</v>
      </c>
      <c r="E95" s="1" t="s">
        <v>39</v>
      </c>
      <c r="F95" s="1">
        <v>2278</v>
      </c>
      <c r="G95" s="1">
        <v>10</v>
      </c>
      <c r="H95" s="1">
        <v>321</v>
      </c>
      <c r="I95" s="1">
        <v>13668</v>
      </c>
      <c r="J95" s="1">
        <v>12676</v>
      </c>
      <c r="K95" s="1">
        <v>275</v>
      </c>
      <c r="L95" s="1" t="s">
        <v>17</v>
      </c>
      <c r="M95" s="1" t="s">
        <v>11</v>
      </c>
      <c r="N95" s="8" t="s">
        <v>31</v>
      </c>
    </row>
    <row r="96" spans="1:14" x14ac:dyDescent="0.3">
      <c r="A96" s="6" t="s">
        <v>79</v>
      </c>
      <c r="B96" s="1" t="s">
        <v>14</v>
      </c>
      <c r="C96" s="7">
        <v>45504</v>
      </c>
      <c r="D96" s="1" t="s">
        <v>36</v>
      </c>
      <c r="E96" s="1" t="s">
        <v>39</v>
      </c>
      <c r="F96" s="1">
        <v>2278</v>
      </c>
      <c r="G96" s="1">
        <v>10</v>
      </c>
      <c r="H96" s="1">
        <v>321</v>
      </c>
      <c r="I96" s="1">
        <v>13668</v>
      </c>
      <c r="J96" s="1">
        <v>12676</v>
      </c>
      <c r="K96" s="1">
        <v>275</v>
      </c>
      <c r="L96" s="1" t="s">
        <v>17</v>
      </c>
      <c r="M96" s="1" t="s">
        <v>357</v>
      </c>
      <c r="N96" s="8" t="s">
        <v>359</v>
      </c>
    </row>
    <row r="97" spans="1:14" x14ac:dyDescent="0.3">
      <c r="A97" s="6" t="s">
        <v>79</v>
      </c>
      <c r="B97" s="1" t="s">
        <v>14</v>
      </c>
      <c r="C97" s="7">
        <v>45504</v>
      </c>
      <c r="D97" s="1" t="s">
        <v>36</v>
      </c>
      <c r="E97" s="1" t="s">
        <v>39</v>
      </c>
      <c r="F97" s="1">
        <v>2278</v>
      </c>
      <c r="G97" s="1">
        <v>10</v>
      </c>
      <c r="H97" s="1">
        <v>321</v>
      </c>
      <c r="I97" s="1">
        <v>13668</v>
      </c>
      <c r="J97" s="1">
        <v>12676</v>
      </c>
      <c r="K97" s="1">
        <v>275</v>
      </c>
      <c r="L97" s="1" t="s">
        <v>17</v>
      </c>
      <c r="M97" s="1" t="s">
        <v>358</v>
      </c>
      <c r="N97" s="8" t="s">
        <v>359</v>
      </c>
    </row>
    <row r="98" spans="1:14" x14ac:dyDescent="0.3">
      <c r="A98" s="6" t="s">
        <v>80</v>
      </c>
      <c r="B98" s="1" t="s">
        <v>35</v>
      </c>
      <c r="C98" s="7">
        <v>45525</v>
      </c>
      <c r="D98" s="1" t="s">
        <v>41</v>
      </c>
      <c r="E98" s="1" t="s">
        <v>46</v>
      </c>
      <c r="F98" s="1">
        <v>1407</v>
      </c>
      <c r="G98" s="1">
        <v>400</v>
      </c>
      <c r="H98" s="1">
        <v>351</v>
      </c>
      <c r="I98" s="1">
        <v>16884</v>
      </c>
      <c r="J98" s="1">
        <v>15954</v>
      </c>
      <c r="K98" s="1">
        <v>113</v>
      </c>
      <c r="L98" s="1" t="s">
        <v>17</v>
      </c>
      <c r="M98" s="1" t="s">
        <v>11</v>
      </c>
      <c r="N98" s="8" t="s">
        <v>25</v>
      </c>
    </row>
    <row r="99" spans="1:14" x14ac:dyDescent="0.3">
      <c r="A99" s="6" t="s">
        <v>80</v>
      </c>
      <c r="B99" s="1" t="s">
        <v>35</v>
      </c>
      <c r="C99" s="7">
        <v>45525</v>
      </c>
      <c r="D99" s="1" t="s">
        <v>41</v>
      </c>
      <c r="E99" s="1" t="s">
        <v>46</v>
      </c>
      <c r="F99" s="1">
        <v>1407</v>
      </c>
      <c r="G99" s="1">
        <v>400</v>
      </c>
      <c r="H99" s="1">
        <v>351</v>
      </c>
      <c r="I99" s="1">
        <v>16884</v>
      </c>
      <c r="J99" s="1">
        <v>15954</v>
      </c>
      <c r="K99" s="1">
        <v>113</v>
      </c>
      <c r="L99" s="1" t="s">
        <v>17</v>
      </c>
      <c r="M99" s="1" t="s">
        <v>357</v>
      </c>
      <c r="N99" s="8" t="s">
        <v>359</v>
      </c>
    </row>
    <row r="100" spans="1:14" x14ac:dyDescent="0.3">
      <c r="A100" s="6" t="s">
        <v>80</v>
      </c>
      <c r="B100" s="1" t="s">
        <v>35</v>
      </c>
      <c r="C100" s="7">
        <v>45525</v>
      </c>
      <c r="D100" s="1" t="s">
        <v>41</v>
      </c>
      <c r="E100" s="1" t="s">
        <v>46</v>
      </c>
      <c r="F100" s="1">
        <v>1407</v>
      </c>
      <c r="G100" s="1">
        <v>400</v>
      </c>
      <c r="H100" s="1">
        <v>351</v>
      </c>
      <c r="I100" s="1">
        <v>16884</v>
      </c>
      <c r="J100" s="1">
        <v>15954</v>
      </c>
      <c r="K100" s="1">
        <v>113</v>
      </c>
      <c r="L100" s="1" t="s">
        <v>17</v>
      </c>
      <c r="M100" s="1" t="s">
        <v>358</v>
      </c>
      <c r="N100" s="8" t="s">
        <v>359</v>
      </c>
    </row>
    <row r="101" spans="1:14" x14ac:dyDescent="0.3">
      <c r="A101" s="6" t="s">
        <v>81</v>
      </c>
      <c r="B101" s="1" t="s">
        <v>35</v>
      </c>
      <c r="C101" s="7">
        <v>45742</v>
      </c>
      <c r="D101" s="1" t="s">
        <v>19</v>
      </c>
      <c r="E101" s="1" t="s">
        <v>44</v>
      </c>
      <c r="F101" s="1">
        <v>1652</v>
      </c>
      <c r="G101" s="1">
        <v>89</v>
      </c>
      <c r="H101" s="1">
        <v>357</v>
      </c>
      <c r="I101" s="1">
        <v>29736</v>
      </c>
      <c r="J101" s="1">
        <v>28771</v>
      </c>
      <c r="K101" s="1">
        <v>215</v>
      </c>
      <c r="L101" s="1" t="s">
        <v>26</v>
      </c>
      <c r="M101" s="1" t="s">
        <v>11</v>
      </c>
      <c r="N101" s="8" t="s">
        <v>25</v>
      </c>
    </row>
    <row r="102" spans="1:14" x14ac:dyDescent="0.3">
      <c r="A102" s="6" t="s">
        <v>81</v>
      </c>
      <c r="B102" s="1" t="s">
        <v>35</v>
      </c>
      <c r="C102" s="7">
        <v>45742</v>
      </c>
      <c r="D102" s="1" t="s">
        <v>19</v>
      </c>
      <c r="E102" s="1" t="s">
        <v>44</v>
      </c>
      <c r="F102" s="1">
        <v>1652</v>
      </c>
      <c r="G102" s="1">
        <v>89</v>
      </c>
      <c r="H102" s="1">
        <v>357</v>
      </c>
      <c r="I102" s="1">
        <v>29736</v>
      </c>
      <c r="J102" s="1">
        <v>28771</v>
      </c>
      <c r="K102" s="1">
        <v>215</v>
      </c>
      <c r="L102" s="1" t="s">
        <v>26</v>
      </c>
      <c r="M102" s="1" t="s">
        <v>357</v>
      </c>
      <c r="N102" s="8" t="s">
        <v>359</v>
      </c>
    </row>
    <row r="103" spans="1:14" x14ac:dyDescent="0.3">
      <c r="A103" s="6" t="s">
        <v>81</v>
      </c>
      <c r="B103" s="1" t="s">
        <v>35</v>
      </c>
      <c r="C103" s="7">
        <v>45742</v>
      </c>
      <c r="D103" s="1" t="s">
        <v>19</v>
      </c>
      <c r="E103" s="1" t="s">
        <v>44</v>
      </c>
      <c r="F103" s="1">
        <v>1652</v>
      </c>
      <c r="G103" s="1">
        <v>89</v>
      </c>
      <c r="H103" s="1">
        <v>357</v>
      </c>
      <c r="I103" s="1">
        <v>29736</v>
      </c>
      <c r="J103" s="1">
        <v>28771</v>
      </c>
      <c r="K103" s="1">
        <v>215</v>
      </c>
      <c r="L103" s="1" t="s">
        <v>26</v>
      </c>
      <c r="M103" s="1" t="s">
        <v>358</v>
      </c>
      <c r="N103" s="8" t="s">
        <v>359</v>
      </c>
    </row>
    <row r="104" spans="1:14" x14ac:dyDescent="0.3">
      <c r="A104" s="6" t="s">
        <v>82</v>
      </c>
      <c r="B104" s="1" t="s">
        <v>28</v>
      </c>
      <c r="C104" s="7">
        <v>45626</v>
      </c>
      <c r="D104" s="1" t="s">
        <v>56</v>
      </c>
      <c r="E104" s="1" t="s">
        <v>63</v>
      </c>
      <c r="F104" s="1">
        <v>3775</v>
      </c>
      <c r="G104" s="1">
        <v>16</v>
      </c>
      <c r="H104" s="1">
        <v>239</v>
      </c>
      <c r="I104" s="1">
        <v>33975</v>
      </c>
      <c r="J104" s="1">
        <v>33310</v>
      </c>
      <c r="K104" s="1">
        <v>271</v>
      </c>
      <c r="L104" s="1" t="s">
        <v>21</v>
      </c>
      <c r="M104" s="1" t="s">
        <v>11</v>
      </c>
      <c r="N104" s="8" t="s">
        <v>48</v>
      </c>
    </row>
    <row r="105" spans="1:14" x14ac:dyDescent="0.3">
      <c r="A105" s="6" t="s">
        <v>82</v>
      </c>
      <c r="B105" s="1" t="s">
        <v>28</v>
      </c>
      <c r="C105" s="7">
        <v>45626</v>
      </c>
      <c r="D105" s="1" t="s">
        <v>56</v>
      </c>
      <c r="E105" s="1" t="s">
        <v>63</v>
      </c>
      <c r="F105" s="1">
        <v>3775</v>
      </c>
      <c r="G105" s="1">
        <v>16</v>
      </c>
      <c r="H105" s="1">
        <v>239</v>
      </c>
      <c r="I105" s="1">
        <v>33975</v>
      </c>
      <c r="J105" s="1">
        <v>33310</v>
      </c>
      <c r="K105" s="1">
        <v>271</v>
      </c>
      <c r="L105" s="1" t="s">
        <v>21</v>
      </c>
      <c r="M105" s="1" t="s">
        <v>357</v>
      </c>
      <c r="N105" s="8" t="s">
        <v>359</v>
      </c>
    </row>
    <row r="106" spans="1:14" x14ac:dyDescent="0.3">
      <c r="A106" s="6" t="s">
        <v>82</v>
      </c>
      <c r="B106" s="1" t="s">
        <v>28</v>
      </c>
      <c r="C106" s="7">
        <v>45626</v>
      </c>
      <c r="D106" s="1" t="s">
        <v>56</v>
      </c>
      <c r="E106" s="1" t="s">
        <v>63</v>
      </c>
      <c r="F106" s="1">
        <v>3775</v>
      </c>
      <c r="G106" s="1">
        <v>16</v>
      </c>
      <c r="H106" s="1">
        <v>239</v>
      </c>
      <c r="I106" s="1">
        <v>33975</v>
      </c>
      <c r="J106" s="1">
        <v>33310</v>
      </c>
      <c r="K106" s="1">
        <v>271</v>
      </c>
      <c r="L106" s="1" t="s">
        <v>21</v>
      </c>
      <c r="M106" s="1" t="s">
        <v>358</v>
      </c>
      <c r="N106" s="8" t="s">
        <v>359</v>
      </c>
    </row>
    <row r="107" spans="1:14" x14ac:dyDescent="0.3">
      <c r="A107" s="6" t="s">
        <v>83</v>
      </c>
      <c r="B107" s="1" t="s">
        <v>28</v>
      </c>
      <c r="C107" s="7">
        <v>45766</v>
      </c>
      <c r="D107" s="1" t="s">
        <v>29</v>
      </c>
      <c r="E107" s="1" t="s">
        <v>30</v>
      </c>
      <c r="F107" s="1">
        <v>4518</v>
      </c>
      <c r="G107" s="1">
        <v>285</v>
      </c>
      <c r="H107" s="1">
        <v>383</v>
      </c>
      <c r="I107" s="1">
        <v>67770</v>
      </c>
      <c r="J107" s="1">
        <v>67621</v>
      </c>
      <c r="K107" s="1">
        <v>31</v>
      </c>
      <c r="L107" s="1" t="s">
        <v>21</v>
      </c>
      <c r="M107" s="1" t="s">
        <v>11</v>
      </c>
      <c r="N107" s="8" t="s">
        <v>31</v>
      </c>
    </row>
    <row r="108" spans="1:14" x14ac:dyDescent="0.3">
      <c r="A108" s="6" t="s">
        <v>83</v>
      </c>
      <c r="B108" s="1" t="s">
        <v>28</v>
      </c>
      <c r="C108" s="7">
        <v>45766</v>
      </c>
      <c r="D108" s="1" t="s">
        <v>29</v>
      </c>
      <c r="E108" s="1" t="s">
        <v>30</v>
      </c>
      <c r="F108" s="1">
        <v>4518</v>
      </c>
      <c r="G108" s="1">
        <v>285</v>
      </c>
      <c r="H108" s="1">
        <v>383</v>
      </c>
      <c r="I108" s="1">
        <v>67770</v>
      </c>
      <c r="J108" s="1">
        <v>67621</v>
      </c>
      <c r="K108" s="1">
        <v>31</v>
      </c>
      <c r="L108" s="1" t="s">
        <v>21</v>
      </c>
      <c r="M108" s="1" t="s">
        <v>357</v>
      </c>
      <c r="N108" s="8" t="s">
        <v>359</v>
      </c>
    </row>
    <row r="109" spans="1:14" x14ac:dyDescent="0.3">
      <c r="A109" s="6" t="s">
        <v>83</v>
      </c>
      <c r="B109" s="1" t="s">
        <v>28</v>
      </c>
      <c r="C109" s="7">
        <v>45766</v>
      </c>
      <c r="D109" s="1" t="s">
        <v>29</v>
      </c>
      <c r="E109" s="1" t="s">
        <v>30</v>
      </c>
      <c r="F109" s="1">
        <v>4518</v>
      </c>
      <c r="G109" s="1">
        <v>285</v>
      </c>
      <c r="H109" s="1">
        <v>383</v>
      </c>
      <c r="I109" s="1">
        <v>67770</v>
      </c>
      <c r="J109" s="1">
        <v>67621</v>
      </c>
      <c r="K109" s="1">
        <v>31</v>
      </c>
      <c r="L109" s="1" t="s">
        <v>21</v>
      </c>
      <c r="M109" s="1" t="s">
        <v>358</v>
      </c>
      <c r="N109" s="8" t="s">
        <v>359</v>
      </c>
    </row>
    <row r="110" spans="1:14" x14ac:dyDescent="0.3">
      <c r="A110" s="6" t="s">
        <v>84</v>
      </c>
      <c r="B110" s="1" t="s">
        <v>35</v>
      </c>
      <c r="C110" s="7">
        <v>45663</v>
      </c>
      <c r="D110" s="1" t="s">
        <v>36</v>
      </c>
      <c r="E110" s="1" t="s">
        <v>37</v>
      </c>
      <c r="F110" s="1">
        <v>3024</v>
      </c>
      <c r="G110" s="1">
        <v>925</v>
      </c>
      <c r="H110" s="1">
        <v>350</v>
      </c>
      <c r="I110" s="1">
        <v>24192</v>
      </c>
      <c r="J110" s="1">
        <v>23518</v>
      </c>
      <c r="K110" s="1">
        <v>36</v>
      </c>
      <c r="L110" s="1" t="s">
        <v>21</v>
      </c>
      <c r="M110" s="1" t="s">
        <v>11</v>
      </c>
      <c r="N110" s="8" t="s">
        <v>31</v>
      </c>
    </row>
    <row r="111" spans="1:14" x14ac:dyDescent="0.3">
      <c r="A111" s="6" t="s">
        <v>84</v>
      </c>
      <c r="B111" s="1" t="s">
        <v>35</v>
      </c>
      <c r="C111" s="7">
        <v>45663</v>
      </c>
      <c r="D111" s="1" t="s">
        <v>36</v>
      </c>
      <c r="E111" s="1" t="s">
        <v>37</v>
      </c>
      <c r="F111" s="1">
        <v>3024</v>
      </c>
      <c r="G111" s="1">
        <v>925</v>
      </c>
      <c r="H111" s="1">
        <v>350</v>
      </c>
      <c r="I111" s="1">
        <v>24192</v>
      </c>
      <c r="J111" s="1">
        <v>23518</v>
      </c>
      <c r="K111" s="1">
        <v>36</v>
      </c>
      <c r="L111" s="1" t="s">
        <v>21</v>
      </c>
      <c r="M111" s="1" t="s">
        <v>357</v>
      </c>
      <c r="N111" s="8" t="s">
        <v>359</v>
      </c>
    </row>
    <row r="112" spans="1:14" x14ac:dyDescent="0.3">
      <c r="A112" s="6" t="s">
        <v>84</v>
      </c>
      <c r="B112" s="1" t="s">
        <v>35</v>
      </c>
      <c r="C112" s="7">
        <v>45663</v>
      </c>
      <c r="D112" s="1" t="s">
        <v>36</v>
      </c>
      <c r="E112" s="1" t="s">
        <v>37</v>
      </c>
      <c r="F112" s="1">
        <v>3024</v>
      </c>
      <c r="G112" s="1">
        <v>925</v>
      </c>
      <c r="H112" s="1">
        <v>350</v>
      </c>
      <c r="I112" s="1">
        <v>24192</v>
      </c>
      <c r="J112" s="1">
        <v>23518</v>
      </c>
      <c r="K112" s="1">
        <v>36</v>
      </c>
      <c r="L112" s="1" t="s">
        <v>21</v>
      </c>
      <c r="M112" s="1" t="s">
        <v>358</v>
      </c>
      <c r="N112" s="8" t="s">
        <v>359</v>
      </c>
    </row>
    <row r="113" spans="1:14" x14ac:dyDescent="0.3">
      <c r="A113" s="6" t="s">
        <v>85</v>
      </c>
      <c r="B113" s="1" t="s">
        <v>23</v>
      </c>
      <c r="C113" s="7">
        <v>45705</v>
      </c>
      <c r="D113" s="1" t="s">
        <v>15</v>
      </c>
      <c r="E113" s="1" t="s">
        <v>24</v>
      </c>
      <c r="F113" s="1">
        <v>3138</v>
      </c>
      <c r="G113" s="1">
        <v>123</v>
      </c>
      <c r="H113" s="1">
        <v>291</v>
      </c>
      <c r="I113" s="1">
        <v>28242</v>
      </c>
      <c r="J113" s="1">
        <v>27550</v>
      </c>
      <c r="K113" s="1">
        <v>87</v>
      </c>
      <c r="L113" s="1" t="s">
        <v>32</v>
      </c>
      <c r="M113" s="1" t="s">
        <v>11</v>
      </c>
      <c r="N113" s="8" t="s">
        <v>25</v>
      </c>
    </row>
    <row r="114" spans="1:14" x14ac:dyDescent="0.3">
      <c r="A114" s="6" t="s">
        <v>85</v>
      </c>
      <c r="B114" s="1" t="s">
        <v>23</v>
      </c>
      <c r="C114" s="7">
        <v>45705</v>
      </c>
      <c r="D114" s="1" t="s">
        <v>15</v>
      </c>
      <c r="E114" s="1" t="s">
        <v>24</v>
      </c>
      <c r="F114" s="1">
        <v>3138</v>
      </c>
      <c r="G114" s="1">
        <v>123</v>
      </c>
      <c r="H114" s="1">
        <v>291</v>
      </c>
      <c r="I114" s="1">
        <v>28242</v>
      </c>
      <c r="J114" s="1">
        <v>27550</v>
      </c>
      <c r="K114" s="1">
        <v>87</v>
      </c>
      <c r="L114" s="1" t="s">
        <v>32</v>
      </c>
      <c r="M114" s="1" t="s">
        <v>357</v>
      </c>
      <c r="N114" s="8" t="s">
        <v>359</v>
      </c>
    </row>
    <row r="115" spans="1:14" x14ac:dyDescent="0.3">
      <c r="A115" s="6" t="s">
        <v>85</v>
      </c>
      <c r="B115" s="1" t="s">
        <v>23</v>
      </c>
      <c r="C115" s="7">
        <v>45705</v>
      </c>
      <c r="D115" s="1" t="s">
        <v>15</v>
      </c>
      <c r="E115" s="1" t="s">
        <v>24</v>
      </c>
      <c r="F115" s="1">
        <v>3138</v>
      </c>
      <c r="G115" s="1">
        <v>123</v>
      </c>
      <c r="H115" s="1">
        <v>291</v>
      </c>
      <c r="I115" s="1">
        <v>28242</v>
      </c>
      <c r="J115" s="1">
        <v>27550</v>
      </c>
      <c r="K115" s="1">
        <v>87</v>
      </c>
      <c r="L115" s="1" t="s">
        <v>32</v>
      </c>
      <c r="M115" s="1" t="s">
        <v>358</v>
      </c>
      <c r="N115" s="8" t="s">
        <v>359</v>
      </c>
    </row>
    <row r="116" spans="1:14" x14ac:dyDescent="0.3">
      <c r="A116" s="6" t="s">
        <v>86</v>
      </c>
      <c r="B116" s="1" t="s">
        <v>35</v>
      </c>
      <c r="C116" s="7">
        <v>45621</v>
      </c>
      <c r="D116" s="1" t="s">
        <v>41</v>
      </c>
      <c r="E116" s="1" t="s">
        <v>46</v>
      </c>
      <c r="F116" s="1">
        <v>3564</v>
      </c>
      <c r="G116" s="1">
        <v>629</v>
      </c>
      <c r="H116" s="1">
        <v>177</v>
      </c>
      <c r="I116" s="1">
        <v>60588</v>
      </c>
      <c r="J116" s="1">
        <v>59627</v>
      </c>
      <c r="K116" s="1">
        <v>92</v>
      </c>
      <c r="L116" s="1" t="s">
        <v>360</v>
      </c>
      <c r="M116" s="1" t="s">
        <v>11</v>
      </c>
      <c r="N116" s="8" t="s">
        <v>25</v>
      </c>
    </row>
    <row r="117" spans="1:14" x14ac:dyDescent="0.3">
      <c r="A117" s="6" t="s">
        <v>86</v>
      </c>
      <c r="B117" s="1" t="s">
        <v>35</v>
      </c>
      <c r="C117" s="7">
        <v>45621</v>
      </c>
      <c r="D117" s="1" t="s">
        <v>41</v>
      </c>
      <c r="E117" s="1" t="s">
        <v>46</v>
      </c>
      <c r="F117" s="1">
        <v>3564</v>
      </c>
      <c r="G117" s="1">
        <v>629</v>
      </c>
      <c r="H117" s="1">
        <v>177</v>
      </c>
      <c r="I117" s="1">
        <v>60588</v>
      </c>
      <c r="J117" s="1">
        <v>59627</v>
      </c>
      <c r="K117" s="1">
        <v>92</v>
      </c>
      <c r="L117" s="1" t="s">
        <v>360</v>
      </c>
      <c r="M117" s="1" t="s">
        <v>357</v>
      </c>
      <c r="N117" s="8" t="s">
        <v>359</v>
      </c>
    </row>
    <row r="118" spans="1:14" x14ac:dyDescent="0.3">
      <c r="A118" s="6" t="s">
        <v>86</v>
      </c>
      <c r="B118" s="1" t="s">
        <v>35</v>
      </c>
      <c r="C118" s="7">
        <v>45621</v>
      </c>
      <c r="D118" s="1" t="s">
        <v>41</v>
      </c>
      <c r="E118" s="1" t="s">
        <v>46</v>
      </c>
      <c r="F118" s="1">
        <v>3564</v>
      </c>
      <c r="G118" s="1">
        <v>629</v>
      </c>
      <c r="H118" s="1">
        <v>177</v>
      </c>
      <c r="I118" s="1">
        <v>60588</v>
      </c>
      <c r="J118" s="1">
        <v>59627</v>
      </c>
      <c r="K118" s="1">
        <v>92</v>
      </c>
      <c r="L118" s="1" t="s">
        <v>360</v>
      </c>
      <c r="M118" s="1" t="s">
        <v>358</v>
      </c>
      <c r="N118" s="8" t="s">
        <v>359</v>
      </c>
    </row>
    <row r="119" spans="1:14" x14ac:dyDescent="0.3">
      <c r="A119" s="6" t="s">
        <v>87</v>
      </c>
      <c r="B119" s="1" t="s">
        <v>14</v>
      </c>
      <c r="C119" s="7">
        <v>45723</v>
      </c>
      <c r="D119" s="1" t="s">
        <v>41</v>
      </c>
      <c r="E119" s="1" t="s">
        <v>88</v>
      </c>
      <c r="F119" s="1">
        <v>4750</v>
      </c>
      <c r="G119" s="1">
        <v>151</v>
      </c>
      <c r="H119" s="1">
        <v>415</v>
      </c>
      <c r="I119" s="1">
        <v>38000</v>
      </c>
      <c r="J119" s="1">
        <v>37792</v>
      </c>
      <c r="K119" s="1">
        <v>299</v>
      </c>
      <c r="L119" s="1" t="s">
        <v>32</v>
      </c>
      <c r="M119" s="1" t="s">
        <v>11</v>
      </c>
      <c r="N119" s="8" t="s">
        <v>31</v>
      </c>
    </row>
    <row r="120" spans="1:14" x14ac:dyDescent="0.3">
      <c r="A120" s="6" t="s">
        <v>87</v>
      </c>
      <c r="B120" s="1" t="s">
        <v>14</v>
      </c>
      <c r="C120" s="7">
        <v>45723</v>
      </c>
      <c r="D120" s="1" t="s">
        <v>41</v>
      </c>
      <c r="E120" s="1" t="s">
        <v>88</v>
      </c>
      <c r="F120" s="1">
        <v>4750</v>
      </c>
      <c r="G120" s="1">
        <v>151</v>
      </c>
      <c r="H120" s="1">
        <v>415</v>
      </c>
      <c r="I120" s="1">
        <v>38000</v>
      </c>
      <c r="J120" s="1">
        <v>37792</v>
      </c>
      <c r="K120" s="1">
        <v>299</v>
      </c>
      <c r="L120" s="1" t="s">
        <v>32</v>
      </c>
      <c r="M120" s="1" t="s">
        <v>357</v>
      </c>
      <c r="N120" s="8" t="s">
        <v>359</v>
      </c>
    </row>
    <row r="121" spans="1:14" x14ac:dyDescent="0.3">
      <c r="A121" s="6" t="s">
        <v>87</v>
      </c>
      <c r="B121" s="1" t="s">
        <v>14</v>
      </c>
      <c r="C121" s="7">
        <v>45723</v>
      </c>
      <c r="D121" s="1" t="s">
        <v>41</v>
      </c>
      <c r="E121" s="1" t="s">
        <v>88</v>
      </c>
      <c r="F121" s="1">
        <v>4750</v>
      </c>
      <c r="G121" s="1">
        <v>151</v>
      </c>
      <c r="H121" s="1">
        <v>415</v>
      </c>
      <c r="I121" s="1">
        <v>38000</v>
      </c>
      <c r="J121" s="1">
        <v>37792</v>
      </c>
      <c r="K121" s="1">
        <v>299</v>
      </c>
      <c r="L121" s="1" t="s">
        <v>32</v>
      </c>
      <c r="M121" s="1" t="s">
        <v>358</v>
      </c>
      <c r="N121" s="8" t="s">
        <v>359</v>
      </c>
    </row>
    <row r="122" spans="1:14" x14ac:dyDescent="0.3">
      <c r="A122" s="6" t="s">
        <v>89</v>
      </c>
      <c r="B122" s="1" t="s">
        <v>28</v>
      </c>
      <c r="C122" s="7">
        <v>45724</v>
      </c>
      <c r="D122" s="1" t="s">
        <v>15</v>
      </c>
      <c r="E122" s="1" t="s">
        <v>61</v>
      </c>
      <c r="F122" s="1">
        <v>456</v>
      </c>
      <c r="G122" s="1">
        <v>629</v>
      </c>
      <c r="H122" s="1">
        <v>428</v>
      </c>
      <c r="I122" s="1">
        <v>8208</v>
      </c>
      <c r="J122" s="1">
        <v>7377</v>
      </c>
      <c r="K122" s="1">
        <v>205</v>
      </c>
      <c r="L122" s="1" t="s">
        <v>32</v>
      </c>
      <c r="M122" s="1" t="s">
        <v>11</v>
      </c>
      <c r="N122" s="8" t="s">
        <v>48</v>
      </c>
    </row>
    <row r="123" spans="1:14" x14ac:dyDescent="0.3">
      <c r="A123" s="6" t="s">
        <v>89</v>
      </c>
      <c r="B123" s="1" t="s">
        <v>28</v>
      </c>
      <c r="C123" s="7">
        <v>45724</v>
      </c>
      <c r="D123" s="1" t="s">
        <v>15</v>
      </c>
      <c r="E123" s="1" t="s">
        <v>61</v>
      </c>
      <c r="F123" s="1">
        <v>456</v>
      </c>
      <c r="G123" s="1">
        <v>629</v>
      </c>
      <c r="H123" s="1">
        <v>428</v>
      </c>
      <c r="I123" s="1">
        <v>8208</v>
      </c>
      <c r="J123" s="1">
        <v>7377</v>
      </c>
      <c r="K123" s="1">
        <v>205</v>
      </c>
      <c r="L123" s="1" t="s">
        <v>32</v>
      </c>
      <c r="M123" s="1" t="s">
        <v>357</v>
      </c>
      <c r="N123" s="8" t="s">
        <v>359</v>
      </c>
    </row>
    <row r="124" spans="1:14" x14ac:dyDescent="0.3">
      <c r="A124" s="6" t="s">
        <v>89</v>
      </c>
      <c r="B124" s="1" t="s">
        <v>28</v>
      </c>
      <c r="C124" s="7">
        <v>45724</v>
      </c>
      <c r="D124" s="1" t="s">
        <v>15</v>
      </c>
      <c r="E124" s="1" t="s">
        <v>61</v>
      </c>
      <c r="F124" s="1">
        <v>456</v>
      </c>
      <c r="G124" s="1">
        <v>629</v>
      </c>
      <c r="H124" s="1">
        <v>428</v>
      </c>
      <c r="I124" s="1">
        <v>8208</v>
      </c>
      <c r="J124" s="1">
        <v>7377</v>
      </c>
      <c r="K124" s="1">
        <v>205</v>
      </c>
      <c r="L124" s="1" t="s">
        <v>32</v>
      </c>
      <c r="M124" s="1" t="s">
        <v>358</v>
      </c>
      <c r="N124" s="8" t="s">
        <v>359</v>
      </c>
    </row>
    <row r="125" spans="1:14" x14ac:dyDescent="0.3">
      <c r="A125" s="6" t="s">
        <v>90</v>
      </c>
      <c r="B125" s="1" t="s">
        <v>23</v>
      </c>
      <c r="C125" s="7">
        <v>45721</v>
      </c>
      <c r="D125" s="1" t="s">
        <v>15</v>
      </c>
      <c r="E125" s="1" t="s">
        <v>24</v>
      </c>
      <c r="F125" s="1">
        <v>1543</v>
      </c>
      <c r="G125" s="1">
        <v>820</v>
      </c>
      <c r="H125" s="1">
        <v>333</v>
      </c>
      <c r="I125" s="1">
        <v>12344</v>
      </c>
      <c r="J125" s="1">
        <v>11496</v>
      </c>
      <c r="K125" s="1">
        <v>241</v>
      </c>
      <c r="L125" s="1" t="s">
        <v>360</v>
      </c>
      <c r="M125" s="1" t="s">
        <v>11</v>
      </c>
      <c r="N125" s="8" t="s">
        <v>31</v>
      </c>
    </row>
    <row r="126" spans="1:14" x14ac:dyDescent="0.3">
      <c r="A126" s="6" t="s">
        <v>90</v>
      </c>
      <c r="B126" s="1" t="s">
        <v>23</v>
      </c>
      <c r="C126" s="7">
        <v>45721</v>
      </c>
      <c r="D126" s="1" t="s">
        <v>15</v>
      </c>
      <c r="E126" s="1" t="s">
        <v>24</v>
      </c>
      <c r="F126" s="1">
        <v>1543</v>
      </c>
      <c r="G126" s="1">
        <v>820</v>
      </c>
      <c r="H126" s="1">
        <v>333</v>
      </c>
      <c r="I126" s="1">
        <v>12344</v>
      </c>
      <c r="J126" s="1">
        <v>11496</v>
      </c>
      <c r="K126" s="1">
        <v>241</v>
      </c>
      <c r="L126" s="1" t="s">
        <v>360</v>
      </c>
      <c r="M126" s="1" t="s">
        <v>357</v>
      </c>
      <c r="N126" s="8" t="s">
        <v>359</v>
      </c>
    </row>
    <row r="127" spans="1:14" x14ac:dyDescent="0.3">
      <c r="A127" s="6" t="s">
        <v>90</v>
      </c>
      <c r="B127" s="1" t="s">
        <v>23</v>
      </c>
      <c r="C127" s="7">
        <v>45721</v>
      </c>
      <c r="D127" s="1" t="s">
        <v>15</v>
      </c>
      <c r="E127" s="1" t="s">
        <v>24</v>
      </c>
      <c r="F127" s="1">
        <v>1543</v>
      </c>
      <c r="G127" s="1">
        <v>820</v>
      </c>
      <c r="H127" s="1">
        <v>333</v>
      </c>
      <c r="I127" s="1">
        <v>12344</v>
      </c>
      <c r="J127" s="1">
        <v>11496</v>
      </c>
      <c r="K127" s="1">
        <v>241</v>
      </c>
      <c r="L127" s="1" t="s">
        <v>360</v>
      </c>
      <c r="M127" s="1" t="s">
        <v>358</v>
      </c>
      <c r="N127" s="8" t="s">
        <v>359</v>
      </c>
    </row>
    <row r="128" spans="1:14" x14ac:dyDescent="0.3">
      <c r="A128" s="6" t="s">
        <v>91</v>
      </c>
      <c r="B128" s="1" t="s">
        <v>28</v>
      </c>
      <c r="C128" s="7">
        <v>45640</v>
      </c>
      <c r="D128" s="1" t="s">
        <v>36</v>
      </c>
      <c r="E128" s="1" t="s">
        <v>65</v>
      </c>
      <c r="F128" s="1">
        <v>2174</v>
      </c>
      <c r="G128" s="1">
        <v>658</v>
      </c>
      <c r="H128" s="1">
        <v>15</v>
      </c>
      <c r="I128" s="1">
        <v>13044</v>
      </c>
      <c r="J128" s="1">
        <v>12206</v>
      </c>
      <c r="K128" s="1">
        <v>137</v>
      </c>
      <c r="L128" s="1" t="s">
        <v>26</v>
      </c>
      <c r="M128" s="1" t="s">
        <v>11</v>
      </c>
      <c r="N128" s="8" t="s">
        <v>25</v>
      </c>
    </row>
    <row r="129" spans="1:14" x14ac:dyDescent="0.3">
      <c r="A129" s="6" t="s">
        <v>91</v>
      </c>
      <c r="B129" s="1" t="s">
        <v>28</v>
      </c>
      <c r="C129" s="7">
        <v>45640</v>
      </c>
      <c r="D129" s="1" t="s">
        <v>36</v>
      </c>
      <c r="E129" s="1" t="s">
        <v>65</v>
      </c>
      <c r="F129" s="1">
        <v>2174</v>
      </c>
      <c r="G129" s="1">
        <v>658</v>
      </c>
      <c r="H129" s="1">
        <v>15</v>
      </c>
      <c r="I129" s="1">
        <v>13044</v>
      </c>
      <c r="J129" s="1">
        <v>12206</v>
      </c>
      <c r="K129" s="1">
        <v>137</v>
      </c>
      <c r="L129" s="1" t="s">
        <v>26</v>
      </c>
      <c r="M129" s="1" t="s">
        <v>357</v>
      </c>
      <c r="N129" s="8" t="s">
        <v>359</v>
      </c>
    </row>
    <row r="130" spans="1:14" x14ac:dyDescent="0.3">
      <c r="A130" s="6" t="s">
        <v>91</v>
      </c>
      <c r="B130" s="1" t="s">
        <v>28</v>
      </c>
      <c r="C130" s="7">
        <v>45640</v>
      </c>
      <c r="D130" s="1" t="s">
        <v>36</v>
      </c>
      <c r="E130" s="1" t="s">
        <v>65</v>
      </c>
      <c r="F130" s="1">
        <v>2174</v>
      </c>
      <c r="G130" s="1">
        <v>658</v>
      </c>
      <c r="H130" s="1">
        <v>15</v>
      </c>
      <c r="I130" s="1">
        <v>13044</v>
      </c>
      <c r="J130" s="1">
        <v>12206</v>
      </c>
      <c r="K130" s="1">
        <v>137</v>
      </c>
      <c r="L130" s="1" t="s">
        <v>26</v>
      </c>
      <c r="M130" s="1" t="s">
        <v>358</v>
      </c>
      <c r="N130" s="8" t="s">
        <v>359</v>
      </c>
    </row>
    <row r="131" spans="1:14" x14ac:dyDescent="0.3">
      <c r="A131" s="6" t="s">
        <v>92</v>
      </c>
      <c r="B131" s="1" t="s">
        <v>14</v>
      </c>
      <c r="C131" s="7">
        <v>45718</v>
      </c>
      <c r="D131" s="1" t="s">
        <v>41</v>
      </c>
      <c r="E131" s="1" t="s">
        <v>88</v>
      </c>
      <c r="F131" s="1">
        <v>2358</v>
      </c>
      <c r="G131" s="1">
        <v>784</v>
      </c>
      <c r="H131" s="1">
        <v>344</v>
      </c>
      <c r="I131" s="1">
        <v>35370</v>
      </c>
      <c r="J131" s="1">
        <v>34475</v>
      </c>
      <c r="K131" s="1">
        <v>216</v>
      </c>
      <c r="L131" s="1" t="s">
        <v>360</v>
      </c>
      <c r="M131" s="1" t="s">
        <v>11</v>
      </c>
      <c r="N131" s="8" t="s">
        <v>25</v>
      </c>
    </row>
    <row r="132" spans="1:14" x14ac:dyDescent="0.3">
      <c r="A132" s="6" t="s">
        <v>92</v>
      </c>
      <c r="B132" s="1" t="s">
        <v>14</v>
      </c>
      <c r="C132" s="7">
        <v>45718</v>
      </c>
      <c r="D132" s="1" t="s">
        <v>41</v>
      </c>
      <c r="E132" s="1" t="s">
        <v>88</v>
      </c>
      <c r="F132" s="1">
        <v>2358</v>
      </c>
      <c r="G132" s="1">
        <v>784</v>
      </c>
      <c r="H132" s="1">
        <v>344</v>
      </c>
      <c r="I132" s="1">
        <v>35370</v>
      </c>
      <c r="J132" s="1">
        <v>34475</v>
      </c>
      <c r="K132" s="1">
        <v>216</v>
      </c>
      <c r="L132" s="1" t="s">
        <v>360</v>
      </c>
      <c r="M132" s="1" t="s">
        <v>357</v>
      </c>
      <c r="N132" s="8" t="s">
        <v>359</v>
      </c>
    </row>
    <row r="133" spans="1:14" x14ac:dyDescent="0.3">
      <c r="A133" s="6" t="s">
        <v>92</v>
      </c>
      <c r="B133" s="1" t="s">
        <v>14</v>
      </c>
      <c r="C133" s="7">
        <v>45718</v>
      </c>
      <c r="D133" s="1" t="s">
        <v>41</v>
      </c>
      <c r="E133" s="1" t="s">
        <v>88</v>
      </c>
      <c r="F133" s="1">
        <v>2358</v>
      </c>
      <c r="G133" s="1">
        <v>784</v>
      </c>
      <c r="H133" s="1">
        <v>344</v>
      </c>
      <c r="I133" s="1">
        <v>35370</v>
      </c>
      <c r="J133" s="1">
        <v>34475</v>
      </c>
      <c r="K133" s="1">
        <v>216</v>
      </c>
      <c r="L133" s="1" t="s">
        <v>360</v>
      </c>
      <c r="M133" s="1" t="s">
        <v>358</v>
      </c>
      <c r="N133" s="8" t="s">
        <v>359</v>
      </c>
    </row>
    <row r="134" spans="1:14" x14ac:dyDescent="0.3">
      <c r="A134" s="6" t="s">
        <v>93</v>
      </c>
      <c r="B134" s="1" t="s">
        <v>35</v>
      </c>
      <c r="C134" s="7">
        <v>45597</v>
      </c>
      <c r="D134" s="1" t="s">
        <v>56</v>
      </c>
      <c r="E134" s="1" t="s">
        <v>57</v>
      </c>
      <c r="F134" s="1">
        <v>3371</v>
      </c>
      <c r="G134" s="1">
        <v>106</v>
      </c>
      <c r="H134" s="1">
        <v>327</v>
      </c>
      <c r="I134" s="1">
        <v>50565</v>
      </c>
      <c r="J134" s="1">
        <v>49816</v>
      </c>
      <c r="K134" s="1">
        <v>176</v>
      </c>
      <c r="L134" s="1" t="s">
        <v>17</v>
      </c>
      <c r="M134" s="1" t="s">
        <v>11</v>
      </c>
      <c r="N134" s="8" t="s">
        <v>48</v>
      </c>
    </row>
    <row r="135" spans="1:14" x14ac:dyDescent="0.3">
      <c r="A135" s="6" t="s">
        <v>93</v>
      </c>
      <c r="B135" s="1" t="s">
        <v>35</v>
      </c>
      <c r="C135" s="7">
        <v>45597</v>
      </c>
      <c r="D135" s="1" t="s">
        <v>56</v>
      </c>
      <c r="E135" s="1" t="s">
        <v>57</v>
      </c>
      <c r="F135" s="1">
        <v>3371</v>
      </c>
      <c r="G135" s="1">
        <v>106</v>
      </c>
      <c r="H135" s="1">
        <v>327</v>
      </c>
      <c r="I135" s="1">
        <v>50565</v>
      </c>
      <c r="J135" s="1">
        <v>49816</v>
      </c>
      <c r="K135" s="1">
        <v>176</v>
      </c>
      <c r="L135" s="1" t="s">
        <v>17</v>
      </c>
      <c r="M135" s="1" t="s">
        <v>357</v>
      </c>
      <c r="N135" s="8" t="s">
        <v>359</v>
      </c>
    </row>
    <row r="136" spans="1:14" x14ac:dyDescent="0.3">
      <c r="A136" s="6" t="s">
        <v>93</v>
      </c>
      <c r="B136" s="1" t="s">
        <v>35</v>
      </c>
      <c r="C136" s="7">
        <v>45597</v>
      </c>
      <c r="D136" s="1" t="s">
        <v>56</v>
      </c>
      <c r="E136" s="1" t="s">
        <v>57</v>
      </c>
      <c r="F136" s="1">
        <v>3371</v>
      </c>
      <c r="G136" s="1">
        <v>106</v>
      </c>
      <c r="H136" s="1">
        <v>327</v>
      </c>
      <c r="I136" s="1">
        <v>50565</v>
      </c>
      <c r="J136" s="1">
        <v>49816</v>
      </c>
      <c r="K136" s="1">
        <v>176</v>
      </c>
      <c r="L136" s="1" t="s">
        <v>17</v>
      </c>
      <c r="M136" s="1" t="s">
        <v>358</v>
      </c>
      <c r="N136" s="8" t="s">
        <v>359</v>
      </c>
    </row>
    <row r="137" spans="1:14" x14ac:dyDescent="0.3">
      <c r="A137" s="6" t="s">
        <v>94</v>
      </c>
      <c r="B137" s="1" t="s">
        <v>14</v>
      </c>
      <c r="C137" s="7">
        <v>45779</v>
      </c>
      <c r="D137" s="1" t="s">
        <v>56</v>
      </c>
      <c r="E137" s="1" t="s">
        <v>95</v>
      </c>
      <c r="F137" s="1">
        <v>1108</v>
      </c>
      <c r="G137" s="1">
        <v>177</v>
      </c>
      <c r="H137" s="1">
        <v>212</v>
      </c>
      <c r="I137" s="1">
        <v>8864</v>
      </c>
      <c r="J137" s="1">
        <v>8710</v>
      </c>
      <c r="K137" s="1">
        <v>97</v>
      </c>
      <c r="L137" s="1" t="s">
        <v>32</v>
      </c>
      <c r="M137" s="1" t="s">
        <v>11</v>
      </c>
      <c r="N137" s="8" t="s">
        <v>25</v>
      </c>
    </row>
    <row r="138" spans="1:14" x14ac:dyDescent="0.3">
      <c r="A138" s="6" t="s">
        <v>94</v>
      </c>
      <c r="B138" s="1" t="s">
        <v>14</v>
      </c>
      <c r="C138" s="7">
        <v>45779</v>
      </c>
      <c r="D138" s="1" t="s">
        <v>56</v>
      </c>
      <c r="E138" s="1" t="s">
        <v>95</v>
      </c>
      <c r="F138" s="1">
        <v>1108</v>
      </c>
      <c r="G138" s="1">
        <v>177</v>
      </c>
      <c r="H138" s="1">
        <v>212</v>
      </c>
      <c r="I138" s="1">
        <v>8864</v>
      </c>
      <c r="J138" s="1">
        <v>8710</v>
      </c>
      <c r="K138" s="1">
        <v>97</v>
      </c>
      <c r="L138" s="1" t="s">
        <v>32</v>
      </c>
      <c r="M138" s="1" t="s">
        <v>357</v>
      </c>
      <c r="N138" s="8" t="s">
        <v>359</v>
      </c>
    </row>
    <row r="139" spans="1:14" x14ac:dyDescent="0.3">
      <c r="A139" s="6" t="s">
        <v>94</v>
      </c>
      <c r="B139" s="1" t="s">
        <v>14</v>
      </c>
      <c r="C139" s="7">
        <v>45779</v>
      </c>
      <c r="D139" s="1" t="s">
        <v>56</v>
      </c>
      <c r="E139" s="1" t="s">
        <v>95</v>
      </c>
      <c r="F139" s="1">
        <v>1108</v>
      </c>
      <c r="G139" s="1">
        <v>177</v>
      </c>
      <c r="H139" s="1">
        <v>212</v>
      </c>
      <c r="I139" s="1">
        <v>8864</v>
      </c>
      <c r="J139" s="1">
        <v>8710</v>
      </c>
      <c r="K139" s="1">
        <v>97</v>
      </c>
      <c r="L139" s="1" t="s">
        <v>32</v>
      </c>
      <c r="M139" s="1" t="s">
        <v>358</v>
      </c>
      <c r="N139" s="8" t="s">
        <v>359</v>
      </c>
    </row>
    <row r="140" spans="1:14" x14ac:dyDescent="0.3">
      <c r="A140" s="6" t="s">
        <v>96</v>
      </c>
      <c r="B140" s="1" t="s">
        <v>14</v>
      </c>
      <c r="C140" s="7">
        <v>45712</v>
      </c>
      <c r="D140" s="1" t="s">
        <v>36</v>
      </c>
      <c r="E140" s="1" t="s">
        <v>39</v>
      </c>
      <c r="F140" s="1">
        <v>2704</v>
      </c>
      <c r="G140" s="1">
        <v>752</v>
      </c>
      <c r="H140" s="1">
        <v>153</v>
      </c>
      <c r="I140" s="1">
        <v>21632</v>
      </c>
      <c r="J140" s="1">
        <v>20792</v>
      </c>
      <c r="K140" s="1">
        <v>127</v>
      </c>
      <c r="L140" s="1" t="s">
        <v>360</v>
      </c>
      <c r="M140" s="1" t="s">
        <v>11</v>
      </c>
      <c r="N140" s="8" t="s">
        <v>48</v>
      </c>
    </row>
    <row r="141" spans="1:14" x14ac:dyDescent="0.3">
      <c r="A141" s="6" t="s">
        <v>96</v>
      </c>
      <c r="B141" s="1" t="s">
        <v>14</v>
      </c>
      <c r="C141" s="7">
        <v>45712</v>
      </c>
      <c r="D141" s="1" t="s">
        <v>36</v>
      </c>
      <c r="E141" s="1" t="s">
        <v>39</v>
      </c>
      <c r="F141" s="1">
        <v>2704</v>
      </c>
      <c r="G141" s="1">
        <v>752</v>
      </c>
      <c r="H141" s="1">
        <v>153</v>
      </c>
      <c r="I141" s="1">
        <v>21632</v>
      </c>
      <c r="J141" s="1">
        <v>20792</v>
      </c>
      <c r="K141" s="1">
        <v>127</v>
      </c>
      <c r="L141" s="1" t="s">
        <v>360</v>
      </c>
      <c r="M141" s="1" t="s">
        <v>357</v>
      </c>
      <c r="N141" s="8" t="s">
        <v>359</v>
      </c>
    </row>
    <row r="142" spans="1:14" x14ac:dyDescent="0.3">
      <c r="A142" s="6" t="s">
        <v>96</v>
      </c>
      <c r="B142" s="1" t="s">
        <v>14</v>
      </c>
      <c r="C142" s="7">
        <v>45712</v>
      </c>
      <c r="D142" s="1" t="s">
        <v>36</v>
      </c>
      <c r="E142" s="1" t="s">
        <v>39</v>
      </c>
      <c r="F142" s="1">
        <v>2704</v>
      </c>
      <c r="G142" s="1">
        <v>752</v>
      </c>
      <c r="H142" s="1">
        <v>153</v>
      </c>
      <c r="I142" s="1">
        <v>21632</v>
      </c>
      <c r="J142" s="1">
        <v>20792</v>
      </c>
      <c r="K142" s="1">
        <v>127</v>
      </c>
      <c r="L142" s="1" t="s">
        <v>360</v>
      </c>
      <c r="M142" s="1" t="s">
        <v>358</v>
      </c>
      <c r="N142" s="8" t="s">
        <v>359</v>
      </c>
    </row>
    <row r="143" spans="1:14" x14ac:dyDescent="0.3">
      <c r="A143" s="6" t="s">
        <v>97</v>
      </c>
      <c r="B143" s="1" t="s">
        <v>14</v>
      </c>
      <c r="C143" s="7">
        <v>45727</v>
      </c>
      <c r="D143" s="1" t="s">
        <v>29</v>
      </c>
      <c r="E143" s="1" t="s">
        <v>98</v>
      </c>
      <c r="F143" s="1">
        <v>1950</v>
      </c>
      <c r="G143" s="1">
        <v>295</v>
      </c>
      <c r="H143" s="1">
        <v>478</v>
      </c>
      <c r="I143" s="1">
        <v>37050</v>
      </c>
      <c r="J143" s="1">
        <v>36272</v>
      </c>
      <c r="K143" s="1">
        <v>119</v>
      </c>
      <c r="L143" s="1" t="s">
        <v>360</v>
      </c>
      <c r="M143" s="1" t="s">
        <v>11</v>
      </c>
      <c r="N143" s="8" t="s">
        <v>25</v>
      </c>
    </row>
    <row r="144" spans="1:14" x14ac:dyDescent="0.3">
      <c r="A144" s="6" t="s">
        <v>97</v>
      </c>
      <c r="B144" s="1" t="s">
        <v>14</v>
      </c>
      <c r="C144" s="7">
        <v>45727</v>
      </c>
      <c r="D144" s="1" t="s">
        <v>29</v>
      </c>
      <c r="E144" s="1" t="s">
        <v>98</v>
      </c>
      <c r="F144" s="1">
        <v>1950</v>
      </c>
      <c r="G144" s="1">
        <v>295</v>
      </c>
      <c r="H144" s="1">
        <v>478</v>
      </c>
      <c r="I144" s="1">
        <v>37050</v>
      </c>
      <c r="J144" s="1">
        <v>36272</v>
      </c>
      <c r="K144" s="1">
        <v>119</v>
      </c>
      <c r="L144" s="1" t="s">
        <v>360</v>
      </c>
      <c r="M144" s="1" t="s">
        <v>357</v>
      </c>
      <c r="N144" s="8" t="s">
        <v>359</v>
      </c>
    </row>
    <row r="145" spans="1:14" x14ac:dyDescent="0.3">
      <c r="A145" s="6" t="s">
        <v>97</v>
      </c>
      <c r="B145" s="1" t="s">
        <v>14</v>
      </c>
      <c r="C145" s="7">
        <v>45727</v>
      </c>
      <c r="D145" s="1" t="s">
        <v>29</v>
      </c>
      <c r="E145" s="1" t="s">
        <v>98</v>
      </c>
      <c r="F145" s="1">
        <v>1950</v>
      </c>
      <c r="G145" s="1">
        <v>295</v>
      </c>
      <c r="H145" s="1">
        <v>478</v>
      </c>
      <c r="I145" s="1">
        <v>37050</v>
      </c>
      <c r="J145" s="1">
        <v>36272</v>
      </c>
      <c r="K145" s="1">
        <v>119</v>
      </c>
      <c r="L145" s="1" t="s">
        <v>360</v>
      </c>
      <c r="M145" s="1" t="s">
        <v>358</v>
      </c>
      <c r="N145" s="8" t="s">
        <v>359</v>
      </c>
    </row>
    <row r="146" spans="1:14" x14ac:dyDescent="0.3">
      <c r="A146" s="6" t="s">
        <v>99</v>
      </c>
      <c r="B146" s="1" t="s">
        <v>14</v>
      </c>
      <c r="C146" s="7">
        <v>45453</v>
      </c>
      <c r="D146" s="1" t="s">
        <v>29</v>
      </c>
      <c r="E146" s="1" t="s">
        <v>98</v>
      </c>
      <c r="F146" s="1">
        <v>2164</v>
      </c>
      <c r="G146" s="1">
        <v>549</v>
      </c>
      <c r="H146" s="1">
        <v>274</v>
      </c>
      <c r="I146" s="1">
        <v>28132</v>
      </c>
      <c r="J146" s="1">
        <v>27361</v>
      </c>
      <c r="K146" s="1">
        <v>177</v>
      </c>
      <c r="L146" s="1" t="s">
        <v>32</v>
      </c>
      <c r="M146" s="1" t="s">
        <v>11</v>
      </c>
      <c r="N146" s="8" t="s">
        <v>25</v>
      </c>
    </row>
    <row r="147" spans="1:14" x14ac:dyDescent="0.3">
      <c r="A147" s="6" t="s">
        <v>99</v>
      </c>
      <c r="B147" s="1" t="s">
        <v>14</v>
      </c>
      <c r="C147" s="7">
        <v>45453</v>
      </c>
      <c r="D147" s="1" t="s">
        <v>29</v>
      </c>
      <c r="E147" s="1" t="s">
        <v>98</v>
      </c>
      <c r="F147" s="1">
        <v>2164</v>
      </c>
      <c r="G147" s="1">
        <v>549</v>
      </c>
      <c r="H147" s="1">
        <v>274</v>
      </c>
      <c r="I147" s="1">
        <v>28132</v>
      </c>
      <c r="J147" s="1">
        <v>27361</v>
      </c>
      <c r="K147" s="1">
        <v>177</v>
      </c>
      <c r="L147" s="1" t="s">
        <v>32</v>
      </c>
      <c r="M147" s="1" t="s">
        <v>357</v>
      </c>
      <c r="N147" s="8" t="s">
        <v>359</v>
      </c>
    </row>
    <row r="148" spans="1:14" x14ac:dyDescent="0.3">
      <c r="A148" s="6" t="s">
        <v>99</v>
      </c>
      <c r="B148" s="1" t="s">
        <v>14</v>
      </c>
      <c r="C148" s="7">
        <v>45453</v>
      </c>
      <c r="D148" s="1" t="s">
        <v>29</v>
      </c>
      <c r="E148" s="1" t="s">
        <v>98</v>
      </c>
      <c r="F148" s="1">
        <v>2164</v>
      </c>
      <c r="G148" s="1">
        <v>549</v>
      </c>
      <c r="H148" s="1">
        <v>274</v>
      </c>
      <c r="I148" s="1">
        <v>28132</v>
      </c>
      <c r="J148" s="1">
        <v>27361</v>
      </c>
      <c r="K148" s="1">
        <v>177</v>
      </c>
      <c r="L148" s="1" t="s">
        <v>32</v>
      </c>
      <c r="M148" s="1" t="s">
        <v>358</v>
      </c>
      <c r="N148" s="8" t="s">
        <v>359</v>
      </c>
    </row>
    <row r="149" spans="1:14" x14ac:dyDescent="0.3">
      <c r="A149" s="6" t="s">
        <v>100</v>
      </c>
      <c r="B149" s="1" t="s">
        <v>23</v>
      </c>
      <c r="C149" s="7">
        <v>45476</v>
      </c>
      <c r="D149" s="1" t="s">
        <v>29</v>
      </c>
      <c r="E149" s="1" t="s">
        <v>101</v>
      </c>
      <c r="F149" s="1">
        <v>2754</v>
      </c>
      <c r="G149" s="1">
        <v>130</v>
      </c>
      <c r="H149" s="1">
        <v>90</v>
      </c>
      <c r="I149" s="1">
        <v>22032</v>
      </c>
      <c r="J149" s="1">
        <v>21288</v>
      </c>
      <c r="K149" s="1">
        <v>112</v>
      </c>
      <c r="L149" s="1" t="s">
        <v>26</v>
      </c>
      <c r="M149" s="1" t="s">
        <v>11</v>
      </c>
      <c r="N149" s="8" t="s">
        <v>25</v>
      </c>
    </row>
    <row r="150" spans="1:14" x14ac:dyDescent="0.3">
      <c r="A150" s="6" t="s">
        <v>100</v>
      </c>
      <c r="B150" s="1" t="s">
        <v>23</v>
      </c>
      <c r="C150" s="7">
        <v>45476</v>
      </c>
      <c r="D150" s="1" t="s">
        <v>29</v>
      </c>
      <c r="E150" s="1" t="s">
        <v>101</v>
      </c>
      <c r="F150" s="1">
        <v>2754</v>
      </c>
      <c r="G150" s="1">
        <v>130</v>
      </c>
      <c r="H150" s="1">
        <v>90</v>
      </c>
      <c r="I150" s="1">
        <v>22032</v>
      </c>
      <c r="J150" s="1">
        <v>21288</v>
      </c>
      <c r="K150" s="1">
        <v>112</v>
      </c>
      <c r="L150" s="1" t="s">
        <v>26</v>
      </c>
      <c r="M150" s="1" t="s">
        <v>357</v>
      </c>
      <c r="N150" s="8" t="s">
        <v>359</v>
      </c>
    </row>
    <row r="151" spans="1:14" x14ac:dyDescent="0.3">
      <c r="A151" s="6" t="s">
        <v>100</v>
      </c>
      <c r="B151" s="1" t="s">
        <v>23</v>
      </c>
      <c r="C151" s="7">
        <v>45476</v>
      </c>
      <c r="D151" s="1" t="s">
        <v>29</v>
      </c>
      <c r="E151" s="1" t="s">
        <v>101</v>
      </c>
      <c r="F151" s="1">
        <v>2754</v>
      </c>
      <c r="G151" s="1">
        <v>130</v>
      </c>
      <c r="H151" s="1">
        <v>90</v>
      </c>
      <c r="I151" s="1">
        <v>22032</v>
      </c>
      <c r="J151" s="1">
        <v>21288</v>
      </c>
      <c r="K151" s="1">
        <v>112</v>
      </c>
      <c r="L151" s="1" t="s">
        <v>26</v>
      </c>
      <c r="M151" s="1" t="s">
        <v>358</v>
      </c>
      <c r="N151" s="8" t="s">
        <v>359</v>
      </c>
    </row>
    <row r="152" spans="1:14" x14ac:dyDescent="0.3">
      <c r="A152" s="6" t="s">
        <v>102</v>
      </c>
      <c r="B152" s="1" t="s">
        <v>35</v>
      </c>
      <c r="C152" s="7">
        <v>45456</v>
      </c>
      <c r="D152" s="1" t="s">
        <v>36</v>
      </c>
      <c r="E152" s="1" t="s">
        <v>37</v>
      </c>
      <c r="F152" s="1">
        <v>2200</v>
      </c>
      <c r="G152" s="1">
        <v>504</v>
      </c>
      <c r="H152" s="1">
        <v>239</v>
      </c>
      <c r="I152" s="1">
        <v>37400</v>
      </c>
      <c r="J152" s="1">
        <v>36938</v>
      </c>
      <c r="K152" s="1">
        <v>225</v>
      </c>
      <c r="L152" s="1" t="s">
        <v>21</v>
      </c>
      <c r="M152" s="1" t="s">
        <v>11</v>
      </c>
      <c r="N152" s="8" t="s">
        <v>48</v>
      </c>
    </row>
    <row r="153" spans="1:14" x14ac:dyDescent="0.3">
      <c r="A153" s="6" t="s">
        <v>102</v>
      </c>
      <c r="B153" s="1" t="s">
        <v>35</v>
      </c>
      <c r="C153" s="7">
        <v>45456</v>
      </c>
      <c r="D153" s="1" t="s">
        <v>36</v>
      </c>
      <c r="E153" s="1" t="s">
        <v>37</v>
      </c>
      <c r="F153" s="1">
        <v>2200</v>
      </c>
      <c r="G153" s="1">
        <v>504</v>
      </c>
      <c r="H153" s="1">
        <v>239</v>
      </c>
      <c r="I153" s="1">
        <v>37400</v>
      </c>
      <c r="J153" s="1">
        <v>36938</v>
      </c>
      <c r="K153" s="1">
        <v>225</v>
      </c>
      <c r="L153" s="1" t="s">
        <v>21</v>
      </c>
      <c r="M153" s="1" t="s">
        <v>357</v>
      </c>
      <c r="N153" s="8" t="s">
        <v>359</v>
      </c>
    </row>
    <row r="154" spans="1:14" x14ac:dyDescent="0.3">
      <c r="A154" s="6" t="s">
        <v>102</v>
      </c>
      <c r="B154" s="1" t="s">
        <v>35</v>
      </c>
      <c r="C154" s="7">
        <v>45456</v>
      </c>
      <c r="D154" s="1" t="s">
        <v>36</v>
      </c>
      <c r="E154" s="1" t="s">
        <v>37</v>
      </c>
      <c r="F154" s="1">
        <v>2200</v>
      </c>
      <c r="G154" s="1">
        <v>504</v>
      </c>
      <c r="H154" s="1">
        <v>239</v>
      </c>
      <c r="I154" s="1">
        <v>37400</v>
      </c>
      <c r="J154" s="1">
        <v>36938</v>
      </c>
      <c r="K154" s="1">
        <v>225</v>
      </c>
      <c r="L154" s="1" t="s">
        <v>21</v>
      </c>
      <c r="M154" s="1" t="s">
        <v>358</v>
      </c>
      <c r="N154" s="8" t="s">
        <v>359</v>
      </c>
    </row>
    <row r="155" spans="1:14" x14ac:dyDescent="0.3">
      <c r="A155" s="6" t="s">
        <v>103</v>
      </c>
      <c r="B155" s="1" t="s">
        <v>35</v>
      </c>
      <c r="C155" s="7">
        <v>45660</v>
      </c>
      <c r="D155" s="1" t="s">
        <v>41</v>
      </c>
      <c r="E155" s="1" t="s">
        <v>46</v>
      </c>
      <c r="F155" s="1">
        <v>947</v>
      </c>
      <c r="G155" s="1">
        <v>338</v>
      </c>
      <c r="H155" s="1">
        <v>350</v>
      </c>
      <c r="I155" s="1">
        <v>10417</v>
      </c>
      <c r="J155" s="1">
        <v>9730</v>
      </c>
      <c r="K155" s="1">
        <v>34</v>
      </c>
      <c r="L155" s="1" t="s">
        <v>32</v>
      </c>
      <c r="M155" s="1" t="s">
        <v>11</v>
      </c>
      <c r="N155" s="8" t="s">
        <v>25</v>
      </c>
    </row>
    <row r="156" spans="1:14" x14ac:dyDescent="0.3">
      <c r="A156" s="6" t="s">
        <v>103</v>
      </c>
      <c r="B156" s="1" t="s">
        <v>35</v>
      </c>
      <c r="C156" s="7">
        <v>45660</v>
      </c>
      <c r="D156" s="1" t="s">
        <v>41</v>
      </c>
      <c r="E156" s="1" t="s">
        <v>46</v>
      </c>
      <c r="F156" s="1">
        <v>947</v>
      </c>
      <c r="G156" s="1">
        <v>338</v>
      </c>
      <c r="H156" s="1">
        <v>350</v>
      </c>
      <c r="I156" s="1">
        <v>10417</v>
      </c>
      <c r="J156" s="1">
        <v>9730</v>
      </c>
      <c r="K156" s="1">
        <v>34</v>
      </c>
      <c r="L156" s="1" t="s">
        <v>32</v>
      </c>
      <c r="M156" s="1" t="s">
        <v>357</v>
      </c>
      <c r="N156" s="8" t="s">
        <v>359</v>
      </c>
    </row>
    <row r="157" spans="1:14" x14ac:dyDescent="0.3">
      <c r="A157" s="6" t="s">
        <v>103</v>
      </c>
      <c r="B157" s="1" t="s">
        <v>35</v>
      </c>
      <c r="C157" s="7">
        <v>45660</v>
      </c>
      <c r="D157" s="1" t="s">
        <v>41</v>
      </c>
      <c r="E157" s="1" t="s">
        <v>46</v>
      </c>
      <c r="F157" s="1">
        <v>947</v>
      </c>
      <c r="G157" s="1">
        <v>338</v>
      </c>
      <c r="H157" s="1">
        <v>350</v>
      </c>
      <c r="I157" s="1">
        <v>10417</v>
      </c>
      <c r="J157" s="1">
        <v>9730</v>
      </c>
      <c r="K157" s="1">
        <v>34</v>
      </c>
      <c r="L157" s="1" t="s">
        <v>32</v>
      </c>
      <c r="M157" s="1" t="s">
        <v>358</v>
      </c>
      <c r="N157" s="8" t="s">
        <v>359</v>
      </c>
    </row>
    <row r="158" spans="1:14" x14ac:dyDescent="0.3">
      <c r="A158" s="6" t="s">
        <v>104</v>
      </c>
      <c r="B158" s="1" t="s">
        <v>23</v>
      </c>
      <c r="C158" s="7">
        <v>45712</v>
      </c>
      <c r="D158" s="1" t="s">
        <v>36</v>
      </c>
      <c r="E158" s="1" t="s">
        <v>52</v>
      </c>
      <c r="F158" s="1">
        <v>804</v>
      </c>
      <c r="G158" s="1">
        <v>639</v>
      </c>
      <c r="H158" s="1">
        <v>43</v>
      </c>
      <c r="I158" s="1">
        <v>4020</v>
      </c>
      <c r="J158" s="1">
        <v>3144</v>
      </c>
      <c r="K158" s="1">
        <v>11</v>
      </c>
      <c r="L158" s="1" t="s">
        <v>360</v>
      </c>
      <c r="M158" s="1" t="s">
        <v>11</v>
      </c>
      <c r="N158" s="8" t="s">
        <v>31</v>
      </c>
    </row>
    <row r="159" spans="1:14" x14ac:dyDescent="0.3">
      <c r="A159" s="6" t="s">
        <v>104</v>
      </c>
      <c r="B159" s="1" t="s">
        <v>23</v>
      </c>
      <c r="C159" s="7">
        <v>45712</v>
      </c>
      <c r="D159" s="1" t="s">
        <v>36</v>
      </c>
      <c r="E159" s="1" t="s">
        <v>52</v>
      </c>
      <c r="F159" s="1">
        <v>804</v>
      </c>
      <c r="G159" s="1">
        <v>639</v>
      </c>
      <c r="H159" s="1">
        <v>43</v>
      </c>
      <c r="I159" s="1">
        <v>4020</v>
      </c>
      <c r="J159" s="1">
        <v>3144</v>
      </c>
      <c r="K159" s="1">
        <v>11</v>
      </c>
      <c r="L159" s="1" t="s">
        <v>360</v>
      </c>
      <c r="M159" s="1" t="s">
        <v>357</v>
      </c>
      <c r="N159" s="8" t="s">
        <v>355</v>
      </c>
    </row>
    <row r="160" spans="1:14" x14ac:dyDescent="0.3">
      <c r="A160" s="6" t="s">
        <v>104</v>
      </c>
      <c r="B160" s="1" t="s">
        <v>23</v>
      </c>
      <c r="C160" s="7">
        <v>45712</v>
      </c>
      <c r="D160" s="1" t="s">
        <v>36</v>
      </c>
      <c r="E160" s="1" t="s">
        <v>52</v>
      </c>
      <c r="F160" s="1">
        <v>804</v>
      </c>
      <c r="G160" s="1">
        <v>639</v>
      </c>
      <c r="H160" s="1">
        <v>43</v>
      </c>
      <c r="I160" s="1">
        <v>4020</v>
      </c>
      <c r="J160" s="1">
        <v>3144</v>
      </c>
      <c r="K160" s="1">
        <v>11</v>
      </c>
      <c r="L160" s="1" t="s">
        <v>360</v>
      </c>
      <c r="M160" s="1" t="s">
        <v>358</v>
      </c>
      <c r="N160" s="8" t="s">
        <v>359</v>
      </c>
    </row>
    <row r="161" spans="1:14" x14ac:dyDescent="0.3">
      <c r="A161" s="6" t="s">
        <v>105</v>
      </c>
      <c r="B161" s="1" t="s">
        <v>23</v>
      </c>
      <c r="C161" s="7">
        <v>45729</v>
      </c>
      <c r="D161" s="1" t="s">
        <v>36</v>
      </c>
      <c r="E161" s="1" t="s">
        <v>52</v>
      </c>
      <c r="F161" s="1">
        <v>1686</v>
      </c>
      <c r="G161" s="1">
        <v>904</v>
      </c>
      <c r="H161" s="1">
        <v>472</v>
      </c>
      <c r="I161" s="1">
        <v>18546</v>
      </c>
      <c r="J161" s="1">
        <v>18171</v>
      </c>
      <c r="K161" s="1">
        <v>52</v>
      </c>
      <c r="L161" s="1" t="s">
        <v>21</v>
      </c>
      <c r="M161" s="1" t="s">
        <v>11</v>
      </c>
      <c r="N161" s="8" t="s">
        <v>48</v>
      </c>
    </row>
    <row r="162" spans="1:14" x14ac:dyDescent="0.3">
      <c r="A162" s="6" t="s">
        <v>105</v>
      </c>
      <c r="B162" s="1" t="s">
        <v>23</v>
      </c>
      <c r="C162" s="7">
        <v>45729</v>
      </c>
      <c r="D162" s="1" t="s">
        <v>36</v>
      </c>
      <c r="E162" s="1" t="s">
        <v>52</v>
      </c>
      <c r="F162" s="1">
        <v>1686</v>
      </c>
      <c r="G162" s="1">
        <v>904</v>
      </c>
      <c r="H162" s="1">
        <v>472</v>
      </c>
      <c r="I162" s="1">
        <v>18546</v>
      </c>
      <c r="J162" s="1">
        <v>18171</v>
      </c>
      <c r="K162" s="1">
        <v>52</v>
      </c>
      <c r="L162" s="1" t="s">
        <v>21</v>
      </c>
      <c r="M162" s="1" t="s">
        <v>357</v>
      </c>
      <c r="N162" s="8" t="s">
        <v>359</v>
      </c>
    </row>
    <row r="163" spans="1:14" x14ac:dyDescent="0.3">
      <c r="A163" s="6" t="s">
        <v>105</v>
      </c>
      <c r="B163" s="1" t="s">
        <v>23</v>
      </c>
      <c r="C163" s="7">
        <v>45729</v>
      </c>
      <c r="D163" s="1" t="s">
        <v>36</v>
      </c>
      <c r="E163" s="1" t="s">
        <v>52</v>
      </c>
      <c r="F163" s="1">
        <v>1686</v>
      </c>
      <c r="G163" s="1">
        <v>904</v>
      </c>
      <c r="H163" s="1">
        <v>472</v>
      </c>
      <c r="I163" s="1">
        <v>18546</v>
      </c>
      <c r="J163" s="1">
        <v>18171</v>
      </c>
      <c r="K163" s="1">
        <v>52</v>
      </c>
      <c r="L163" s="1" t="s">
        <v>21</v>
      </c>
      <c r="M163" s="1" t="s">
        <v>358</v>
      </c>
      <c r="N163" s="8" t="s">
        <v>359</v>
      </c>
    </row>
    <row r="164" spans="1:14" x14ac:dyDescent="0.3">
      <c r="A164" s="6" t="s">
        <v>106</v>
      </c>
      <c r="B164" s="1" t="s">
        <v>35</v>
      </c>
      <c r="C164" s="7">
        <v>45460</v>
      </c>
      <c r="D164" s="1" t="s">
        <v>41</v>
      </c>
      <c r="E164" s="1" t="s">
        <v>46</v>
      </c>
      <c r="F164" s="1">
        <v>1226</v>
      </c>
      <c r="G164" s="1">
        <v>119</v>
      </c>
      <c r="H164" s="1">
        <v>7</v>
      </c>
      <c r="I164" s="1">
        <v>14712</v>
      </c>
      <c r="J164" s="1">
        <v>14049</v>
      </c>
      <c r="K164" s="1">
        <v>123</v>
      </c>
      <c r="L164" s="1" t="s">
        <v>32</v>
      </c>
      <c r="M164" s="1" t="s">
        <v>11</v>
      </c>
      <c r="N164" s="8" t="s">
        <v>31</v>
      </c>
    </row>
    <row r="165" spans="1:14" x14ac:dyDescent="0.3">
      <c r="A165" s="6" t="s">
        <v>106</v>
      </c>
      <c r="B165" s="1" t="s">
        <v>35</v>
      </c>
      <c r="C165" s="7">
        <v>45460</v>
      </c>
      <c r="D165" s="1" t="s">
        <v>41</v>
      </c>
      <c r="E165" s="1" t="s">
        <v>46</v>
      </c>
      <c r="F165" s="1">
        <v>1226</v>
      </c>
      <c r="G165" s="1">
        <v>119</v>
      </c>
      <c r="H165" s="1">
        <v>7</v>
      </c>
      <c r="I165" s="1">
        <v>14712</v>
      </c>
      <c r="J165" s="1">
        <v>14049</v>
      </c>
      <c r="K165" s="1">
        <v>123</v>
      </c>
      <c r="L165" s="1" t="s">
        <v>32</v>
      </c>
      <c r="M165" s="1" t="s">
        <v>357</v>
      </c>
      <c r="N165" s="8" t="s">
        <v>359</v>
      </c>
    </row>
    <row r="166" spans="1:14" x14ac:dyDescent="0.3">
      <c r="A166" s="6" t="s">
        <v>106</v>
      </c>
      <c r="B166" s="1" t="s">
        <v>35</v>
      </c>
      <c r="C166" s="7">
        <v>45460</v>
      </c>
      <c r="D166" s="1" t="s">
        <v>41</v>
      </c>
      <c r="E166" s="1" t="s">
        <v>46</v>
      </c>
      <c r="F166" s="1">
        <v>1226</v>
      </c>
      <c r="G166" s="1">
        <v>119</v>
      </c>
      <c r="H166" s="1">
        <v>7</v>
      </c>
      <c r="I166" s="1">
        <v>14712</v>
      </c>
      <c r="J166" s="1">
        <v>14049</v>
      </c>
      <c r="K166" s="1">
        <v>123</v>
      </c>
      <c r="L166" s="1" t="s">
        <v>32</v>
      </c>
      <c r="M166" s="1" t="s">
        <v>358</v>
      </c>
      <c r="N166" s="8" t="s">
        <v>359</v>
      </c>
    </row>
    <row r="167" spans="1:14" x14ac:dyDescent="0.3">
      <c r="A167" s="6" t="s">
        <v>107</v>
      </c>
      <c r="B167" s="1" t="s">
        <v>35</v>
      </c>
      <c r="C167" s="7">
        <v>45644</v>
      </c>
      <c r="D167" s="1" t="s">
        <v>36</v>
      </c>
      <c r="E167" s="1" t="s">
        <v>37</v>
      </c>
      <c r="F167" s="1">
        <v>2946</v>
      </c>
      <c r="G167" s="1">
        <v>498</v>
      </c>
      <c r="H167" s="1">
        <v>367</v>
      </c>
      <c r="I167" s="1">
        <v>29460</v>
      </c>
      <c r="J167" s="1">
        <v>28527</v>
      </c>
      <c r="K167" s="1">
        <v>60</v>
      </c>
      <c r="L167" s="1" t="s">
        <v>26</v>
      </c>
      <c r="M167" s="1" t="s">
        <v>11</v>
      </c>
      <c r="N167" s="8" t="s">
        <v>48</v>
      </c>
    </row>
    <row r="168" spans="1:14" x14ac:dyDescent="0.3">
      <c r="A168" s="6" t="s">
        <v>107</v>
      </c>
      <c r="B168" s="1" t="s">
        <v>35</v>
      </c>
      <c r="C168" s="7">
        <v>45644</v>
      </c>
      <c r="D168" s="1" t="s">
        <v>36</v>
      </c>
      <c r="E168" s="1" t="s">
        <v>37</v>
      </c>
      <c r="F168" s="1">
        <v>2946</v>
      </c>
      <c r="G168" s="1">
        <v>498</v>
      </c>
      <c r="H168" s="1">
        <v>367</v>
      </c>
      <c r="I168" s="1">
        <v>29460</v>
      </c>
      <c r="J168" s="1">
        <v>28527</v>
      </c>
      <c r="K168" s="1">
        <v>60</v>
      </c>
      <c r="L168" s="1" t="s">
        <v>26</v>
      </c>
      <c r="M168" s="1" t="s">
        <v>357</v>
      </c>
      <c r="N168" s="8" t="s">
        <v>359</v>
      </c>
    </row>
    <row r="169" spans="1:14" x14ac:dyDescent="0.3">
      <c r="A169" s="6" t="s">
        <v>107</v>
      </c>
      <c r="B169" s="1" t="s">
        <v>35</v>
      </c>
      <c r="C169" s="7">
        <v>45644</v>
      </c>
      <c r="D169" s="1" t="s">
        <v>36</v>
      </c>
      <c r="E169" s="1" t="s">
        <v>37</v>
      </c>
      <c r="F169" s="1">
        <v>2946</v>
      </c>
      <c r="G169" s="1">
        <v>498</v>
      </c>
      <c r="H169" s="1">
        <v>367</v>
      </c>
      <c r="I169" s="1">
        <v>29460</v>
      </c>
      <c r="J169" s="1">
        <v>28527</v>
      </c>
      <c r="K169" s="1">
        <v>60</v>
      </c>
      <c r="L169" s="1" t="s">
        <v>26</v>
      </c>
      <c r="M169" s="1" t="s">
        <v>358</v>
      </c>
      <c r="N169" s="8" t="s">
        <v>359</v>
      </c>
    </row>
    <row r="170" spans="1:14" x14ac:dyDescent="0.3">
      <c r="A170" s="6" t="s">
        <v>108</v>
      </c>
      <c r="B170" s="1" t="s">
        <v>14</v>
      </c>
      <c r="C170" s="7">
        <v>45586</v>
      </c>
      <c r="D170" s="1" t="s">
        <v>56</v>
      </c>
      <c r="E170" s="1" t="s">
        <v>95</v>
      </c>
      <c r="F170" s="1">
        <v>2825</v>
      </c>
      <c r="G170" s="1">
        <v>535</v>
      </c>
      <c r="H170" s="1">
        <v>295</v>
      </c>
      <c r="I170" s="1">
        <v>45200</v>
      </c>
      <c r="J170" s="1">
        <v>44739</v>
      </c>
      <c r="K170" s="1">
        <v>169</v>
      </c>
      <c r="L170" s="1" t="s">
        <v>17</v>
      </c>
      <c r="M170" s="1" t="s">
        <v>11</v>
      </c>
      <c r="N170" s="8" t="s">
        <v>25</v>
      </c>
    </row>
    <row r="171" spans="1:14" x14ac:dyDescent="0.3">
      <c r="A171" s="6" t="s">
        <v>108</v>
      </c>
      <c r="B171" s="1" t="s">
        <v>14</v>
      </c>
      <c r="C171" s="7">
        <v>45586</v>
      </c>
      <c r="D171" s="1" t="s">
        <v>56</v>
      </c>
      <c r="E171" s="1" t="s">
        <v>95</v>
      </c>
      <c r="F171" s="1">
        <v>2825</v>
      </c>
      <c r="G171" s="1">
        <v>535</v>
      </c>
      <c r="H171" s="1">
        <v>295</v>
      </c>
      <c r="I171" s="1">
        <v>45200</v>
      </c>
      <c r="J171" s="1">
        <v>44739</v>
      </c>
      <c r="K171" s="1">
        <v>169</v>
      </c>
      <c r="L171" s="1" t="s">
        <v>17</v>
      </c>
      <c r="M171" s="1" t="s">
        <v>357</v>
      </c>
      <c r="N171" s="8" t="s">
        <v>359</v>
      </c>
    </row>
    <row r="172" spans="1:14" x14ac:dyDescent="0.3">
      <c r="A172" s="6" t="s">
        <v>108</v>
      </c>
      <c r="B172" s="1" t="s">
        <v>14</v>
      </c>
      <c r="C172" s="7">
        <v>45586</v>
      </c>
      <c r="D172" s="1" t="s">
        <v>56</v>
      </c>
      <c r="E172" s="1" t="s">
        <v>95</v>
      </c>
      <c r="F172" s="1">
        <v>2825</v>
      </c>
      <c r="G172" s="1">
        <v>535</v>
      </c>
      <c r="H172" s="1">
        <v>295</v>
      </c>
      <c r="I172" s="1">
        <v>45200</v>
      </c>
      <c r="J172" s="1">
        <v>44739</v>
      </c>
      <c r="K172" s="1">
        <v>169</v>
      </c>
      <c r="L172" s="1" t="s">
        <v>17</v>
      </c>
      <c r="M172" s="1" t="s">
        <v>358</v>
      </c>
      <c r="N172" s="8" t="s">
        <v>359</v>
      </c>
    </row>
    <row r="173" spans="1:14" x14ac:dyDescent="0.3">
      <c r="A173" s="6" t="s">
        <v>109</v>
      </c>
      <c r="B173" s="1" t="s">
        <v>28</v>
      </c>
      <c r="C173" s="7">
        <v>45762</v>
      </c>
      <c r="D173" s="1" t="s">
        <v>15</v>
      </c>
      <c r="E173" s="1" t="s">
        <v>61</v>
      </c>
      <c r="F173" s="1">
        <v>103</v>
      </c>
      <c r="G173" s="1">
        <v>770</v>
      </c>
      <c r="H173" s="1">
        <v>19</v>
      </c>
      <c r="I173" s="1">
        <v>1030</v>
      </c>
      <c r="J173" s="1">
        <v>410</v>
      </c>
      <c r="K173" s="1">
        <v>262</v>
      </c>
      <c r="L173" s="1" t="s">
        <v>32</v>
      </c>
      <c r="M173" s="1" t="s">
        <v>11</v>
      </c>
      <c r="N173" s="8" t="s">
        <v>25</v>
      </c>
    </row>
    <row r="174" spans="1:14" x14ac:dyDescent="0.3">
      <c r="A174" s="6" t="s">
        <v>109</v>
      </c>
      <c r="B174" s="1" t="s">
        <v>28</v>
      </c>
      <c r="C174" s="7">
        <v>45762</v>
      </c>
      <c r="D174" s="1" t="s">
        <v>15</v>
      </c>
      <c r="E174" s="1" t="s">
        <v>61</v>
      </c>
      <c r="F174" s="1">
        <v>103</v>
      </c>
      <c r="G174" s="1">
        <v>770</v>
      </c>
      <c r="H174" s="1">
        <v>19</v>
      </c>
      <c r="I174" s="1">
        <v>1030</v>
      </c>
      <c r="J174" s="1">
        <v>410</v>
      </c>
      <c r="K174" s="1">
        <v>262</v>
      </c>
      <c r="L174" s="1" t="s">
        <v>32</v>
      </c>
      <c r="M174" s="1" t="s">
        <v>357</v>
      </c>
      <c r="N174" s="8" t="s">
        <v>359</v>
      </c>
    </row>
    <row r="175" spans="1:14" x14ac:dyDescent="0.3">
      <c r="A175" s="6" t="s">
        <v>109</v>
      </c>
      <c r="B175" s="1" t="s">
        <v>28</v>
      </c>
      <c r="C175" s="7">
        <v>45762</v>
      </c>
      <c r="D175" s="1" t="s">
        <v>15</v>
      </c>
      <c r="E175" s="1" t="s">
        <v>61</v>
      </c>
      <c r="F175" s="1">
        <v>103</v>
      </c>
      <c r="G175" s="1">
        <v>770</v>
      </c>
      <c r="H175" s="1">
        <v>19</v>
      </c>
      <c r="I175" s="1">
        <v>1030</v>
      </c>
      <c r="J175" s="1">
        <v>410</v>
      </c>
      <c r="K175" s="1">
        <v>262</v>
      </c>
      <c r="L175" s="1" t="s">
        <v>32</v>
      </c>
      <c r="M175" s="1" t="s">
        <v>358</v>
      </c>
      <c r="N175" s="8" t="s">
        <v>359</v>
      </c>
    </row>
    <row r="176" spans="1:14" x14ac:dyDescent="0.3">
      <c r="A176" s="6" t="s">
        <v>110</v>
      </c>
      <c r="B176" s="1" t="s">
        <v>28</v>
      </c>
      <c r="C176" s="7">
        <v>45465</v>
      </c>
      <c r="D176" s="1" t="s">
        <v>19</v>
      </c>
      <c r="E176" s="1" t="s">
        <v>78</v>
      </c>
      <c r="F176" s="1">
        <v>2180</v>
      </c>
      <c r="G176" s="1">
        <v>263</v>
      </c>
      <c r="H176" s="1">
        <v>387</v>
      </c>
      <c r="I176" s="1">
        <v>30520</v>
      </c>
      <c r="J176" s="1">
        <v>30059</v>
      </c>
      <c r="K176" s="1">
        <v>174</v>
      </c>
      <c r="L176" s="1" t="s">
        <v>360</v>
      </c>
      <c r="M176" s="1" t="s">
        <v>11</v>
      </c>
      <c r="N176" s="8" t="s">
        <v>31</v>
      </c>
    </row>
    <row r="177" spans="1:14" x14ac:dyDescent="0.3">
      <c r="A177" s="6" t="s">
        <v>110</v>
      </c>
      <c r="B177" s="1" t="s">
        <v>28</v>
      </c>
      <c r="C177" s="7">
        <v>45465</v>
      </c>
      <c r="D177" s="1" t="s">
        <v>19</v>
      </c>
      <c r="E177" s="1" t="s">
        <v>78</v>
      </c>
      <c r="F177" s="1">
        <v>2180</v>
      </c>
      <c r="G177" s="1">
        <v>263</v>
      </c>
      <c r="H177" s="1">
        <v>387</v>
      </c>
      <c r="I177" s="1">
        <v>30520</v>
      </c>
      <c r="J177" s="1">
        <v>30059</v>
      </c>
      <c r="K177" s="1">
        <v>174</v>
      </c>
      <c r="L177" s="1" t="s">
        <v>360</v>
      </c>
      <c r="M177" s="1" t="s">
        <v>357</v>
      </c>
      <c r="N177" s="8" t="s">
        <v>359</v>
      </c>
    </row>
    <row r="178" spans="1:14" x14ac:dyDescent="0.3">
      <c r="A178" s="6" t="s">
        <v>110</v>
      </c>
      <c r="B178" s="1" t="s">
        <v>28</v>
      </c>
      <c r="C178" s="7">
        <v>45465</v>
      </c>
      <c r="D178" s="1" t="s">
        <v>19</v>
      </c>
      <c r="E178" s="1" t="s">
        <v>78</v>
      </c>
      <c r="F178" s="1">
        <v>2180</v>
      </c>
      <c r="G178" s="1">
        <v>263</v>
      </c>
      <c r="H178" s="1">
        <v>387</v>
      </c>
      <c r="I178" s="1">
        <v>30520</v>
      </c>
      <c r="J178" s="1">
        <v>30059</v>
      </c>
      <c r="K178" s="1">
        <v>174</v>
      </c>
      <c r="L178" s="1" t="s">
        <v>360</v>
      </c>
      <c r="M178" s="1" t="s">
        <v>358</v>
      </c>
      <c r="N178" s="8" t="s">
        <v>359</v>
      </c>
    </row>
    <row r="179" spans="1:14" x14ac:dyDescent="0.3">
      <c r="A179" s="6" t="s">
        <v>111</v>
      </c>
      <c r="B179" s="1" t="s">
        <v>28</v>
      </c>
      <c r="C179" s="7">
        <v>45685</v>
      </c>
      <c r="D179" s="1" t="s">
        <v>56</v>
      </c>
      <c r="E179" s="1" t="s">
        <v>63</v>
      </c>
      <c r="F179" s="1">
        <v>904</v>
      </c>
      <c r="G179" s="1">
        <v>973</v>
      </c>
      <c r="H179" s="1">
        <v>63</v>
      </c>
      <c r="I179" s="1">
        <v>11752</v>
      </c>
      <c r="J179" s="1">
        <v>11580</v>
      </c>
      <c r="K179" s="1">
        <v>84</v>
      </c>
      <c r="L179" s="1" t="s">
        <v>26</v>
      </c>
      <c r="M179" s="1" t="s">
        <v>11</v>
      </c>
      <c r="N179" s="8" t="s">
        <v>31</v>
      </c>
    </row>
    <row r="180" spans="1:14" x14ac:dyDescent="0.3">
      <c r="A180" s="6" t="s">
        <v>111</v>
      </c>
      <c r="B180" s="1" t="s">
        <v>28</v>
      </c>
      <c r="C180" s="7">
        <v>45685</v>
      </c>
      <c r="D180" s="1" t="s">
        <v>56</v>
      </c>
      <c r="E180" s="1" t="s">
        <v>63</v>
      </c>
      <c r="F180" s="1">
        <v>904</v>
      </c>
      <c r="G180" s="1">
        <v>973</v>
      </c>
      <c r="H180" s="1">
        <v>63</v>
      </c>
      <c r="I180" s="1">
        <v>11752</v>
      </c>
      <c r="J180" s="1">
        <v>11580</v>
      </c>
      <c r="K180" s="1">
        <v>84</v>
      </c>
      <c r="L180" s="1" t="s">
        <v>26</v>
      </c>
      <c r="M180" s="1" t="s">
        <v>357</v>
      </c>
      <c r="N180" s="8" t="s">
        <v>25</v>
      </c>
    </row>
    <row r="181" spans="1:14" x14ac:dyDescent="0.3">
      <c r="A181" s="6" t="s">
        <v>111</v>
      </c>
      <c r="B181" s="1" t="s">
        <v>28</v>
      </c>
      <c r="C181" s="7">
        <v>45685</v>
      </c>
      <c r="D181" s="1" t="s">
        <v>56</v>
      </c>
      <c r="E181" s="1" t="s">
        <v>63</v>
      </c>
      <c r="F181" s="1">
        <v>904</v>
      </c>
      <c r="G181" s="1">
        <v>973</v>
      </c>
      <c r="H181" s="1">
        <v>63</v>
      </c>
      <c r="I181" s="1">
        <v>11752</v>
      </c>
      <c r="J181" s="1">
        <v>11580</v>
      </c>
      <c r="K181" s="1">
        <v>84</v>
      </c>
      <c r="L181" s="1" t="s">
        <v>26</v>
      </c>
      <c r="M181" s="1" t="s">
        <v>358</v>
      </c>
      <c r="N181" s="8" t="s">
        <v>354</v>
      </c>
    </row>
    <row r="182" spans="1:14" x14ac:dyDescent="0.3">
      <c r="A182" s="6" t="s">
        <v>112</v>
      </c>
      <c r="B182" s="1" t="s">
        <v>14</v>
      </c>
      <c r="C182" s="7">
        <v>45540</v>
      </c>
      <c r="D182" s="1" t="s">
        <v>56</v>
      </c>
      <c r="E182" s="1" t="s">
        <v>95</v>
      </c>
      <c r="F182" s="1">
        <v>4886</v>
      </c>
      <c r="G182" s="1">
        <v>983</v>
      </c>
      <c r="H182" s="1">
        <v>409</v>
      </c>
      <c r="I182" s="1">
        <v>43974</v>
      </c>
      <c r="J182" s="1">
        <v>43239</v>
      </c>
      <c r="K182" s="1">
        <v>65</v>
      </c>
      <c r="L182" s="1" t="s">
        <v>17</v>
      </c>
      <c r="M182" s="1" t="s">
        <v>11</v>
      </c>
      <c r="N182" s="8" t="s">
        <v>25</v>
      </c>
    </row>
    <row r="183" spans="1:14" x14ac:dyDescent="0.3">
      <c r="A183" s="6" t="s">
        <v>112</v>
      </c>
      <c r="B183" s="1" t="s">
        <v>14</v>
      </c>
      <c r="C183" s="7">
        <v>45540</v>
      </c>
      <c r="D183" s="1" t="s">
        <v>56</v>
      </c>
      <c r="E183" s="1" t="s">
        <v>95</v>
      </c>
      <c r="F183" s="1">
        <v>4886</v>
      </c>
      <c r="G183" s="1">
        <v>983</v>
      </c>
      <c r="H183" s="1">
        <v>409</v>
      </c>
      <c r="I183" s="1">
        <v>43974</v>
      </c>
      <c r="J183" s="1">
        <v>43239</v>
      </c>
      <c r="K183" s="1">
        <v>65</v>
      </c>
      <c r="L183" s="1" t="s">
        <v>17</v>
      </c>
      <c r="M183" s="1" t="s">
        <v>357</v>
      </c>
      <c r="N183" s="8" t="s">
        <v>359</v>
      </c>
    </row>
    <row r="184" spans="1:14" x14ac:dyDescent="0.3">
      <c r="A184" s="6" t="s">
        <v>112</v>
      </c>
      <c r="B184" s="1" t="s">
        <v>14</v>
      </c>
      <c r="C184" s="7">
        <v>45540</v>
      </c>
      <c r="D184" s="1" t="s">
        <v>56</v>
      </c>
      <c r="E184" s="1" t="s">
        <v>95</v>
      </c>
      <c r="F184" s="1">
        <v>4886</v>
      </c>
      <c r="G184" s="1">
        <v>983</v>
      </c>
      <c r="H184" s="1">
        <v>409</v>
      </c>
      <c r="I184" s="1">
        <v>43974</v>
      </c>
      <c r="J184" s="1">
        <v>43239</v>
      </c>
      <c r="K184" s="1">
        <v>65</v>
      </c>
      <c r="L184" s="1" t="s">
        <v>17</v>
      </c>
      <c r="M184" s="1" t="s">
        <v>358</v>
      </c>
      <c r="N184" s="8" t="s">
        <v>359</v>
      </c>
    </row>
    <row r="185" spans="1:14" x14ac:dyDescent="0.3">
      <c r="A185" s="6" t="s">
        <v>113</v>
      </c>
      <c r="B185" s="1" t="s">
        <v>14</v>
      </c>
      <c r="C185" s="7">
        <v>45618</v>
      </c>
      <c r="D185" s="1" t="s">
        <v>36</v>
      </c>
      <c r="E185" s="1" t="s">
        <v>39</v>
      </c>
      <c r="F185" s="1">
        <v>53</v>
      </c>
      <c r="G185" s="1">
        <v>81</v>
      </c>
      <c r="H185" s="1">
        <v>379</v>
      </c>
      <c r="I185" s="1">
        <v>954</v>
      </c>
      <c r="J185" s="1">
        <v>7</v>
      </c>
      <c r="K185" s="1">
        <v>148</v>
      </c>
      <c r="L185" s="1" t="s">
        <v>26</v>
      </c>
      <c r="M185" s="1" t="s">
        <v>11</v>
      </c>
      <c r="N185" s="8" t="s">
        <v>25</v>
      </c>
    </row>
    <row r="186" spans="1:14" x14ac:dyDescent="0.3">
      <c r="A186" s="6" t="s">
        <v>113</v>
      </c>
      <c r="B186" s="1" t="s">
        <v>14</v>
      </c>
      <c r="C186" s="7">
        <v>45618</v>
      </c>
      <c r="D186" s="1" t="s">
        <v>36</v>
      </c>
      <c r="E186" s="1" t="s">
        <v>39</v>
      </c>
      <c r="F186" s="1">
        <v>53</v>
      </c>
      <c r="G186" s="1">
        <v>81</v>
      </c>
      <c r="H186" s="1">
        <v>379</v>
      </c>
      <c r="I186" s="1">
        <v>954</v>
      </c>
      <c r="J186" s="1">
        <v>7</v>
      </c>
      <c r="K186" s="1">
        <v>148</v>
      </c>
      <c r="L186" s="1" t="s">
        <v>26</v>
      </c>
      <c r="M186" s="1" t="s">
        <v>357</v>
      </c>
      <c r="N186" s="8" t="s">
        <v>359</v>
      </c>
    </row>
    <row r="187" spans="1:14" x14ac:dyDescent="0.3">
      <c r="A187" s="6" t="s">
        <v>113</v>
      </c>
      <c r="B187" s="1" t="s">
        <v>14</v>
      </c>
      <c r="C187" s="7">
        <v>45618</v>
      </c>
      <c r="D187" s="1" t="s">
        <v>36</v>
      </c>
      <c r="E187" s="1" t="s">
        <v>39</v>
      </c>
      <c r="F187" s="1">
        <v>53</v>
      </c>
      <c r="G187" s="1">
        <v>81</v>
      </c>
      <c r="H187" s="1">
        <v>379</v>
      </c>
      <c r="I187" s="1">
        <v>954</v>
      </c>
      <c r="J187" s="1">
        <v>7</v>
      </c>
      <c r="K187" s="1">
        <v>148</v>
      </c>
      <c r="L187" s="1" t="s">
        <v>26</v>
      </c>
      <c r="M187" s="1" t="s">
        <v>358</v>
      </c>
      <c r="N187" s="8" t="s">
        <v>359</v>
      </c>
    </row>
    <row r="188" spans="1:14" x14ac:dyDescent="0.3">
      <c r="A188" s="6" t="s">
        <v>114</v>
      </c>
      <c r="B188" s="1" t="s">
        <v>14</v>
      </c>
      <c r="C188" s="7">
        <v>45504</v>
      </c>
      <c r="D188" s="1" t="s">
        <v>36</v>
      </c>
      <c r="E188" s="1" t="s">
        <v>39</v>
      </c>
      <c r="F188" s="1">
        <v>4507</v>
      </c>
      <c r="G188" s="1">
        <v>217</v>
      </c>
      <c r="H188" s="1">
        <v>13</v>
      </c>
      <c r="I188" s="1">
        <v>90140</v>
      </c>
      <c r="J188" s="1">
        <v>89591</v>
      </c>
      <c r="K188" s="1">
        <v>125</v>
      </c>
      <c r="L188" s="1" t="s">
        <v>26</v>
      </c>
      <c r="M188" s="1" t="s">
        <v>11</v>
      </c>
      <c r="N188" s="8" t="s">
        <v>48</v>
      </c>
    </row>
    <row r="189" spans="1:14" x14ac:dyDescent="0.3">
      <c r="A189" s="6" t="s">
        <v>114</v>
      </c>
      <c r="B189" s="1" t="s">
        <v>14</v>
      </c>
      <c r="C189" s="7">
        <v>45504</v>
      </c>
      <c r="D189" s="1" t="s">
        <v>36</v>
      </c>
      <c r="E189" s="1" t="s">
        <v>39</v>
      </c>
      <c r="F189" s="1">
        <v>4507</v>
      </c>
      <c r="G189" s="1">
        <v>217</v>
      </c>
      <c r="H189" s="1">
        <v>13</v>
      </c>
      <c r="I189" s="1">
        <v>90140</v>
      </c>
      <c r="J189" s="1">
        <v>89591</v>
      </c>
      <c r="K189" s="1">
        <v>125</v>
      </c>
      <c r="L189" s="1" t="s">
        <v>26</v>
      </c>
      <c r="M189" s="1" t="s">
        <v>357</v>
      </c>
      <c r="N189" s="8" t="s">
        <v>359</v>
      </c>
    </row>
    <row r="190" spans="1:14" x14ac:dyDescent="0.3">
      <c r="A190" s="6" t="s">
        <v>114</v>
      </c>
      <c r="B190" s="1" t="s">
        <v>14</v>
      </c>
      <c r="C190" s="7">
        <v>45504</v>
      </c>
      <c r="D190" s="1" t="s">
        <v>36</v>
      </c>
      <c r="E190" s="1" t="s">
        <v>39</v>
      </c>
      <c r="F190" s="1">
        <v>4507</v>
      </c>
      <c r="G190" s="1">
        <v>217</v>
      </c>
      <c r="H190" s="1">
        <v>13</v>
      </c>
      <c r="I190" s="1">
        <v>90140</v>
      </c>
      <c r="J190" s="1">
        <v>89591</v>
      </c>
      <c r="K190" s="1">
        <v>125</v>
      </c>
      <c r="L190" s="1" t="s">
        <v>26</v>
      </c>
      <c r="M190" s="1" t="s">
        <v>358</v>
      </c>
      <c r="N190" s="8" t="s">
        <v>359</v>
      </c>
    </row>
    <row r="191" spans="1:14" x14ac:dyDescent="0.3">
      <c r="A191" s="6" t="s">
        <v>115</v>
      </c>
      <c r="B191" s="1" t="s">
        <v>35</v>
      </c>
      <c r="C191" s="7">
        <v>45521</v>
      </c>
      <c r="D191" s="1" t="s">
        <v>41</v>
      </c>
      <c r="E191" s="1" t="s">
        <v>46</v>
      </c>
      <c r="F191" s="1">
        <v>2878</v>
      </c>
      <c r="G191" s="1">
        <v>248</v>
      </c>
      <c r="H191" s="1">
        <v>416</v>
      </c>
      <c r="I191" s="1">
        <v>43170</v>
      </c>
      <c r="J191" s="1">
        <v>42667</v>
      </c>
      <c r="K191" s="1">
        <v>75</v>
      </c>
      <c r="L191" s="1" t="s">
        <v>26</v>
      </c>
      <c r="M191" s="1" t="s">
        <v>11</v>
      </c>
      <c r="N191" s="8" t="s">
        <v>48</v>
      </c>
    </row>
    <row r="192" spans="1:14" x14ac:dyDescent="0.3">
      <c r="A192" s="6" t="s">
        <v>115</v>
      </c>
      <c r="B192" s="1" t="s">
        <v>35</v>
      </c>
      <c r="C192" s="7">
        <v>45521</v>
      </c>
      <c r="D192" s="1" t="s">
        <v>41</v>
      </c>
      <c r="E192" s="1" t="s">
        <v>46</v>
      </c>
      <c r="F192" s="1">
        <v>2878</v>
      </c>
      <c r="G192" s="1">
        <v>248</v>
      </c>
      <c r="H192" s="1">
        <v>416</v>
      </c>
      <c r="I192" s="1">
        <v>43170</v>
      </c>
      <c r="J192" s="1">
        <v>42667</v>
      </c>
      <c r="K192" s="1">
        <v>75</v>
      </c>
      <c r="L192" s="1" t="s">
        <v>26</v>
      </c>
      <c r="M192" s="1" t="s">
        <v>357</v>
      </c>
      <c r="N192" s="8" t="s">
        <v>359</v>
      </c>
    </row>
    <row r="193" spans="1:14" x14ac:dyDescent="0.3">
      <c r="A193" s="6" t="s">
        <v>115</v>
      </c>
      <c r="B193" s="1" t="s">
        <v>35</v>
      </c>
      <c r="C193" s="7">
        <v>45521</v>
      </c>
      <c r="D193" s="1" t="s">
        <v>41</v>
      </c>
      <c r="E193" s="1" t="s">
        <v>46</v>
      </c>
      <c r="F193" s="1">
        <v>2878</v>
      </c>
      <c r="G193" s="1">
        <v>248</v>
      </c>
      <c r="H193" s="1">
        <v>416</v>
      </c>
      <c r="I193" s="1">
        <v>43170</v>
      </c>
      <c r="J193" s="1">
        <v>42667</v>
      </c>
      <c r="K193" s="1">
        <v>75</v>
      </c>
      <c r="L193" s="1" t="s">
        <v>26</v>
      </c>
      <c r="M193" s="1" t="s">
        <v>358</v>
      </c>
      <c r="N193" s="8" t="s">
        <v>359</v>
      </c>
    </row>
    <row r="194" spans="1:14" x14ac:dyDescent="0.3">
      <c r="A194" s="6" t="s">
        <v>116</v>
      </c>
      <c r="B194" s="1" t="s">
        <v>28</v>
      </c>
      <c r="C194" s="7">
        <v>45744</v>
      </c>
      <c r="D194" s="1" t="s">
        <v>29</v>
      </c>
      <c r="E194" s="1" t="s">
        <v>30</v>
      </c>
      <c r="F194" s="1">
        <v>1881</v>
      </c>
      <c r="G194" s="1">
        <v>501</v>
      </c>
      <c r="H194" s="1">
        <v>99</v>
      </c>
      <c r="I194" s="1">
        <v>20691</v>
      </c>
      <c r="J194" s="1">
        <v>19987</v>
      </c>
      <c r="K194" s="1">
        <v>289</v>
      </c>
      <c r="L194" s="1" t="s">
        <v>360</v>
      </c>
      <c r="M194" s="1" t="s">
        <v>11</v>
      </c>
      <c r="N194" s="8" t="s">
        <v>31</v>
      </c>
    </row>
    <row r="195" spans="1:14" x14ac:dyDescent="0.3">
      <c r="A195" s="6" t="s">
        <v>116</v>
      </c>
      <c r="B195" s="1" t="s">
        <v>28</v>
      </c>
      <c r="C195" s="7">
        <v>45744</v>
      </c>
      <c r="D195" s="1" t="s">
        <v>29</v>
      </c>
      <c r="E195" s="1" t="s">
        <v>30</v>
      </c>
      <c r="F195" s="1">
        <v>1881</v>
      </c>
      <c r="G195" s="1">
        <v>501</v>
      </c>
      <c r="H195" s="1">
        <v>99</v>
      </c>
      <c r="I195" s="1">
        <v>20691</v>
      </c>
      <c r="J195" s="1">
        <v>19987</v>
      </c>
      <c r="K195" s="1">
        <v>289</v>
      </c>
      <c r="L195" s="1" t="s">
        <v>360</v>
      </c>
      <c r="M195" s="1" t="s">
        <v>357</v>
      </c>
      <c r="N195" s="8" t="s">
        <v>359</v>
      </c>
    </row>
    <row r="196" spans="1:14" x14ac:dyDescent="0.3">
      <c r="A196" s="6" t="s">
        <v>116</v>
      </c>
      <c r="B196" s="1" t="s">
        <v>28</v>
      </c>
      <c r="C196" s="7">
        <v>45744</v>
      </c>
      <c r="D196" s="1" t="s">
        <v>29</v>
      </c>
      <c r="E196" s="1" t="s">
        <v>30</v>
      </c>
      <c r="F196" s="1">
        <v>1881</v>
      </c>
      <c r="G196" s="1">
        <v>501</v>
      </c>
      <c r="H196" s="1">
        <v>99</v>
      </c>
      <c r="I196" s="1">
        <v>20691</v>
      </c>
      <c r="J196" s="1">
        <v>19987</v>
      </c>
      <c r="K196" s="1">
        <v>289</v>
      </c>
      <c r="L196" s="1" t="s">
        <v>360</v>
      </c>
      <c r="M196" s="1" t="s">
        <v>358</v>
      </c>
      <c r="N196" s="8" t="s">
        <v>359</v>
      </c>
    </row>
    <row r="197" spans="1:14" x14ac:dyDescent="0.3">
      <c r="A197" s="6" t="s">
        <v>117</v>
      </c>
      <c r="B197" s="1" t="s">
        <v>14</v>
      </c>
      <c r="C197" s="7">
        <v>45499</v>
      </c>
      <c r="D197" s="1" t="s">
        <v>36</v>
      </c>
      <c r="E197" s="1" t="s">
        <v>39</v>
      </c>
      <c r="F197" s="1">
        <v>432</v>
      </c>
      <c r="G197" s="1">
        <v>171</v>
      </c>
      <c r="H197" s="1">
        <v>280</v>
      </c>
      <c r="I197" s="1">
        <v>3024</v>
      </c>
      <c r="J197" s="1">
        <v>2285</v>
      </c>
      <c r="K197" s="1">
        <v>184</v>
      </c>
      <c r="L197" s="1" t="s">
        <v>17</v>
      </c>
      <c r="M197" s="1" t="s">
        <v>11</v>
      </c>
      <c r="N197" s="8" t="s">
        <v>31</v>
      </c>
    </row>
    <row r="198" spans="1:14" x14ac:dyDescent="0.3">
      <c r="A198" s="6" t="s">
        <v>117</v>
      </c>
      <c r="B198" s="1" t="s">
        <v>14</v>
      </c>
      <c r="C198" s="7">
        <v>45499</v>
      </c>
      <c r="D198" s="1" t="s">
        <v>36</v>
      </c>
      <c r="E198" s="1" t="s">
        <v>39</v>
      </c>
      <c r="F198" s="1">
        <v>432</v>
      </c>
      <c r="G198" s="1">
        <v>171</v>
      </c>
      <c r="H198" s="1">
        <v>280</v>
      </c>
      <c r="I198" s="1">
        <v>3024</v>
      </c>
      <c r="J198" s="1">
        <v>2285</v>
      </c>
      <c r="K198" s="1">
        <v>184</v>
      </c>
      <c r="L198" s="1" t="s">
        <v>17</v>
      </c>
      <c r="M198" s="1" t="s">
        <v>357</v>
      </c>
      <c r="N198" s="8" t="s">
        <v>359</v>
      </c>
    </row>
    <row r="199" spans="1:14" x14ac:dyDescent="0.3">
      <c r="A199" s="6" t="s">
        <v>117</v>
      </c>
      <c r="B199" s="1" t="s">
        <v>14</v>
      </c>
      <c r="C199" s="7">
        <v>45499</v>
      </c>
      <c r="D199" s="1" t="s">
        <v>36</v>
      </c>
      <c r="E199" s="1" t="s">
        <v>39</v>
      </c>
      <c r="F199" s="1">
        <v>432</v>
      </c>
      <c r="G199" s="1">
        <v>171</v>
      </c>
      <c r="H199" s="1">
        <v>280</v>
      </c>
      <c r="I199" s="1">
        <v>3024</v>
      </c>
      <c r="J199" s="1">
        <v>2285</v>
      </c>
      <c r="K199" s="1">
        <v>184</v>
      </c>
      <c r="L199" s="1" t="s">
        <v>17</v>
      </c>
      <c r="M199" s="1" t="s">
        <v>358</v>
      </c>
      <c r="N199" s="8" t="s">
        <v>359</v>
      </c>
    </row>
    <row r="200" spans="1:14" x14ac:dyDescent="0.3">
      <c r="A200" s="6" t="s">
        <v>118</v>
      </c>
      <c r="B200" s="1" t="s">
        <v>35</v>
      </c>
      <c r="C200" s="7">
        <v>45745</v>
      </c>
      <c r="D200" s="1" t="s">
        <v>36</v>
      </c>
      <c r="E200" s="1" t="s">
        <v>37</v>
      </c>
      <c r="F200" s="1">
        <v>4712</v>
      </c>
      <c r="G200" s="1">
        <v>568</v>
      </c>
      <c r="H200" s="1">
        <v>127</v>
      </c>
      <c r="I200" s="1">
        <v>84816</v>
      </c>
      <c r="J200" s="1">
        <v>84691</v>
      </c>
      <c r="K200" s="1">
        <v>100</v>
      </c>
      <c r="L200" s="1" t="s">
        <v>26</v>
      </c>
      <c r="M200" s="1" t="s">
        <v>11</v>
      </c>
      <c r="N200" s="8" t="s">
        <v>31</v>
      </c>
    </row>
    <row r="201" spans="1:14" x14ac:dyDescent="0.3">
      <c r="A201" s="6" t="s">
        <v>118</v>
      </c>
      <c r="B201" s="1" t="s">
        <v>35</v>
      </c>
      <c r="C201" s="7">
        <v>45745</v>
      </c>
      <c r="D201" s="1" t="s">
        <v>36</v>
      </c>
      <c r="E201" s="1" t="s">
        <v>37</v>
      </c>
      <c r="F201" s="1">
        <v>4712</v>
      </c>
      <c r="G201" s="1">
        <v>568</v>
      </c>
      <c r="H201" s="1">
        <v>127</v>
      </c>
      <c r="I201" s="1">
        <v>84816</v>
      </c>
      <c r="J201" s="1">
        <v>84691</v>
      </c>
      <c r="K201" s="1">
        <v>100</v>
      </c>
      <c r="L201" s="1" t="s">
        <v>26</v>
      </c>
      <c r="M201" s="1" t="s">
        <v>357</v>
      </c>
      <c r="N201" s="8" t="s">
        <v>359</v>
      </c>
    </row>
    <row r="202" spans="1:14" x14ac:dyDescent="0.3">
      <c r="A202" s="6" t="s">
        <v>118</v>
      </c>
      <c r="B202" s="1" t="s">
        <v>35</v>
      </c>
      <c r="C202" s="7">
        <v>45745</v>
      </c>
      <c r="D202" s="1" t="s">
        <v>36</v>
      </c>
      <c r="E202" s="1" t="s">
        <v>37</v>
      </c>
      <c r="F202" s="1">
        <v>4712</v>
      </c>
      <c r="G202" s="1">
        <v>568</v>
      </c>
      <c r="H202" s="1">
        <v>127</v>
      </c>
      <c r="I202" s="1">
        <v>84816</v>
      </c>
      <c r="J202" s="1">
        <v>84691</v>
      </c>
      <c r="K202" s="1">
        <v>100</v>
      </c>
      <c r="L202" s="1" t="s">
        <v>26</v>
      </c>
      <c r="M202" s="1" t="s">
        <v>358</v>
      </c>
      <c r="N202" s="8" t="s">
        <v>359</v>
      </c>
    </row>
    <row r="203" spans="1:14" x14ac:dyDescent="0.3">
      <c r="A203" s="6" t="s">
        <v>119</v>
      </c>
      <c r="B203" s="1" t="s">
        <v>28</v>
      </c>
      <c r="C203" s="7">
        <v>45634</v>
      </c>
      <c r="D203" s="1" t="s">
        <v>29</v>
      </c>
      <c r="E203" s="1" t="s">
        <v>30</v>
      </c>
      <c r="F203" s="1">
        <v>2610</v>
      </c>
      <c r="G203" s="1">
        <v>126</v>
      </c>
      <c r="H203" s="1">
        <v>288</v>
      </c>
      <c r="I203" s="1">
        <v>15660</v>
      </c>
      <c r="J203" s="1">
        <v>15145</v>
      </c>
      <c r="K203" s="1">
        <v>73</v>
      </c>
      <c r="L203" s="1" t="s">
        <v>360</v>
      </c>
      <c r="M203" s="1" t="s">
        <v>11</v>
      </c>
      <c r="N203" s="8" t="s">
        <v>31</v>
      </c>
    </row>
    <row r="204" spans="1:14" x14ac:dyDescent="0.3">
      <c r="A204" s="6" t="s">
        <v>119</v>
      </c>
      <c r="B204" s="1" t="s">
        <v>28</v>
      </c>
      <c r="C204" s="7">
        <v>45634</v>
      </c>
      <c r="D204" s="1" t="s">
        <v>29</v>
      </c>
      <c r="E204" s="1" t="s">
        <v>30</v>
      </c>
      <c r="F204" s="1">
        <v>2610</v>
      </c>
      <c r="G204" s="1">
        <v>126</v>
      </c>
      <c r="H204" s="1">
        <v>288</v>
      </c>
      <c r="I204" s="1">
        <v>15660</v>
      </c>
      <c r="J204" s="1">
        <v>15145</v>
      </c>
      <c r="K204" s="1">
        <v>73</v>
      </c>
      <c r="L204" s="1" t="s">
        <v>360</v>
      </c>
      <c r="M204" s="1" t="s">
        <v>357</v>
      </c>
      <c r="N204" s="8" t="s">
        <v>359</v>
      </c>
    </row>
    <row r="205" spans="1:14" x14ac:dyDescent="0.3">
      <c r="A205" s="6" t="s">
        <v>119</v>
      </c>
      <c r="B205" s="1" t="s">
        <v>28</v>
      </c>
      <c r="C205" s="7">
        <v>45634</v>
      </c>
      <c r="D205" s="1" t="s">
        <v>29</v>
      </c>
      <c r="E205" s="1" t="s">
        <v>30</v>
      </c>
      <c r="F205" s="1">
        <v>2610</v>
      </c>
      <c r="G205" s="1">
        <v>126</v>
      </c>
      <c r="H205" s="1">
        <v>288</v>
      </c>
      <c r="I205" s="1">
        <v>15660</v>
      </c>
      <c r="J205" s="1">
        <v>15145</v>
      </c>
      <c r="K205" s="1">
        <v>73</v>
      </c>
      <c r="L205" s="1" t="s">
        <v>360</v>
      </c>
      <c r="M205" s="1" t="s">
        <v>358</v>
      </c>
      <c r="N205" s="8" t="s">
        <v>359</v>
      </c>
    </row>
    <row r="206" spans="1:14" x14ac:dyDescent="0.3">
      <c r="A206" s="6" t="s">
        <v>120</v>
      </c>
      <c r="B206" s="1" t="s">
        <v>14</v>
      </c>
      <c r="C206" s="7">
        <v>45724</v>
      </c>
      <c r="D206" s="1" t="s">
        <v>19</v>
      </c>
      <c r="E206" s="1" t="s">
        <v>20</v>
      </c>
      <c r="F206" s="1">
        <v>1292</v>
      </c>
      <c r="G206" s="1">
        <v>626</v>
      </c>
      <c r="H206" s="1">
        <v>496</v>
      </c>
      <c r="I206" s="1">
        <v>25840</v>
      </c>
      <c r="J206" s="1">
        <v>24916</v>
      </c>
      <c r="K206" s="1">
        <v>149</v>
      </c>
      <c r="L206" s="1" t="s">
        <v>26</v>
      </c>
      <c r="M206" s="1" t="s">
        <v>11</v>
      </c>
      <c r="N206" s="8" t="s">
        <v>48</v>
      </c>
    </row>
    <row r="207" spans="1:14" x14ac:dyDescent="0.3">
      <c r="A207" s="6" t="s">
        <v>120</v>
      </c>
      <c r="B207" s="1" t="s">
        <v>14</v>
      </c>
      <c r="C207" s="7">
        <v>45724</v>
      </c>
      <c r="D207" s="1" t="s">
        <v>19</v>
      </c>
      <c r="E207" s="1" t="s">
        <v>20</v>
      </c>
      <c r="F207" s="1">
        <v>1292</v>
      </c>
      <c r="G207" s="1">
        <v>626</v>
      </c>
      <c r="H207" s="1">
        <v>496</v>
      </c>
      <c r="I207" s="1">
        <v>25840</v>
      </c>
      <c r="J207" s="1">
        <v>24916</v>
      </c>
      <c r="K207" s="1">
        <v>149</v>
      </c>
      <c r="L207" s="1" t="s">
        <v>26</v>
      </c>
      <c r="M207" s="1" t="s">
        <v>357</v>
      </c>
      <c r="N207" s="8" t="s">
        <v>359</v>
      </c>
    </row>
    <row r="208" spans="1:14" x14ac:dyDescent="0.3">
      <c r="A208" s="6" t="s">
        <v>120</v>
      </c>
      <c r="B208" s="1" t="s">
        <v>14</v>
      </c>
      <c r="C208" s="7">
        <v>45724</v>
      </c>
      <c r="D208" s="1" t="s">
        <v>19</v>
      </c>
      <c r="E208" s="1" t="s">
        <v>20</v>
      </c>
      <c r="F208" s="1">
        <v>1292</v>
      </c>
      <c r="G208" s="1">
        <v>626</v>
      </c>
      <c r="H208" s="1">
        <v>496</v>
      </c>
      <c r="I208" s="1">
        <v>25840</v>
      </c>
      <c r="J208" s="1">
        <v>24916</v>
      </c>
      <c r="K208" s="1">
        <v>149</v>
      </c>
      <c r="L208" s="1" t="s">
        <v>26</v>
      </c>
      <c r="M208" s="1" t="s">
        <v>358</v>
      </c>
      <c r="N208" s="8" t="s">
        <v>359</v>
      </c>
    </row>
    <row r="209" spans="1:14" x14ac:dyDescent="0.3">
      <c r="A209" s="6" t="s">
        <v>121</v>
      </c>
      <c r="B209" s="1" t="s">
        <v>35</v>
      </c>
      <c r="C209" s="7">
        <v>45749</v>
      </c>
      <c r="D209" s="1" t="s">
        <v>56</v>
      </c>
      <c r="E209" s="1" t="s">
        <v>57</v>
      </c>
      <c r="F209" s="1">
        <v>199</v>
      </c>
      <c r="G209" s="1">
        <v>772</v>
      </c>
      <c r="H209" s="1">
        <v>400</v>
      </c>
      <c r="I209" s="1">
        <v>3582</v>
      </c>
      <c r="J209" s="1">
        <v>2988</v>
      </c>
      <c r="K209" s="1">
        <v>43</v>
      </c>
      <c r="L209" s="1" t="s">
        <v>360</v>
      </c>
      <c r="M209" s="1" t="s">
        <v>11</v>
      </c>
      <c r="N209" s="8" t="s">
        <v>25</v>
      </c>
    </row>
    <row r="210" spans="1:14" x14ac:dyDescent="0.3">
      <c r="A210" s="6" t="s">
        <v>121</v>
      </c>
      <c r="B210" s="1" t="s">
        <v>35</v>
      </c>
      <c r="C210" s="7">
        <v>45749</v>
      </c>
      <c r="D210" s="1" t="s">
        <v>56</v>
      </c>
      <c r="E210" s="1" t="s">
        <v>57</v>
      </c>
      <c r="F210" s="1">
        <v>199</v>
      </c>
      <c r="G210" s="1">
        <v>772</v>
      </c>
      <c r="H210" s="1">
        <v>400</v>
      </c>
      <c r="I210" s="1">
        <v>3582</v>
      </c>
      <c r="J210" s="1">
        <v>2988</v>
      </c>
      <c r="K210" s="1">
        <v>43</v>
      </c>
      <c r="L210" s="1" t="s">
        <v>360</v>
      </c>
      <c r="M210" s="1" t="s">
        <v>357</v>
      </c>
      <c r="N210" s="8" t="s">
        <v>359</v>
      </c>
    </row>
    <row r="211" spans="1:14" x14ac:dyDescent="0.3">
      <c r="A211" s="6" t="s">
        <v>121</v>
      </c>
      <c r="B211" s="1" t="s">
        <v>35</v>
      </c>
      <c r="C211" s="7">
        <v>45749</v>
      </c>
      <c r="D211" s="1" t="s">
        <v>56</v>
      </c>
      <c r="E211" s="1" t="s">
        <v>57</v>
      </c>
      <c r="F211" s="1">
        <v>199</v>
      </c>
      <c r="G211" s="1">
        <v>772</v>
      </c>
      <c r="H211" s="1">
        <v>400</v>
      </c>
      <c r="I211" s="1">
        <v>3582</v>
      </c>
      <c r="J211" s="1">
        <v>2988</v>
      </c>
      <c r="K211" s="1">
        <v>43</v>
      </c>
      <c r="L211" s="1" t="s">
        <v>360</v>
      </c>
      <c r="M211" s="1" t="s">
        <v>358</v>
      </c>
      <c r="N211" s="8" t="s">
        <v>359</v>
      </c>
    </row>
    <row r="212" spans="1:14" x14ac:dyDescent="0.3">
      <c r="A212" s="6" t="s">
        <v>122</v>
      </c>
      <c r="B212" s="1" t="s">
        <v>23</v>
      </c>
      <c r="C212" s="7">
        <v>45537</v>
      </c>
      <c r="D212" s="1" t="s">
        <v>36</v>
      </c>
      <c r="E212" s="1" t="s">
        <v>52</v>
      </c>
      <c r="F212" s="1">
        <v>2551</v>
      </c>
      <c r="G212" s="1">
        <v>915</v>
      </c>
      <c r="H212" s="1">
        <v>205</v>
      </c>
      <c r="I212" s="1">
        <v>30612</v>
      </c>
      <c r="J212" s="1">
        <v>30360</v>
      </c>
      <c r="K212" s="1">
        <v>227</v>
      </c>
      <c r="L212" s="1" t="s">
        <v>21</v>
      </c>
      <c r="M212" s="1" t="s">
        <v>11</v>
      </c>
      <c r="N212" s="8" t="s">
        <v>25</v>
      </c>
    </row>
    <row r="213" spans="1:14" x14ac:dyDescent="0.3">
      <c r="A213" s="6" t="s">
        <v>122</v>
      </c>
      <c r="B213" s="1" t="s">
        <v>23</v>
      </c>
      <c r="C213" s="7">
        <v>45537</v>
      </c>
      <c r="D213" s="1" t="s">
        <v>36</v>
      </c>
      <c r="E213" s="1" t="s">
        <v>52</v>
      </c>
      <c r="F213" s="1">
        <v>2551</v>
      </c>
      <c r="G213" s="1">
        <v>915</v>
      </c>
      <c r="H213" s="1">
        <v>205</v>
      </c>
      <c r="I213" s="1">
        <v>30612</v>
      </c>
      <c r="J213" s="1">
        <v>30360</v>
      </c>
      <c r="K213" s="1">
        <v>227</v>
      </c>
      <c r="L213" s="1" t="s">
        <v>21</v>
      </c>
      <c r="M213" s="1" t="s">
        <v>357</v>
      </c>
      <c r="N213" s="8" t="s">
        <v>359</v>
      </c>
    </row>
    <row r="214" spans="1:14" x14ac:dyDescent="0.3">
      <c r="A214" s="6" t="s">
        <v>122</v>
      </c>
      <c r="B214" s="1" t="s">
        <v>23</v>
      </c>
      <c r="C214" s="7">
        <v>45537</v>
      </c>
      <c r="D214" s="1" t="s">
        <v>36</v>
      </c>
      <c r="E214" s="1" t="s">
        <v>52</v>
      </c>
      <c r="F214" s="1">
        <v>2551</v>
      </c>
      <c r="G214" s="1">
        <v>915</v>
      </c>
      <c r="H214" s="1">
        <v>205</v>
      </c>
      <c r="I214" s="1">
        <v>30612</v>
      </c>
      <c r="J214" s="1">
        <v>30360</v>
      </c>
      <c r="K214" s="1">
        <v>227</v>
      </c>
      <c r="L214" s="1" t="s">
        <v>21</v>
      </c>
      <c r="M214" s="1" t="s">
        <v>358</v>
      </c>
      <c r="N214" s="8" t="s">
        <v>359</v>
      </c>
    </row>
    <row r="215" spans="1:14" x14ac:dyDescent="0.3">
      <c r="A215" s="6" t="s">
        <v>123</v>
      </c>
      <c r="B215" s="1" t="s">
        <v>23</v>
      </c>
      <c r="C215" s="7">
        <v>45719</v>
      </c>
      <c r="D215" s="1" t="s">
        <v>15</v>
      </c>
      <c r="E215" s="1" t="s">
        <v>24</v>
      </c>
      <c r="F215" s="1">
        <v>296</v>
      </c>
      <c r="G215" s="1">
        <v>60</v>
      </c>
      <c r="H215" s="1">
        <v>141</v>
      </c>
      <c r="I215" s="1">
        <v>5624</v>
      </c>
      <c r="J215" s="1">
        <v>5239</v>
      </c>
      <c r="K215" s="1">
        <v>88</v>
      </c>
      <c r="L215" s="1" t="s">
        <v>21</v>
      </c>
      <c r="M215" s="1" t="s">
        <v>11</v>
      </c>
      <c r="N215" s="8" t="s">
        <v>31</v>
      </c>
    </row>
    <row r="216" spans="1:14" x14ac:dyDescent="0.3">
      <c r="A216" s="6" t="s">
        <v>123</v>
      </c>
      <c r="B216" s="1" t="s">
        <v>23</v>
      </c>
      <c r="C216" s="7">
        <v>45719</v>
      </c>
      <c r="D216" s="1" t="s">
        <v>15</v>
      </c>
      <c r="E216" s="1" t="s">
        <v>24</v>
      </c>
      <c r="F216" s="1">
        <v>296</v>
      </c>
      <c r="G216" s="1">
        <v>60</v>
      </c>
      <c r="H216" s="1">
        <v>141</v>
      </c>
      <c r="I216" s="1">
        <v>5624</v>
      </c>
      <c r="J216" s="1">
        <v>5239</v>
      </c>
      <c r="K216" s="1">
        <v>88</v>
      </c>
      <c r="L216" s="1" t="s">
        <v>21</v>
      </c>
      <c r="M216" s="1" t="s">
        <v>357</v>
      </c>
      <c r="N216" s="8" t="s">
        <v>359</v>
      </c>
    </row>
    <row r="217" spans="1:14" x14ac:dyDescent="0.3">
      <c r="A217" s="6" t="s">
        <v>123</v>
      </c>
      <c r="B217" s="1" t="s">
        <v>23</v>
      </c>
      <c r="C217" s="7">
        <v>45719</v>
      </c>
      <c r="D217" s="1" t="s">
        <v>15</v>
      </c>
      <c r="E217" s="1" t="s">
        <v>24</v>
      </c>
      <c r="F217" s="1">
        <v>296</v>
      </c>
      <c r="G217" s="1">
        <v>60</v>
      </c>
      <c r="H217" s="1">
        <v>141</v>
      </c>
      <c r="I217" s="1">
        <v>5624</v>
      </c>
      <c r="J217" s="1">
        <v>5239</v>
      </c>
      <c r="K217" s="1">
        <v>88</v>
      </c>
      <c r="L217" s="1" t="s">
        <v>21</v>
      </c>
      <c r="M217" s="1" t="s">
        <v>358</v>
      </c>
      <c r="N217" s="8" t="s">
        <v>359</v>
      </c>
    </row>
    <row r="218" spans="1:14" x14ac:dyDescent="0.3">
      <c r="A218" s="6" t="s">
        <v>124</v>
      </c>
      <c r="B218" s="1" t="s">
        <v>35</v>
      </c>
      <c r="C218" s="7">
        <v>45583</v>
      </c>
      <c r="D218" s="1" t="s">
        <v>29</v>
      </c>
      <c r="E218" s="1" t="s">
        <v>54</v>
      </c>
      <c r="F218" s="1">
        <v>4126</v>
      </c>
      <c r="G218" s="1">
        <v>426</v>
      </c>
      <c r="H218" s="1">
        <v>486</v>
      </c>
      <c r="I218" s="1">
        <v>78394</v>
      </c>
      <c r="J218" s="1">
        <v>77798</v>
      </c>
      <c r="K218" s="1">
        <v>88</v>
      </c>
      <c r="L218" s="1" t="s">
        <v>32</v>
      </c>
      <c r="M218" s="1" t="s">
        <v>11</v>
      </c>
      <c r="N218" s="8" t="s">
        <v>48</v>
      </c>
    </row>
    <row r="219" spans="1:14" x14ac:dyDescent="0.3">
      <c r="A219" s="6" t="s">
        <v>124</v>
      </c>
      <c r="B219" s="1" t="s">
        <v>35</v>
      </c>
      <c r="C219" s="7">
        <v>45583</v>
      </c>
      <c r="D219" s="1" t="s">
        <v>29</v>
      </c>
      <c r="E219" s="1" t="s">
        <v>54</v>
      </c>
      <c r="F219" s="1">
        <v>4126</v>
      </c>
      <c r="G219" s="1">
        <v>426</v>
      </c>
      <c r="H219" s="1">
        <v>486</v>
      </c>
      <c r="I219" s="1">
        <v>78394</v>
      </c>
      <c r="J219" s="1">
        <v>77798</v>
      </c>
      <c r="K219" s="1">
        <v>88</v>
      </c>
      <c r="L219" s="1" t="s">
        <v>32</v>
      </c>
      <c r="M219" s="1" t="s">
        <v>357</v>
      </c>
      <c r="N219" s="8" t="s">
        <v>359</v>
      </c>
    </row>
    <row r="220" spans="1:14" x14ac:dyDescent="0.3">
      <c r="A220" s="6" t="s">
        <v>124</v>
      </c>
      <c r="B220" s="1" t="s">
        <v>35</v>
      </c>
      <c r="C220" s="7">
        <v>45583</v>
      </c>
      <c r="D220" s="1" t="s">
        <v>29</v>
      </c>
      <c r="E220" s="1" t="s">
        <v>54</v>
      </c>
      <c r="F220" s="1">
        <v>4126</v>
      </c>
      <c r="G220" s="1">
        <v>426</v>
      </c>
      <c r="H220" s="1">
        <v>486</v>
      </c>
      <c r="I220" s="1">
        <v>78394</v>
      </c>
      <c r="J220" s="1">
        <v>77798</v>
      </c>
      <c r="K220" s="1">
        <v>88</v>
      </c>
      <c r="L220" s="1" t="s">
        <v>32</v>
      </c>
      <c r="M220" s="1" t="s">
        <v>358</v>
      </c>
      <c r="N220" s="8" t="s">
        <v>359</v>
      </c>
    </row>
    <row r="221" spans="1:14" x14ac:dyDescent="0.3">
      <c r="A221" s="6" t="s">
        <v>125</v>
      </c>
      <c r="B221" s="1" t="s">
        <v>23</v>
      </c>
      <c r="C221" s="7">
        <v>45593</v>
      </c>
      <c r="D221" s="1" t="s">
        <v>15</v>
      </c>
      <c r="E221" s="1" t="s">
        <v>24</v>
      </c>
      <c r="F221" s="1">
        <v>1855</v>
      </c>
      <c r="G221" s="1">
        <v>200</v>
      </c>
      <c r="H221" s="1">
        <v>174</v>
      </c>
      <c r="I221" s="1">
        <v>16695</v>
      </c>
      <c r="J221" s="1">
        <v>16330</v>
      </c>
      <c r="K221" s="1">
        <v>123</v>
      </c>
      <c r="L221" s="1" t="s">
        <v>26</v>
      </c>
      <c r="M221" s="1" t="s">
        <v>11</v>
      </c>
      <c r="N221" s="8" t="s">
        <v>25</v>
      </c>
    </row>
    <row r="222" spans="1:14" x14ac:dyDescent="0.3">
      <c r="A222" s="6" t="s">
        <v>125</v>
      </c>
      <c r="B222" s="1" t="s">
        <v>23</v>
      </c>
      <c r="C222" s="7">
        <v>45593</v>
      </c>
      <c r="D222" s="1" t="s">
        <v>15</v>
      </c>
      <c r="E222" s="1" t="s">
        <v>24</v>
      </c>
      <c r="F222" s="1">
        <v>1855</v>
      </c>
      <c r="G222" s="1">
        <v>200</v>
      </c>
      <c r="H222" s="1">
        <v>174</v>
      </c>
      <c r="I222" s="1">
        <v>16695</v>
      </c>
      <c r="J222" s="1">
        <v>16330</v>
      </c>
      <c r="K222" s="1">
        <v>123</v>
      </c>
      <c r="L222" s="1" t="s">
        <v>26</v>
      </c>
      <c r="M222" s="1" t="s">
        <v>357</v>
      </c>
      <c r="N222" s="8" t="s">
        <v>359</v>
      </c>
    </row>
    <row r="223" spans="1:14" x14ac:dyDescent="0.3">
      <c r="A223" s="6" t="s">
        <v>125</v>
      </c>
      <c r="B223" s="1" t="s">
        <v>23</v>
      </c>
      <c r="C223" s="7">
        <v>45593</v>
      </c>
      <c r="D223" s="1" t="s">
        <v>15</v>
      </c>
      <c r="E223" s="1" t="s">
        <v>24</v>
      </c>
      <c r="F223" s="1">
        <v>1855</v>
      </c>
      <c r="G223" s="1">
        <v>200</v>
      </c>
      <c r="H223" s="1">
        <v>174</v>
      </c>
      <c r="I223" s="1">
        <v>16695</v>
      </c>
      <c r="J223" s="1">
        <v>16330</v>
      </c>
      <c r="K223" s="1">
        <v>123</v>
      </c>
      <c r="L223" s="1" t="s">
        <v>26</v>
      </c>
      <c r="M223" s="1" t="s">
        <v>358</v>
      </c>
      <c r="N223" s="8" t="s">
        <v>359</v>
      </c>
    </row>
    <row r="224" spans="1:14" x14ac:dyDescent="0.3">
      <c r="A224" s="6" t="s">
        <v>126</v>
      </c>
      <c r="B224" s="1" t="s">
        <v>28</v>
      </c>
      <c r="C224" s="7">
        <v>45505</v>
      </c>
      <c r="D224" s="1" t="s">
        <v>15</v>
      </c>
      <c r="E224" s="1" t="s">
        <v>61</v>
      </c>
      <c r="F224" s="1">
        <v>1674</v>
      </c>
      <c r="G224" s="1">
        <v>929</v>
      </c>
      <c r="H224" s="1">
        <v>37</v>
      </c>
      <c r="I224" s="1">
        <v>21762</v>
      </c>
      <c r="J224" s="1">
        <v>20998</v>
      </c>
      <c r="K224" s="1">
        <v>255</v>
      </c>
      <c r="L224" s="1" t="s">
        <v>32</v>
      </c>
      <c r="M224" s="1" t="s">
        <v>11</v>
      </c>
      <c r="N224" s="8" t="s">
        <v>25</v>
      </c>
    </row>
    <row r="225" spans="1:14" x14ac:dyDescent="0.3">
      <c r="A225" s="6" t="s">
        <v>126</v>
      </c>
      <c r="B225" s="1" t="s">
        <v>28</v>
      </c>
      <c r="C225" s="7">
        <v>45505</v>
      </c>
      <c r="D225" s="1" t="s">
        <v>15</v>
      </c>
      <c r="E225" s="1" t="s">
        <v>61</v>
      </c>
      <c r="F225" s="1">
        <v>1674</v>
      </c>
      <c r="G225" s="1">
        <v>929</v>
      </c>
      <c r="H225" s="1">
        <v>37</v>
      </c>
      <c r="I225" s="1">
        <v>21762</v>
      </c>
      <c r="J225" s="1">
        <v>20998</v>
      </c>
      <c r="K225" s="1">
        <v>255</v>
      </c>
      <c r="L225" s="1" t="s">
        <v>32</v>
      </c>
      <c r="M225" s="1" t="s">
        <v>357</v>
      </c>
      <c r="N225" s="8" t="s">
        <v>359</v>
      </c>
    </row>
    <row r="226" spans="1:14" x14ac:dyDescent="0.3">
      <c r="A226" s="6" t="s">
        <v>126</v>
      </c>
      <c r="B226" s="1" t="s">
        <v>28</v>
      </c>
      <c r="C226" s="7">
        <v>45505</v>
      </c>
      <c r="D226" s="1" t="s">
        <v>15</v>
      </c>
      <c r="E226" s="1" t="s">
        <v>61</v>
      </c>
      <c r="F226" s="1">
        <v>1674</v>
      </c>
      <c r="G226" s="1">
        <v>929</v>
      </c>
      <c r="H226" s="1">
        <v>37</v>
      </c>
      <c r="I226" s="1">
        <v>21762</v>
      </c>
      <c r="J226" s="1">
        <v>20998</v>
      </c>
      <c r="K226" s="1">
        <v>255</v>
      </c>
      <c r="L226" s="1" t="s">
        <v>32</v>
      </c>
      <c r="M226" s="1" t="s">
        <v>358</v>
      </c>
      <c r="N226" s="8" t="s">
        <v>359</v>
      </c>
    </row>
    <row r="227" spans="1:14" x14ac:dyDescent="0.3">
      <c r="A227" s="6" t="s">
        <v>127</v>
      </c>
      <c r="B227" s="1" t="s">
        <v>14</v>
      </c>
      <c r="C227" s="7">
        <v>45603</v>
      </c>
      <c r="D227" s="1" t="s">
        <v>29</v>
      </c>
      <c r="E227" s="1" t="s">
        <v>98</v>
      </c>
      <c r="F227" s="1">
        <v>1121</v>
      </c>
      <c r="G227" s="1">
        <v>135</v>
      </c>
      <c r="H227" s="1">
        <v>18</v>
      </c>
      <c r="I227" s="1">
        <v>15694</v>
      </c>
      <c r="J227" s="1">
        <v>14957</v>
      </c>
      <c r="K227" s="1">
        <v>99</v>
      </c>
      <c r="L227" s="1" t="s">
        <v>32</v>
      </c>
      <c r="M227" s="1" t="s">
        <v>11</v>
      </c>
      <c r="N227" s="8" t="s">
        <v>25</v>
      </c>
    </row>
    <row r="228" spans="1:14" x14ac:dyDescent="0.3">
      <c r="A228" s="6" t="s">
        <v>127</v>
      </c>
      <c r="B228" s="1" t="s">
        <v>14</v>
      </c>
      <c r="C228" s="7">
        <v>45603</v>
      </c>
      <c r="D228" s="1" t="s">
        <v>29</v>
      </c>
      <c r="E228" s="1" t="s">
        <v>98</v>
      </c>
      <c r="F228" s="1">
        <v>1121</v>
      </c>
      <c r="G228" s="1">
        <v>135</v>
      </c>
      <c r="H228" s="1">
        <v>18</v>
      </c>
      <c r="I228" s="1">
        <v>15694</v>
      </c>
      <c r="J228" s="1">
        <v>14957</v>
      </c>
      <c r="K228" s="1">
        <v>99</v>
      </c>
      <c r="L228" s="1" t="s">
        <v>32</v>
      </c>
      <c r="M228" s="1" t="s">
        <v>357</v>
      </c>
      <c r="N228" s="8" t="s">
        <v>359</v>
      </c>
    </row>
    <row r="229" spans="1:14" x14ac:dyDescent="0.3">
      <c r="A229" s="6" t="s">
        <v>127</v>
      </c>
      <c r="B229" s="1" t="s">
        <v>14</v>
      </c>
      <c r="C229" s="7">
        <v>45603</v>
      </c>
      <c r="D229" s="1" t="s">
        <v>29</v>
      </c>
      <c r="E229" s="1" t="s">
        <v>98</v>
      </c>
      <c r="F229" s="1">
        <v>1121</v>
      </c>
      <c r="G229" s="1">
        <v>135</v>
      </c>
      <c r="H229" s="1">
        <v>18</v>
      </c>
      <c r="I229" s="1">
        <v>15694</v>
      </c>
      <c r="J229" s="1">
        <v>14957</v>
      </c>
      <c r="K229" s="1">
        <v>99</v>
      </c>
      <c r="L229" s="1" t="s">
        <v>32</v>
      </c>
      <c r="M229" s="1" t="s">
        <v>358</v>
      </c>
      <c r="N229" s="8" t="s">
        <v>359</v>
      </c>
    </row>
    <row r="230" spans="1:14" x14ac:dyDescent="0.3">
      <c r="A230" s="6" t="s">
        <v>128</v>
      </c>
      <c r="B230" s="1" t="s">
        <v>35</v>
      </c>
      <c r="C230" s="7">
        <v>45720</v>
      </c>
      <c r="D230" s="1" t="s">
        <v>29</v>
      </c>
      <c r="E230" s="1" t="s">
        <v>54</v>
      </c>
      <c r="F230" s="1">
        <v>1249</v>
      </c>
      <c r="G230" s="1">
        <v>116</v>
      </c>
      <c r="H230" s="1">
        <v>420</v>
      </c>
      <c r="I230" s="1">
        <v>8743</v>
      </c>
      <c r="J230" s="1">
        <v>8538</v>
      </c>
      <c r="K230" s="1">
        <v>63</v>
      </c>
      <c r="L230" s="1" t="s">
        <v>360</v>
      </c>
      <c r="M230" s="1" t="s">
        <v>11</v>
      </c>
      <c r="N230" s="8" t="s">
        <v>25</v>
      </c>
    </row>
    <row r="231" spans="1:14" x14ac:dyDescent="0.3">
      <c r="A231" s="6" t="s">
        <v>128</v>
      </c>
      <c r="B231" s="1" t="s">
        <v>35</v>
      </c>
      <c r="C231" s="7">
        <v>45720</v>
      </c>
      <c r="D231" s="1" t="s">
        <v>29</v>
      </c>
      <c r="E231" s="1" t="s">
        <v>54</v>
      </c>
      <c r="F231" s="1">
        <v>1249</v>
      </c>
      <c r="G231" s="1">
        <v>116</v>
      </c>
      <c r="H231" s="1">
        <v>420</v>
      </c>
      <c r="I231" s="1">
        <v>8743</v>
      </c>
      <c r="J231" s="1">
        <v>8538</v>
      </c>
      <c r="K231" s="1">
        <v>63</v>
      </c>
      <c r="L231" s="1" t="s">
        <v>360</v>
      </c>
      <c r="M231" s="1" t="s">
        <v>357</v>
      </c>
      <c r="N231" s="8" t="s">
        <v>359</v>
      </c>
    </row>
    <row r="232" spans="1:14" x14ac:dyDescent="0.3">
      <c r="A232" s="6" t="s">
        <v>128</v>
      </c>
      <c r="B232" s="1" t="s">
        <v>35</v>
      </c>
      <c r="C232" s="7">
        <v>45720</v>
      </c>
      <c r="D232" s="1" t="s">
        <v>29</v>
      </c>
      <c r="E232" s="1" t="s">
        <v>54</v>
      </c>
      <c r="F232" s="1">
        <v>1249</v>
      </c>
      <c r="G232" s="1">
        <v>116</v>
      </c>
      <c r="H232" s="1">
        <v>420</v>
      </c>
      <c r="I232" s="1">
        <v>8743</v>
      </c>
      <c r="J232" s="1">
        <v>8538</v>
      </c>
      <c r="K232" s="1">
        <v>63</v>
      </c>
      <c r="L232" s="1" t="s">
        <v>360</v>
      </c>
      <c r="M232" s="1" t="s">
        <v>358</v>
      </c>
      <c r="N232" s="8" t="s">
        <v>359</v>
      </c>
    </row>
    <row r="233" spans="1:14" x14ac:dyDescent="0.3">
      <c r="A233" s="6" t="s">
        <v>129</v>
      </c>
      <c r="B233" s="1" t="s">
        <v>14</v>
      </c>
      <c r="C233" s="7">
        <v>45460</v>
      </c>
      <c r="D233" s="1" t="s">
        <v>41</v>
      </c>
      <c r="E233" s="1" t="s">
        <v>88</v>
      </c>
      <c r="F233" s="1">
        <v>954</v>
      </c>
      <c r="G233" s="1">
        <v>324</v>
      </c>
      <c r="H233" s="1">
        <v>288</v>
      </c>
      <c r="I233" s="1">
        <v>19080</v>
      </c>
      <c r="J233" s="1">
        <v>18859</v>
      </c>
      <c r="K233" s="1">
        <v>21</v>
      </c>
      <c r="L233" s="1" t="s">
        <v>32</v>
      </c>
      <c r="M233" s="1" t="s">
        <v>11</v>
      </c>
      <c r="N233" s="8" t="s">
        <v>48</v>
      </c>
    </row>
    <row r="234" spans="1:14" x14ac:dyDescent="0.3">
      <c r="A234" s="6" t="s">
        <v>129</v>
      </c>
      <c r="B234" s="1" t="s">
        <v>14</v>
      </c>
      <c r="C234" s="7">
        <v>45460</v>
      </c>
      <c r="D234" s="1" t="s">
        <v>41</v>
      </c>
      <c r="E234" s="1" t="s">
        <v>88</v>
      </c>
      <c r="F234" s="1">
        <v>954</v>
      </c>
      <c r="G234" s="1">
        <v>324</v>
      </c>
      <c r="H234" s="1">
        <v>288</v>
      </c>
      <c r="I234" s="1">
        <v>19080</v>
      </c>
      <c r="J234" s="1">
        <v>18859</v>
      </c>
      <c r="K234" s="1">
        <v>21</v>
      </c>
      <c r="L234" s="1" t="s">
        <v>32</v>
      </c>
      <c r="M234" s="1" t="s">
        <v>357</v>
      </c>
      <c r="N234" s="8" t="s">
        <v>359</v>
      </c>
    </row>
    <row r="235" spans="1:14" x14ac:dyDescent="0.3">
      <c r="A235" s="6" t="s">
        <v>129</v>
      </c>
      <c r="B235" s="1" t="s">
        <v>14</v>
      </c>
      <c r="C235" s="7">
        <v>45460</v>
      </c>
      <c r="D235" s="1" t="s">
        <v>41</v>
      </c>
      <c r="E235" s="1" t="s">
        <v>88</v>
      </c>
      <c r="F235" s="1">
        <v>954</v>
      </c>
      <c r="G235" s="1">
        <v>324</v>
      </c>
      <c r="H235" s="1">
        <v>288</v>
      </c>
      <c r="I235" s="1">
        <v>19080</v>
      </c>
      <c r="J235" s="1">
        <v>18859</v>
      </c>
      <c r="K235" s="1">
        <v>21</v>
      </c>
      <c r="L235" s="1" t="s">
        <v>32</v>
      </c>
      <c r="M235" s="1" t="s">
        <v>358</v>
      </c>
      <c r="N235" s="8" t="s">
        <v>359</v>
      </c>
    </row>
    <row r="236" spans="1:14" x14ac:dyDescent="0.3">
      <c r="A236" s="6" t="s">
        <v>130</v>
      </c>
      <c r="B236" s="1" t="s">
        <v>28</v>
      </c>
      <c r="C236" s="7">
        <v>45574</v>
      </c>
      <c r="D236" s="1" t="s">
        <v>36</v>
      </c>
      <c r="E236" s="1" t="s">
        <v>65</v>
      </c>
      <c r="F236" s="1">
        <v>3068</v>
      </c>
      <c r="G236" s="1">
        <v>137</v>
      </c>
      <c r="H236" s="1">
        <v>329</v>
      </c>
      <c r="I236" s="1">
        <v>39884</v>
      </c>
      <c r="J236" s="1">
        <v>39404</v>
      </c>
      <c r="K236" s="1">
        <v>266</v>
      </c>
      <c r="L236" s="1" t="s">
        <v>21</v>
      </c>
      <c r="M236" s="1" t="s">
        <v>11</v>
      </c>
      <c r="N236" s="8" t="s">
        <v>31</v>
      </c>
    </row>
    <row r="237" spans="1:14" x14ac:dyDescent="0.3">
      <c r="A237" s="6" t="s">
        <v>130</v>
      </c>
      <c r="B237" s="1" t="s">
        <v>28</v>
      </c>
      <c r="C237" s="7">
        <v>45574</v>
      </c>
      <c r="D237" s="1" t="s">
        <v>36</v>
      </c>
      <c r="E237" s="1" t="s">
        <v>65</v>
      </c>
      <c r="F237" s="1">
        <v>3068</v>
      </c>
      <c r="G237" s="1">
        <v>137</v>
      </c>
      <c r="H237" s="1">
        <v>329</v>
      </c>
      <c r="I237" s="1">
        <v>39884</v>
      </c>
      <c r="J237" s="1">
        <v>39404</v>
      </c>
      <c r="K237" s="1">
        <v>266</v>
      </c>
      <c r="L237" s="1" t="s">
        <v>21</v>
      </c>
      <c r="M237" s="1" t="s">
        <v>357</v>
      </c>
      <c r="N237" s="8" t="s">
        <v>359</v>
      </c>
    </row>
    <row r="238" spans="1:14" x14ac:dyDescent="0.3">
      <c r="A238" s="6" t="s">
        <v>130</v>
      </c>
      <c r="B238" s="1" t="s">
        <v>28</v>
      </c>
      <c r="C238" s="7">
        <v>45574</v>
      </c>
      <c r="D238" s="1" t="s">
        <v>36</v>
      </c>
      <c r="E238" s="1" t="s">
        <v>65</v>
      </c>
      <c r="F238" s="1">
        <v>3068</v>
      </c>
      <c r="G238" s="1">
        <v>137</v>
      </c>
      <c r="H238" s="1">
        <v>329</v>
      </c>
      <c r="I238" s="1">
        <v>39884</v>
      </c>
      <c r="J238" s="1">
        <v>39404</v>
      </c>
      <c r="K238" s="1">
        <v>266</v>
      </c>
      <c r="L238" s="1" t="s">
        <v>21</v>
      </c>
      <c r="M238" s="1" t="s">
        <v>358</v>
      </c>
      <c r="N238" s="8" t="s">
        <v>359</v>
      </c>
    </row>
    <row r="239" spans="1:14" x14ac:dyDescent="0.3">
      <c r="A239" s="6" t="s">
        <v>131</v>
      </c>
      <c r="B239" s="1" t="s">
        <v>28</v>
      </c>
      <c r="C239" s="7">
        <v>45456</v>
      </c>
      <c r="D239" s="1" t="s">
        <v>29</v>
      </c>
      <c r="E239" s="1" t="s">
        <v>30</v>
      </c>
      <c r="F239" s="1">
        <v>2103</v>
      </c>
      <c r="G239" s="1">
        <v>892</v>
      </c>
      <c r="H239" s="1">
        <v>103</v>
      </c>
      <c r="I239" s="1">
        <v>39957</v>
      </c>
      <c r="J239" s="1">
        <v>39466</v>
      </c>
      <c r="K239" s="1">
        <v>28</v>
      </c>
      <c r="L239" s="1" t="s">
        <v>360</v>
      </c>
      <c r="M239" s="1" t="s">
        <v>11</v>
      </c>
      <c r="N239" s="8" t="s">
        <v>48</v>
      </c>
    </row>
    <row r="240" spans="1:14" x14ac:dyDescent="0.3">
      <c r="A240" s="6" t="s">
        <v>131</v>
      </c>
      <c r="B240" s="1" t="s">
        <v>28</v>
      </c>
      <c r="C240" s="7">
        <v>45456</v>
      </c>
      <c r="D240" s="1" t="s">
        <v>29</v>
      </c>
      <c r="E240" s="1" t="s">
        <v>30</v>
      </c>
      <c r="F240" s="1">
        <v>2103</v>
      </c>
      <c r="G240" s="1">
        <v>892</v>
      </c>
      <c r="H240" s="1">
        <v>103</v>
      </c>
      <c r="I240" s="1">
        <v>39957</v>
      </c>
      <c r="J240" s="1">
        <v>39466</v>
      </c>
      <c r="K240" s="1">
        <v>28</v>
      </c>
      <c r="L240" s="1" t="s">
        <v>360</v>
      </c>
      <c r="M240" s="1" t="s">
        <v>357</v>
      </c>
      <c r="N240" s="8" t="s">
        <v>359</v>
      </c>
    </row>
    <row r="241" spans="1:14" x14ac:dyDescent="0.3">
      <c r="A241" s="6" t="s">
        <v>131</v>
      </c>
      <c r="B241" s="1" t="s">
        <v>28</v>
      </c>
      <c r="C241" s="7">
        <v>45456</v>
      </c>
      <c r="D241" s="1" t="s">
        <v>29</v>
      </c>
      <c r="E241" s="1" t="s">
        <v>30</v>
      </c>
      <c r="F241" s="1">
        <v>2103</v>
      </c>
      <c r="G241" s="1">
        <v>892</v>
      </c>
      <c r="H241" s="1">
        <v>103</v>
      </c>
      <c r="I241" s="1">
        <v>39957</v>
      </c>
      <c r="J241" s="1">
        <v>39466</v>
      </c>
      <c r="K241" s="1">
        <v>28</v>
      </c>
      <c r="L241" s="1" t="s">
        <v>360</v>
      </c>
      <c r="M241" s="1" t="s">
        <v>358</v>
      </c>
      <c r="N241" s="8" t="s">
        <v>359</v>
      </c>
    </row>
    <row r="242" spans="1:14" x14ac:dyDescent="0.3">
      <c r="A242" s="6" t="s">
        <v>132</v>
      </c>
      <c r="B242" s="1" t="s">
        <v>28</v>
      </c>
      <c r="C242" s="7">
        <v>45584</v>
      </c>
      <c r="D242" s="1" t="s">
        <v>29</v>
      </c>
      <c r="E242" s="1" t="s">
        <v>30</v>
      </c>
      <c r="F242" s="1">
        <v>1816</v>
      </c>
      <c r="G242" s="1">
        <v>29</v>
      </c>
      <c r="H242" s="1">
        <v>41</v>
      </c>
      <c r="I242" s="1">
        <v>19976</v>
      </c>
      <c r="J242" s="1">
        <v>19262</v>
      </c>
      <c r="K242" s="1">
        <v>283</v>
      </c>
      <c r="L242" s="1" t="s">
        <v>26</v>
      </c>
      <c r="M242" s="1" t="s">
        <v>11</v>
      </c>
      <c r="N242" s="8" t="s">
        <v>25</v>
      </c>
    </row>
    <row r="243" spans="1:14" x14ac:dyDescent="0.3">
      <c r="A243" s="6" t="s">
        <v>132</v>
      </c>
      <c r="B243" s="1" t="s">
        <v>28</v>
      </c>
      <c r="C243" s="7">
        <v>45584</v>
      </c>
      <c r="D243" s="1" t="s">
        <v>29</v>
      </c>
      <c r="E243" s="1" t="s">
        <v>30</v>
      </c>
      <c r="F243" s="1">
        <v>1816</v>
      </c>
      <c r="G243" s="1">
        <v>29</v>
      </c>
      <c r="H243" s="1">
        <v>41</v>
      </c>
      <c r="I243" s="1">
        <v>19976</v>
      </c>
      <c r="J243" s="1">
        <v>19262</v>
      </c>
      <c r="K243" s="1">
        <v>283</v>
      </c>
      <c r="L243" s="1" t="s">
        <v>26</v>
      </c>
      <c r="M243" s="1" t="s">
        <v>357</v>
      </c>
      <c r="N243" s="8" t="s">
        <v>359</v>
      </c>
    </row>
    <row r="244" spans="1:14" x14ac:dyDescent="0.3">
      <c r="A244" s="6" t="s">
        <v>132</v>
      </c>
      <c r="B244" s="1" t="s">
        <v>28</v>
      </c>
      <c r="C244" s="7">
        <v>45584</v>
      </c>
      <c r="D244" s="1" t="s">
        <v>29</v>
      </c>
      <c r="E244" s="1" t="s">
        <v>30</v>
      </c>
      <c r="F244" s="1">
        <v>1816</v>
      </c>
      <c r="G244" s="1">
        <v>29</v>
      </c>
      <c r="H244" s="1">
        <v>41</v>
      </c>
      <c r="I244" s="1">
        <v>19976</v>
      </c>
      <c r="J244" s="1">
        <v>19262</v>
      </c>
      <c r="K244" s="1">
        <v>283</v>
      </c>
      <c r="L244" s="1" t="s">
        <v>26</v>
      </c>
      <c r="M244" s="1" t="s">
        <v>358</v>
      </c>
      <c r="N244" s="8" t="s">
        <v>359</v>
      </c>
    </row>
    <row r="245" spans="1:14" x14ac:dyDescent="0.3">
      <c r="A245" s="6" t="s">
        <v>133</v>
      </c>
      <c r="B245" s="1" t="s">
        <v>28</v>
      </c>
      <c r="C245" s="7">
        <v>45497</v>
      </c>
      <c r="D245" s="1" t="s">
        <v>41</v>
      </c>
      <c r="E245" s="1" t="s">
        <v>134</v>
      </c>
      <c r="F245" s="1">
        <v>725</v>
      </c>
      <c r="G245" s="1">
        <v>88</v>
      </c>
      <c r="H245" s="1">
        <v>428</v>
      </c>
      <c r="I245" s="1">
        <v>14500</v>
      </c>
      <c r="J245" s="1">
        <v>13637</v>
      </c>
      <c r="K245" s="1">
        <v>200</v>
      </c>
      <c r="L245" s="1" t="s">
        <v>26</v>
      </c>
      <c r="M245" s="1" t="s">
        <v>11</v>
      </c>
      <c r="N245" s="8" t="s">
        <v>48</v>
      </c>
    </row>
    <row r="246" spans="1:14" x14ac:dyDescent="0.3">
      <c r="A246" s="6" t="s">
        <v>133</v>
      </c>
      <c r="B246" s="1" t="s">
        <v>28</v>
      </c>
      <c r="C246" s="7">
        <v>45497</v>
      </c>
      <c r="D246" s="1" t="s">
        <v>41</v>
      </c>
      <c r="E246" s="1" t="s">
        <v>134</v>
      </c>
      <c r="F246" s="1">
        <v>725</v>
      </c>
      <c r="G246" s="1">
        <v>88</v>
      </c>
      <c r="H246" s="1">
        <v>428</v>
      </c>
      <c r="I246" s="1">
        <v>14500</v>
      </c>
      <c r="J246" s="1">
        <v>13637</v>
      </c>
      <c r="K246" s="1">
        <v>200</v>
      </c>
      <c r="L246" s="1" t="s">
        <v>26</v>
      </c>
      <c r="M246" s="1" t="s">
        <v>357</v>
      </c>
      <c r="N246" s="8" t="s">
        <v>25</v>
      </c>
    </row>
    <row r="247" spans="1:14" x14ac:dyDescent="0.3">
      <c r="A247" s="6" t="s">
        <v>133</v>
      </c>
      <c r="B247" s="1" t="s">
        <v>28</v>
      </c>
      <c r="C247" s="7">
        <v>45497</v>
      </c>
      <c r="D247" s="1" t="s">
        <v>41</v>
      </c>
      <c r="E247" s="1" t="s">
        <v>134</v>
      </c>
      <c r="F247" s="1">
        <v>725</v>
      </c>
      <c r="G247" s="1">
        <v>88</v>
      </c>
      <c r="H247" s="1">
        <v>428</v>
      </c>
      <c r="I247" s="1">
        <v>14500</v>
      </c>
      <c r="J247" s="1">
        <v>13637</v>
      </c>
      <c r="K247" s="1">
        <v>200</v>
      </c>
      <c r="L247" s="1" t="s">
        <v>26</v>
      </c>
      <c r="M247" s="1" t="s">
        <v>358</v>
      </c>
      <c r="N247" s="8" t="s">
        <v>354</v>
      </c>
    </row>
    <row r="248" spans="1:14" x14ac:dyDescent="0.3">
      <c r="A248" s="6" t="s">
        <v>135</v>
      </c>
      <c r="B248" s="1" t="s">
        <v>23</v>
      </c>
      <c r="C248" s="7">
        <v>45580</v>
      </c>
      <c r="D248" s="1" t="s">
        <v>56</v>
      </c>
      <c r="E248" s="1" t="s">
        <v>136</v>
      </c>
      <c r="F248" s="1">
        <v>1094</v>
      </c>
      <c r="G248" s="1">
        <v>472</v>
      </c>
      <c r="H248" s="1">
        <v>21</v>
      </c>
      <c r="I248" s="1">
        <v>9846</v>
      </c>
      <c r="J248" s="1">
        <v>9609</v>
      </c>
      <c r="K248" s="1">
        <v>112</v>
      </c>
      <c r="L248" s="1" t="s">
        <v>360</v>
      </c>
      <c r="M248" s="1" t="s">
        <v>11</v>
      </c>
      <c r="N248" s="8" t="s">
        <v>31</v>
      </c>
    </row>
    <row r="249" spans="1:14" x14ac:dyDescent="0.3">
      <c r="A249" s="6" t="s">
        <v>135</v>
      </c>
      <c r="B249" s="1" t="s">
        <v>23</v>
      </c>
      <c r="C249" s="7">
        <v>45580</v>
      </c>
      <c r="D249" s="1" t="s">
        <v>56</v>
      </c>
      <c r="E249" s="1" t="s">
        <v>136</v>
      </c>
      <c r="F249" s="1">
        <v>1094</v>
      </c>
      <c r="G249" s="1">
        <v>472</v>
      </c>
      <c r="H249" s="1">
        <v>21</v>
      </c>
      <c r="I249" s="1">
        <v>9846</v>
      </c>
      <c r="J249" s="1">
        <v>9609</v>
      </c>
      <c r="K249" s="1">
        <v>112</v>
      </c>
      <c r="L249" s="1" t="s">
        <v>360</v>
      </c>
      <c r="M249" s="1" t="s">
        <v>357</v>
      </c>
      <c r="N249" s="8" t="s">
        <v>359</v>
      </c>
    </row>
    <row r="250" spans="1:14" x14ac:dyDescent="0.3">
      <c r="A250" s="6" t="s">
        <v>135</v>
      </c>
      <c r="B250" s="1" t="s">
        <v>23</v>
      </c>
      <c r="C250" s="7">
        <v>45580</v>
      </c>
      <c r="D250" s="1" t="s">
        <v>56</v>
      </c>
      <c r="E250" s="1" t="s">
        <v>136</v>
      </c>
      <c r="F250" s="1">
        <v>1094</v>
      </c>
      <c r="G250" s="1">
        <v>472</v>
      </c>
      <c r="H250" s="1">
        <v>21</v>
      </c>
      <c r="I250" s="1">
        <v>9846</v>
      </c>
      <c r="J250" s="1">
        <v>9609</v>
      </c>
      <c r="K250" s="1">
        <v>112</v>
      </c>
      <c r="L250" s="1" t="s">
        <v>360</v>
      </c>
      <c r="M250" s="1" t="s">
        <v>358</v>
      </c>
      <c r="N250" s="8" t="s">
        <v>359</v>
      </c>
    </row>
    <row r="251" spans="1:14" x14ac:dyDescent="0.3">
      <c r="A251" s="6" t="s">
        <v>137</v>
      </c>
      <c r="B251" s="1" t="s">
        <v>35</v>
      </c>
      <c r="C251" s="7">
        <v>45635</v>
      </c>
      <c r="D251" s="1" t="s">
        <v>41</v>
      </c>
      <c r="E251" s="1" t="s">
        <v>46</v>
      </c>
      <c r="F251" s="1">
        <v>1841</v>
      </c>
      <c r="G251" s="1">
        <v>851</v>
      </c>
      <c r="H251" s="1">
        <v>342</v>
      </c>
      <c r="I251" s="1">
        <v>34979</v>
      </c>
      <c r="J251" s="1">
        <v>34154</v>
      </c>
      <c r="K251" s="1">
        <v>255</v>
      </c>
      <c r="L251" s="1" t="s">
        <v>32</v>
      </c>
      <c r="M251" s="1" t="s">
        <v>11</v>
      </c>
      <c r="N251" s="8" t="s">
        <v>48</v>
      </c>
    </row>
    <row r="252" spans="1:14" x14ac:dyDescent="0.3">
      <c r="A252" s="6" t="s">
        <v>137</v>
      </c>
      <c r="B252" s="1" t="s">
        <v>35</v>
      </c>
      <c r="C252" s="7">
        <v>45635</v>
      </c>
      <c r="D252" s="1" t="s">
        <v>41</v>
      </c>
      <c r="E252" s="1" t="s">
        <v>46</v>
      </c>
      <c r="F252" s="1">
        <v>1841</v>
      </c>
      <c r="G252" s="1">
        <v>851</v>
      </c>
      <c r="H252" s="1">
        <v>342</v>
      </c>
      <c r="I252" s="1">
        <v>34979</v>
      </c>
      <c r="J252" s="1">
        <v>34154</v>
      </c>
      <c r="K252" s="1">
        <v>255</v>
      </c>
      <c r="L252" s="1" t="s">
        <v>32</v>
      </c>
      <c r="M252" s="1" t="s">
        <v>357</v>
      </c>
      <c r="N252" s="8" t="s">
        <v>359</v>
      </c>
    </row>
    <row r="253" spans="1:14" x14ac:dyDescent="0.3">
      <c r="A253" s="6" t="s">
        <v>137</v>
      </c>
      <c r="B253" s="1" t="s">
        <v>35</v>
      </c>
      <c r="C253" s="7">
        <v>45635</v>
      </c>
      <c r="D253" s="1" t="s">
        <v>41</v>
      </c>
      <c r="E253" s="1" t="s">
        <v>46</v>
      </c>
      <c r="F253" s="1">
        <v>1841</v>
      </c>
      <c r="G253" s="1">
        <v>851</v>
      </c>
      <c r="H253" s="1">
        <v>342</v>
      </c>
      <c r="I253" s="1">
        <v>34979</v>
      </c>
      <c r="J253" s="1">
        <v>34154</v>
      </c>
      <c r="K253" s="1">
        <v>255</v>
      </c>
      <c r="L253" s="1" t="s">
        <v>32</v>
      </c>
      <c r="M253" s="1" t="s">
        <v>358</v>
      </c>
      <c r="N253" s="8" t="s">
        <v>359</v>
      </c>
    </row>
    <row r="254" spans="1:14" x14ac:dyDescent="0.3">
      <c r="A254" s="6" t="s">
        <v>138</v>
      </c>
      <c r="B254" s="1" t="s">
        <v>28</v>
      </c>
      <c r="C254" s="7">
        <v>45766</v>
      </c>
      <c r="D254" s="1" t="s">
        <v>41</v>
      </c>
      <c r="E254" s="1" t="s">
        <v>134</v>
      </c>
      <c r="F254" s="1">
        <v>4177</v>
      </c>
      <c r="G254" s="1">
        <v>569</v>
      </c>
      <c r="H254" s="1">
        <v>55</v>
      </c>
      <c r="I254" s="1">
        <v>25062</v>
      </c>
      <c r="J254" s="1">
        <v>24847</v>
      </c>
      <c r="K254" s="1">
        <v>230</v>
      </c>
      <c r="L254" s="1" t="s">
        <v>17</v>
      </c>
      <c r="M254" s="1" t="s">
        <v>11</v>
      </c>
      <c r="N254" s="8" t="s">
        <v>48</v>
      </c>
    </row>
    <row r="255" spans="1:14" x14ac:dyDescent="0.3">
      <c r="A255" s="6" t="s">
        <v>138</v>
      </c>
      <c r="B255" s="1" t="s">
        <v>28</v>
      </c>
      <c r="C255" s="7">
        <v>45766</v>
      </c>
      <c r="D255" s="1" t="s">
        <v>41</v>
      </c>
      <c r="E255" s="1" t="s">
        <v>134</v>
      </c>
      <c r="F255" s="1">
        <v>4177</v>
      </c>
      <c r="G255" s="1">
        <v>569</v>
      </c>
      <c r="H255" s="1">
        <v>55</v>
      </c>
      <c r="I255" s="1">
        <v>25062</v>
      </c>
      <c r="J255" s="1">
        <v>24847</v>
      </c>
      <c r="K255" s="1">
        <v>230</v>
      </c>
      <c r="L255" s="1" t="s">
        <v>17</v>
      </c>
      <c r="M255" s="1" t="s">
        <v>357</v>
      </c>
      <c r="N255" s="8" t="s">
        <v>359</v>
      </c>
    </row>
    <row r="256" spans="1:14" x14ac:dyDescent="0.3">
      <c r="A256" s="6" t="s">
        <v>138</v>
      </c>
      <c r="B256" s="1" t="s">
        <v>28</v>
      </c>
      <c r="C256" s="7">
        <v>45766</v>
      </c>
      <c r="D256" s="1" t="s">
        <v>41</v>
      </c>
      <c r="E256" s="1" t="s">
        <v>134</v>
      </c>
      <c r="F256" s="1">
        <v>4177</v>
      </c>
      <c r="G256" s="1">
        <v>569</v>
      </c>
      <c r="H256" s="1">
        <v>55</v>
      </c>
      <c r="I256" s="1">
        <v>25062</v>
      </c>
      <c r="J256" s="1">
        <v>24847</v>
      </c>
      <c r="K256" s="1">
        <v>230</v>
      </c>
      <c r="L256" s="1" t="s">
        <v>17</v>
      </c>
      <c r="M256" s="1" t="s">
        <v>358</v>
      </c>
      <c r="N256" s="8" t="s">
        <v>359</v>
      </c>
    </row>
    <row r="257" spans="1:14" x14ac:dyDescent="0.3">
      <c r="A257" s="6" t="s">
        <v>139</v>
      </c>
      <c r="B257" s="1" t="s">
        <v>23</v>
      </c>
      <c r="C257" s="7">
        <v>45684</v>
      </c>
      <c r="D257" s="1" t="s">
        <v>19</v>
      </c>
      <c r="E257" s="1" t="s">
        <v>73</v>
      </c>
      <c r="F257" s="1">
        <v>3428</v>
      </c>
      <c r="G257" s="1">
        <v>305</v>
      </c>
      <c r="H257" s="1">
        <v>85</v>
      </c>
      <c r="I257" s="1">
        <v>58276</v>
      </c>
      <c r="J257" s="1">
        <v>58052</v>
      </c>
      <c r="K257" s="1">
        <v>242</v>
      </c>
      <c r="L257" s="1" t="s">
        <v>32</v>
      </c>
      <c r="M257" s="1" t="s">
        <v>11</v>
      </c>
      <c r="N257" s="8" t="s">
        <v>31</v>
      </c>
    </row>
    <row r="258" spans="1:14" x14ac:dyDescent="0.3">
      <c r="A258" s="6" t="s">
        <v>139</v>
      </c>
      <c r="B258" s="1" t="s">
        <v>23</v>
      </c>
      <c r="C258" s="7">
        <v>45684</v>
      </c>
      <c r="D258" s="1" t="s">
        <v>19</v>
      </c>
      <c r="E258" s="1" t="s">
        <v>73</v>
      </c>
      <c r="F258" s="1">
        <v>3428</v>
      </c>
      <c r="G258" s="1">
        <v>305</v>
      </c>
      <c r="H258" s="1">
        <v>85</v>
      </c>
      <c r="I258" s="1">
        <v>58276</v>
      </c>
      <c r="J258" s="1">
        <v>58052</v>
      </c>
      <c r="K258" s="1">
        <v>242</v>
      </c>
      <c r="L258" s="1" t="s">
        <v>32</v>
      </c>
      <c r="M258" s="1" t="s">
        <v>357</v>
      </c>
      <c r="N258" s="8" t="s">
        <v>355</v>
      </c>
    </row>
    <row r="259" spans="1:14" x14ac:dyDescent="0.3">
      <c r="A259" s="6" t="s">
        <v>139</v>
      </c>
      <c r="B259" s="1" t="s">
        <v>23</v>
      </c>
      <c r="C259" s="7">
        <v>45684</v>
      </c>
      <c r="D259" s="1" t="s">
        <v>19</v>
      </c>
      <c r="E259" s="1" t="s">
        <v>73</v>
      </c>
      <c r="F259" s="1">
        <v>3428</v>
      </c>
      <c r="G259" s="1">
        <v>305</v>
      </c>
      <c r="H259" s="1">
        <v>85</v>
      </c>
      <c r="I259" s="1">
        <v>58276</v>
      </c>
      <c r="J259" s="1">
        <v>58052</v>
      </c>
      <c r="K259" s="1">
        <v>242</v>
      </c>
      <c r="L259" s="1" t="s">
        <v>32</v>
      </c>
      <c r="M259" s="1" t="s">
        <v>358</v>
      </c>
      <c r="N259" s="8" t="s">
        <v>359</v>
      </c>
    </row>
    <row r="260" spans="1:14" x14ac:dyDescent="0.3">
      <c r="A260" s="6" t="s">
        <v>140</v>
      </c>
      <c r="B260" s="1" t="s">
        <v>14</v>
      </c>
      <c r="C260" s="7">
        <v>45449</v>
      </c>
      <c r="D260" s="1" t="s">
        <v>56</v>
      </c>
      <c r="E260" s="1" t="s">
        <v>95</v>
      </c>
      <c r="F260" s="1">
        <v>1436</v>
      </c>
      <c r="G260" s="1">
        <v>765</v>
      </c>
      <c r="H260" s="1">
        <v>496</v>
      </c>
      <c r="I260" s="1">
        <v>12924</v>
      </c>
      <c r="J260" s="1">
        <v>12701</v>
      </c>
      <c r="K260" s="1">
        <v>197</v>
      </c>
      <c r="L260" s="1" t="s">
        <v>26</v>
      </c>
      <c r="M260" s="1" t="s">
        <v>11</v>
      </c>
      <c r="N260" s="8" t="s">
        <v>48</v>
      </c>
    </row>
    <row r="261" spans="1:14" x14ac:dyDescent="0.3">
      <c r="A261" s="6" t="s">
        <v>140</v>
      </c>
      <c r="B261" s="1" t="s">
        <v>14</v>
      </c>
      <c r="C261" s="7">
        <v>45449</v>
      </c>
      <c r="D261" s="1" t="s">
        <v>56</v>
      </c>
      <c r="E261" s="1" t="s">
        <v>95</v>
      </c>
      <c r="F261" s="1">
        <v>1436</v>
      </c>
      <c r="G261" s="1">
        <v>765</v>
      </c>
      <c r="H261" s="1">
        <v>496</v>
      </c>
      <c r="I261" s="1">
        <v>12924</v>
      </c>
      <c r="J261" s="1">
        <v>12701</v>
      </c>
      <c r="K261" s="1">
        <v>197</v>
      </c>
      <c r="L261" s="1" t="s">
        <v>26</v>
      </c>
      <c r="M261" s="1" t="s">
        <v>357</v>
      </c>
      <c r="N261" s="8" t="s">
        <v>359</v>
      </c>
    </row>
    <row r="262" spans="1:14" x14ac:dyDescent="0.3">
      <c r="A262" s="6" t="s">
        <v>140</v>
      </c>
      <c r="B262" s="1" t="s">
        <v>14</v>
      </c>
      <c r="C262" s="7">
        <v>45449</v>
      </c>
      <c r="D262" s="1" t="s">
        <v>56</v>
      </c>
      <c r="E262" s="1" t="s">
        <v>95</v>
      </c>
      <c r="F262" s="1">
        <v>1436</v>
      </c>
      <c r="G262" s="1">
        <v>765</v>
      </c>
      <c r="H262" s="1">
        <v>496</v>
      </c>
      <c r="I262" s="1">
        <v>12924</v>
      </c>
      <c r="J262" s="1">
        <v>12701</v>
      </c>
      <c r="K262" s="1">
        <v>197</v>
      </c>
      <c r="L262" s="1" t="s">
        <v>26</v>
      </c>
      <c r="M262" s="1" t="s">
        <v>358</v>
      </c>
      <c r="N262" s="8" t="s">
        <v>359</v>
      </c>
    </row>
    <row r="263" spans="1:14" x14ac:dyDescent="0.3">
      <c r="A263" s="6" t="s">
        <v>141</v>
      </c>
      <c r="B263" s="1" t="s">
        <v>35</v>
      </c>
      <c r="C263" s="7">
        <v>45480</v>
      </c>
      <c r="D263" s="1" t="s">
        <v>29</v>
      </c>
      <c r="E263" s="1" t="s">
        <v>54</v>
      </c>
      <c r="F263" s="1">
        <v>302</v>
      </c>
      <c r="G263" s="1">
        <v>47</v>
      </c>
      <c r="H263" s="1">
        <v>430</v>
      </c>
      <c r="I263" s="1">
        <v>5738</v>
      </c>
      <c r="J263" s="1">
        <v>4890</v>
      </c>
      <c r="K263" s="1">
        <v>25</v>
      </c>
      <c r="L263" s="1" t="s">
        <v>32</v>
      </c>
      <c r="M263" s="1" t="s">
        <v>11</v>
      </c>
      <c r="N263" s="8" t="s">
        <v>25</v>
      </c>
    </row>
    <row r="264" spans="1:14" x14ac:dyDescent="0.3">
      <c r="A264" s="6" t="s">
        <v>141</v>
      </c>
      <c r="B264" s="1" t="s">
        <v>35</v>
      </c>
      <c r="C264" s="7">
        <v>45480</v>
      </c>
      <c r="D264" s="1" t="s">
        <v>29</v>
      </c>
      <c r="E264" s="1" t="s">
        <v>54</v>
      </c>
      <c r="F264" s="1">
        <v>302</v>
      </c>
      <c r="G264" s="1">
        <v>47</v>
      </c>
      <c r="H264" s="1">
        <v>430</v>
      </c>
      <c r="I264" s="1">
        <v>5738</v>
      </c>
      <c r="J264" s="1">
        <v>4890</v>
      </c>
      <c r="K264" s="1">
        <v>25</v>
      </c>
      <c r="L264" s="1" t="s">
        <v>32</v>
      </c>
      <c r="M264" s="1" t="s">
        <v>357</v>
      </c>
      <c r="N264" s="8" t="s">
        <v>359</v>
      </c>
    </row>
    <row r="265" spans="1:14" x14ac:dyDescent="0.3">
      <c r="A265" s="6" t="s">
        <v>141</v>
      </c>
      <c r="B265" s="1" t="s">
        <v>35</v>
      </c>
      <c r="C265" s="7">
        <v>45480</v>
      </c>
      <c r="D265" s="1" t="s">
        <v>29</v>
      </c>
      <c r="E265" s="1" t="s">
        <v>54</v>
      </c>
      <c r="F265" s="1">
        <v>302</v>
      </c>
      <c r="G265" s="1">
        <v>47</v>
      </c>
      <c r="H265" s="1">
        <v>430</v>
      </c>
      <c r="I265" s="1">
        <v>5738</v>
      </c>
      <c r="J265" s="1">
        <v>4890</v>
      </c>
      <c r="K265" s="1">
        <v>25</v>
      </c>
      <c r="L265" s="1" t="s">
        <v>32</v>
      </c>
      <c r="M265" s="1" t="s">
        <v>358</v>
      </c>
      <c r="N265" s="8" t="s">
        <v>359</v>
      </c>
    </row>
    <row r="266" spans="1:14" x14ac:dyDescent="0.3">
      <c r="A266" s="6" t="s">
        <v>142</v>
      </c>
      <c r="B266" s="1" t="s">
        <v>14</v>
      </c>
      <c r="C266" s="7">
        <v>45667</v>
      </c>
      <c r="D266" s="1" t="s">
        <v>41</v>
      </c>
      <c r="E266" s="1" t="s">
        <v>88</v>
      </c>
      <c r="F266" s="1">
        <v>2214</v>
      </c>
      <c r="G266" s="1">
        <v>249</v>
      </c>
      <c r="H266" s="1">
        <v>152</v>
      </c>
      <c r="I266" s="1">
        <v>15498</v>
      </c>
      <c r="J266" s="1">
        <v>14800</v>
      </c>
      <c r="K266" s="1">
        <v>180</v>
      </c>
      <c r="L266" s="1" t="s">
        <v>360</v>
      </c>
      <c r="M266" s="1" t="s">
        <v>11</v>
      </c>
      <c r="N266" s="8" t="s">
        <v>31</v>
      </c>
    </row>
    <row r="267" spans="1:14" x14ac:dyDescent="0.3">
      <c r="A267" s="6" t="s">
        <v>142</v>
      </c>
      <c r="B267" s="1" t="s">
        <v>14</v>
      </c>
      <c r="C267" s="7">
        <v>45667</v>
      </c>
      <c r="D267" s="1" t="s">
        <v>41</v>
      </c>
      <c r="E267" s="1" t="s">
        <v>88</v>
      </c>
      <c r="F267" s="1">
        <v>2214</v>
      </c>
      <c r="G267" s="1">
        <v>249</v>
      </c>
      <c r="H267" s="1">
        <v>152</v>
      </c>
      <c r="I267" s="1">
        <v>15498</v>
      </c>
      <c r="J267" s="1">
        <v>14800</v>
      </c>
      <c r="K267" s="1">
        <v>180</v>
      </c>
      <c r="L267" s="1" t="s">
        <v>360</v>
      </c>
      <c r="M267" s="1" t="s">
        <v>357</v>
      </c>
      <c r="N267" s="8" t="s">
        <v>359</v>
      </c>
    </row>
    <row r="268" spans="1:14" x14ac:dyDescent="0.3">
      <c r="A268" s="6" t="s">
        <v>142</v>
      </c>
      <c r="B268" s="1" t="s">
        <v>14</v>
      </c>
      <c r="C268" s="7">
        <v>45667</v>
      </c>
      <c r="D268" s="1" t="s">
        <v>41</v>
      </c>
      <c r="E268" s="1" t="s">
        <v>88</v>
      </c>
      <c r="F268" s="1">
        <v>2214</v>
      </c>
      <c r="G268" s="1">
        <v>249</v>
      </c>
      <c r="H268" s="1">
        <v>152</v>
      </c>
      <c r="I268" s="1">
        <v>15498</v>
      </c>
      <c r="J268" s="1">
        <v>14800</v>
      </c>
      <c r="K268" s="1">
        <v>180</v>
      </c>
      <c r="L268" s="1" t="s">
        <v>360</v>
      </c>
      <c r="M268" s="1" t="s">
        <v>358</v>
      </c>
      <c r="N268" s="8" t="s">
        <v>359</v>
      </c>
    </row>
    <row r="269" spans="1:14" x14ac:dyDescent="0.3">
      <c r="A269" s="6" t="s">
        <v>143</v>
      </c>
      <c r="B269" s="1" t="s">
        <v>28</v>
      </c>
      <c r="C269" s="7">
        <v>45446</v>
      </c>
      <c r="D269" s="1" t="s">
        <v>41</v>
      </c>
      <c r="E269" s="1" t="s">
        <v>134</v>
      </c>
      <c r="F269" s="1">
        <v>3861</v>
      </c>
      <c r="G269" s="1">
        <v>960</v>
      </c>
      <c r="H269" s="1">
        <v>101</v>
      </c>
      <c r="I269" s="1">
        <v>69498</v>
      </c>
      <c r="J269" s="1">
        <v>68817</v>
      </c>
      <c r="K269" s="1">
        <v>297</v>
      </c>
      <c r="L269" s="1" t="s">
        <v>32</v>
      </c>
      <c r="M269" s="1" t="s">
        <v>11</v>
      </c>
      <c r="N269" s="8" t="s">
        <v>25</v>
      </c>
    </row>
    <row r="270" spans="1:14" x14ac:dyDescent="0.3">
      <c r="A270" s="6" t="s">
        <v>143</v>
      </c>
      <c r="B270" s="1" t="s">
        <v>28</v>
      </c>
      <c r="C270" s="7">
        <v>45446</v>
      </c>
      <c r="D270" s="1" t="s">
        <v>41</v>
      </c>
      <c r="E270" s="1" t="s">
        <v>134</v>
      </c>
      <c r="F270" s="1">
        <v>3861</v>
      </c>
      <c r="G270" s="1">
        <v>960</v>
      </c>
      <c r="H270" s="1">
        <v>101</v>
      </c>
      <c r="I270" s="1">
        <v>69498</v>
      </c>
      <c r="J270" s="1">
        <v>68817</v>
      </c>
      <c r="K270" s="1">
        <v>297</v>
      </c>
      <c r="L270" s="1" t="s">
        <v>32</v>
      </c>
      <c r="M270" s="1" t="s">
        <v>357</v>
      </c>
      <c r="N270" s="8" t="s">
        <v>359</v>
      </c>
    </row>
    <row r="271" spans="1:14" x14ac:dyDescent="0.3">
      <c r="A271" s="6" t="s">
        <v>143</v>
      </c>
      <c r="B271" s="1" t="s">
        <v>28</v>
      </c>
      <c r="C271" s="7">
        <v>45446</v>
      </c>
      <c r="D271" s="1" t="s">
        <v>41</v>
      </c>
      <c r="E271" s="1" t="s">
        <v>134</v>
      </c>
      <c r="F271" s="1">
        <v>3861</v>
      </c>
      <c r="G271" s="1">
        <v>960</v>
      </c>
      <c r="H271" s="1">
        <v>101</v>
      </c>
      <c r="I271" s="1">
        <v>69498</v>
      </c>
      <c r="J271" s="1">
        <v>68817</v>
      </c>
      <c r="K271" s="1">
        <v>297</v>
      </c>
      <c r="L271" s="1" t="s">
        <v>32</v>
      </c>
      <c r="M271" s="1" t="s">
        <v>358</v>
      </c>
      <c r="N271" s="8" t="s">
        <v>359</v>
      </c>
    </row>
    <row r="272" spans="1:14" x14ac:dyDescent="0.3">
      <c r="A272" s="6" t="s">
        <v>144</v>
      </c>
      <c r="B272" s="1" t="s">
        <v>35</v>
      </c>
      <c r="C272" s="7">
        <v>45740</v>
      </c>
      <c r="D272" s="1" t="s">
        <v>41</v>
      </c>
      <c r="E272" s="1" t="s">
        <v>46</v>
      </c>
      <c r="F272" s="1">
        <v>1263</v>
      </c>
      <c r="G272" s="1">
        <v>397</v>
      </c>
      <c r="H272" s="1">
        <v>357</v>
      </c>
      <c r="I272" s="1">
        <v>25260</v>
      </c>
      <c r="J272" s="1">
        <v>24615</v>
      </c>
      <c r="K272" s="1">
        <v>137</v>
      </c>
      <c r="L272" s="1" t="s">
        <v>32</v>
      </c>
      <c r="M272" s="1" t="s">
        <v>11</v>
      </c>
      <c r="N272" s="8" t="s">
        <v>31</v>
      </c>
    </row>
    <row r="273" spans="1:14" x14ac:dyDescent="0.3">
      <c r="A273" s="6" t="s">
        <v>144</v>
      </c>
      <c r="B273" s="1" t="s">
        <v>35</v>
      </c>
      <c r="C273" s="7">
        <v>45740</v>
      </c>
      <c r="D273" s="1" t="s">
        <v>41</v>
      </c>
      <c r="E273" s="1" t="s">
        <v>46</v>
      </c>
      <c r="F273" s="1">
        <v>1263</v>
      </c>
      <c r="G273" s="1">
        <v>397</v>
      </c>
      <c r="H273" s="1">
        <v>357</v>
      </c>
      <c r="I273" s="1">
        <v>25260</v>
      </c>
      <c r="J273" s="1">
        <v>24615</v>
      </c>
      <c r="K273" s="1">
        <v>137</v>
      </c>
      <c r="L273" s="1" t="s">
        <v>32</v>
      </c>
      <c r="M273" s="1" t="s">
        <v>357</v>
      </c>
      <c r="N273" s="8" t="s">
        <v>359</v>
      </c>
    </row>
    <row r="274" spans="1:14" x14ac:dyDescent="0.3">
      <c r="A274" s="6" t="s">
        <v>144</v>
      </c>
      <c r="B274" s="1" t="s">
        <v>35</v>
      </c>
      <c r="C274" s="7">
        <v>45740</v>
      </c>
      <c r="D274" s="1" t="s">
        <v>41</v>
      </c>
      <c r="E274" s="1" t="s">
        <v>46</v>
      </c>
      <c r="F274" s="1">
        <v>1263</v>
      </c>
      <c r="G274" s="1">
        <v>397</v>
      </c>
      <c r="H274" s="1">
        <v>357</v>
      </c>
      <c r="I274" s="1">
        <v>25260</v>
      </c>
      <c r="J274" s="1">
        <v>24615</v>
      </c>
      <c r="K274" s="1">
        <v>137</v>
      </c>
      <c r="L274" s="1" t="s">
        <v>32</v>
      </c>
      <c r="M274" s="1" t="s">
        <v>358</v>
      </c>
      <c r="N274" s="8" t="s">
        <v>359</v>
      </c>
    </row>
    <row r="275" spans="1:14" x14ac:dyDescent="0.3">
      <c r="A275" s="6" t="s">
        <v>145</v>
      </c>
      <c r="B275" s="1" t="s">
        <v>14</v>
      </c>
      <c r="C275" s="7">
        <v>45586</v>
      </c>
      <c r="D275" s="1" t="s">
        <v>29</v>
      </c>
      <c r="E275" s="1" t="s">
        <v>98</v>
      </c>
      <c r="F275" s="1">
        <v>3801</v>
      </c>
      <c r="G275" s="1">
        <v>967</v>
      </c>
      <c r="H275" s="1">
        <v>401</v>
      </c>
      <c r="I275" s="1">
        <v>38010</v>
      </c>
      <c r="J275" s="1">
        <v>37625</v>
      </c>
      <c r="K275" s="1">
        <v>236</v>
      </c>
      <c r="L275" s="1" t="s">
        <v>26</v>
      </c>
      <c r="M275" s="1" t="s">
        <v>11</v>
      </c>
      <c r="N275" s="8" t="s">
        <v>48</v>
      </c>
    </row>
    <row r="276" spans="1:14" x14ac:dyDescent="0.3">
      <c r="A276" s="6" t="s">
        <v>145</v>
      </c>
      <c r="B276" s="1" t="s">
        <v>14</v>
      </c>
      <c r="C276" s="7">
        <v>45586</v>
      </c>
      <c r="D276" s="1" t="s">
        <v>29</v>
      </c>
      <c r="E276" s="1" t="s">
        <v>98</v>
      </c>
      <c r="F276" s="1">
        <v>3801</v>
      </c>
      <c r="G276" s="1">
        <v>967</v>
      </c>
      <c r="H276" s="1">
        <v>401</v>
      </c>
      <c r="I276" s="1">
        <v>38010</v>
      </c>
      <c r="J276" s="1">
        <v>37625</v>
      </c>
      <c r="K276" s="1">
        <v>236</v>
      </c>
      <c r="L276" s="1" t="s">
        <v>26</v>
      </c>
      <c r="M276" s="1" t="s">
        <v>357</v>
      </c>
      <c r="N276" s="8" t="s">
        <v>359</v>
      </c>
    </row>
    <row r="277" spans="1:14" x14ac:dyDescent="0.3">
      <c r="A277" s="6" t="s">
        <v>145</v>
      </c>
      <c r="B277" s="1" t="s">
        <v>14</v>
      </c>
      <c r="C277" s="7">
        <v>45586</v>
      </c>
      <c r="D277" s="1" t="s">
        <v>29</v>
      </c>
      <c r="E277" s="1" t="s">
        <v>98</v>
      </c>
      <c r="F277" s="1">
        <v>3801</v>
      </c>
      <c r="G277" s="1">
        <v>967</v>
      </c>
      <c r="H277" s="1">
        <v>401</v>
      </c>
      <c r="I277" s="1">
        <v>38010</v>
      </c>
      <c r="J277" s="1">
        <v>37625</v>
      </c>
      <c r="K277" s="1">
        <v>236</v>
      </c>
      <c r="L277" s="1" t="s">
        <v>26</v>
      </c>
      <c r="M277" s="1" t="s">
        <v>358</v>
      </c>
      <c r="N277" s="8" t="s">
        <v>359</v>
      </c>
    </row>
    <row r="278" spans="1:14" x14ac:dyDescent="0.3">
      <c r="A278" s="6" t="s">
        <v>146</v>
      </c>
      <c r="B278" s="1" t="s">
        <v>28</v>
      </c>
      <c r="C278" s="7">
        <v>45637</v>
      </c>
      <c r="D278" s="1" t="s">
        <v>56</v>
      </c>
      <c r="E278" s="1" t="s">
        <v>63</v>
      </c>
      <c r="F278" s="1">
        <v>1431</v>
      </c>
      <c r="G278" s="1">
        <v>951</v>
      </c>
      <c r="H278" s="1">
        <v>26</v>
      </c>
      <c r="I278" s="1">
        <v>8586</v>
      </c>
      <c r="J278" s="1">
        <v>8396</v>
      </c>
      <c r="K278" s="1">
        <v>150</v>
      </c>
      <c r="L278" s="1" t="s">
        <v>26</v>
      </c>
      <c r="M278" s="1" t="s">
        <v>11</v>
      </c>
      <c r="N278" s="8" t="s">
        <v>31</v>
      </c>
    </row>
    <row r="279" spans="1:14" x14ac:dyDescent="0.3">
      <c r="A279" s="6" t="s">
        <v>146</v>
      </c>
      <c r="B279" s="1" t="s">
        <v>28</v>
      </c>
      <c r="C279" s="7">
        <v>45637</v>
      </c>
      <c r="D279" s="1" t="s">
        <v>56</v>
      </c>
      <c r="E279" s="1" t="s">
        <v>63</v>
      </c>
      <c r="F279" s="1">
        <v>1431</v>
      </c>
      <c r="G279" s="1">
        <v>951</v>
      </c>
      <c r="H279" s="1">
        <v>26</v>
      </c>
      <c r="I279" s="1">
        <v>8586</v>
      </c>
      <c r="J279" s="1">
        <v>8396</v>
      </c>
      <c r="K279" s="1">
        <v>150</v>
      </c>
      <c r="L279" s="1" t="s">
        <v>26</v>
      </c>
      <c r="M279" s="1" t="s">
        <v>357</v>
      </c>
      <c r="N279" s="8" t="s">
        <v>359</v>
      </c>
    </row>
    <row r="280" spans="1:14" x14ac:dyDescent="0.3">
      <c r="A280" s="6" t="s">
        <v>146</v>
      </c>
      <c r="B280" s="1" t="s">
        <v>28</v>
      </c>
      <c r="C280" s="7">
        <v>45637</v>
      </c>
      <c r="D280" s="1" t="s">
        <v>56</v>
      </c>
      <c r="E280" s="1" t="s">
        <v>63</v>
      </c>
      <c r="F280" s="1">
        <v>1431</v>
      </c>
      <c r="G280" s="1">
        <v>951</v>
      </c>
      <c r="H280" s="1">
        <v>26</v>
      </c>
      <c r="I280" s="1">
        <v>8586</v>
      </c>
      <c r="J280" s="1">
        <v>8396</v>
      </c>
      <c r="K280" s="1">
        <v>150</v>
      </c>
      <c r="L280" s="1" t="s">
        <v>26</v>
      </c>
      <c r="M280" s="1" t="s">
        <v>358</v>
      </c>
      <c r="N280" s="8" t="s">
        <v>359</v>
      </c>
    </row>
    <row r="281" spans="1:14" x14ac:dyDescent="0.3">
      <c r="A281" s="6" t="s">
        <v>147</v>
      </c>
      <c r="B281" s="1" t="s">
        <v>28</v>
      </c>
      <c r="C281" s="7">
        <v>45603</v>
      </c>
      <c r="D281" s="1" t="s">
        <v>41</v>
      </c>
      <c r="E281" s="1" t="s">
        <v>134</v>
      </c>
      <c r="F281" s="1">
        <v>2647</v>
      </c>
      <c r="G281" s="1">
        <v>304</v>
      </c>
      <c r="H281" s="1">
        <v>170</v>
      </c>
      <c r="I281" s="1">
        <v>18529</v>
      </c>
      <c r="J281" s="1">
        <v>17841</v>
      </c>
      <c r="K281" s="1">
        <v>46</v>
      </c>
      <c r="L281" s="1" t="s">
        <v>26</v>
      </c>
      <c r="M281" s="1" t="s">
        <v>11</v>
      </c>
      <c r="N281" s="8" t="s">
        <v>48</v>
      </c>
    </row>
    <row r="282" spans="1:14" x14ac:dyDescent="0.3">
      <c r="A282" s="6" t="s">
        <v>147</v>
      </c>
      <c r="B282" s="1" t="s">
        <v>28</v>
      </c>
      <c r="C282" s="7">
        <v>45603</v>
      </c>
      <c r="D282" s="1" t="s">
        <v>41</v>
      </c>
      <c r="E282" s="1" t="s">
        <v>134</v>
      </c>
      <c r="F282" s="1">
        <v>2647</v>
      </c>
      <c r="G282" s="1">
        <v>304</v>
      </c>
      <c r="H282" s="1">
        <v>170</v>
      </c>
      <c r="I282" s="1">
        <v>18529</v>
      </c>
      <c r="J282" s="1">
        <v>17841</v>
      </c>
      <c r="K282" s="1">
        <v>46</v>
      </c>
      <c r="L282" s="1" t="s">
        <v>26</v>
      </c>
      <c r="M282" s="1" t="s">
        <v>357</v>
      </c>
      <c r="N282" s="8" t="s">
        <v>359</v>
      </c>
    </row>
    <row r="283" spans="1:14" x14ac:dyDescent="0.3">
      <c r="A283" s="6" t="s">
        <v>147</v>
      </c>
      <c r="B283" s="1" t="s">
        <v>28</v>
      </c>
      <c r="C283" s="7">
        <v>45603</v>
      </c>
      <c r="D283" s="1" t="s">
        <v>41</v>
      </c>
      <c r="E283" s="1" t="s">
        <v>134</v>
      </c>
      <c r="F283" s="1">
        <v>2647</v>
      </c>
      <c r="G283" s="1">
        <v>304</v>
      </c>
      <c r="H283" s="1">
        <v>170</v>
      </c>
      <c r="I283" s="1">
        <v>18529</v>
      </c>
      <c r="J283" s="1">
        <v>17841</v>
      </c>
      <c r="K283" s="1">
        <v>46</v>
      </c>
      <c r="L283" s="1" t="s">
        <v>26</v>
      </c>
      <c r="M283" s="1" t="s">
        <v>358</v>
      </c>
      <c r="N283" s="8" t="s">
        <v>359</v>
      </c>
    </row>
    <row r="284" spans="1:14" x14ac:dyDescent="0.3">
      <c r="A284" s="6" t="s">
        <v>148</v>
      </c>
      <c r="B284" s="1" t="s">
        <v>28</v>
      </c>
      <c r="C284" s="7">
        <v>45604</v>
      </c>
      <c r="D284" s="1" t="s">
        <v>19</v>
      </c>
      <c r="E284" s="1" t="s">
        <v>78</v>
      </c>
      <c r="F284" s="1">
        <v>3182</v>
      </c>
      <c r="G284" s="1">
        <v>559</v>
      </c>
      <c r="H284" s="1">
        <v>160</v>
      </c>
      <c r="I284" s="1">
        <v>57276</v>
      </c>
      <c r="J284" s="1">
        <v>56890</v>
      </c>
      <c r="K284" s="1">
        <v>163</v>
      </c>
      <c r="L284" s="1" t="s">
        <v>32</v>
      </c>
      <c r="M284" s="1" t="s">
        <v>11</v>
      </c>
      <c r="N284" s="8" t="s">
        <v>48</v>
      </c>
    </row>
    <row r="285" spans="1:14" x14ac:dyDescent="0.3">
      <c r="A285" s="6" t="s">
        <v>148</v>
      </c>
      <c r="B285" s="1" t="s">
        <v>28</v>
      </c>
      <c r="C285" s="7">
        <v>45604</v>
      </c>
      <c r="D285" s="1" t="s">
        <v>19</v>
      </c>
      <c r="E285" s="1" t="s">
        <v>78</v>
      </c>
      <c r="F285" s="1">
        <v>3182</v>
      </c>
      <c r="G285" s="1">
        <v>559</v>
      </c>
      <c r="H285" s="1">
        <v>160</v>
      </c>
      <c r="I285" s="1">
        <v>57276</v>
      </c>
      <c r="J285" s="1">
        <v>56890</v>
      </c>
      <c r="K285" s="1">
        <v>163</v>
      </c>
      <c r="L285" s="1" t="s">
        <v>32</v>
      </c>
      <c r="M285" s="1" t="s">
        <v>357</v>
      </c>
      <c r="N285" s="8" t="s">
        <v>359</v>
      </c>
    </row>
    <row r="286" spans="1:14" x14ac:dyDescent="0.3">
      <c r="A286" s="6" t="s">
        <v>148</v>
      </c>
      <c r="B286" s="1" t="s">
        <v>28</v>
      </c>
      <c r="C286" s="7">
        <v>45604</v>
      </c>
      <c r="D286" s="1" t="s">
        <v>19</v>
      </c>
      <c r="E286" s="1" t="s">
        <v>78</v>
      </c>
      <c r="F286" s="1">
        <v>3182</v>
      </c>
      <c r="G286" s="1">
        <v>559</v>
      </c>
      <c r="H286" s="1">
        <v>160</v>
      </c>
      <c r="I286" s="1">
        <v>57276</v>
      </c>
      <c r="J286" s="1">
        <v>56890</v>
      </c>
      <c r="K286" s="1">
        <v>163</v>
      </c>
      <c r="L286" s="1" t="s">
        <v>32</v>
      </c>
      <c r="M286" s="1" t="s">
        <v>358</v>
      </c>
      <c r="N286" s="8" t="s">
        <v>359</v>
      </c>
    </row>
    <row r="287" spans="1:14" x14ac:dyDescent="0.3">
      <c r="A287" s="6" t="s">
        <v>149</v>
      </c>
      <c r="B287" s="1" t="s">
        <v>14</v>
      </c>
      <c r="C287" s="7">
        <v>45545</v>
      </c>
      <c r="D287" s="1" t="s">
        <v>41</v>
      </c>
      <c r="E287" s="1" t="s">
        <v>88</v>
      </c>
      <c r="F287" s="1">
        <v>1238</v>
      </c>
      <c r="G287" s="1">
        <v>366</v>
      </c>
      <c r="H287" s="1">
        <v>444</v>
      </c>
      <c r="I287" s="1">
        <v>19808</v>
      </c>
      <c r="J287" s="1">
        <v>19334</v>
      </c>
      <c r="K287" s="1">
        <v>123</v>
      </c>
      <c r="L287" s="1" t="s">
        <v>360</v>
      </c>
      <c r="M287" s="1" t="s">
        <v>11</v>
      </c>
      <c r="N287" s="8" t="s">
        <v>48</v>
      </c>
    </row>
    <row r="288" spans="1:14" x14ac:dyDescent="0.3">
      <c r="A288" s="6" t="s">
        <v>149</v>
      </c>
      <c r="B288" s="1" t="s">
        <v>14</v>
      </c>
      <c r="C288" s="7">
        <v>45545</v>
      </c>
      <c r="D288" s="1" t="s">
        <v>41</v>
      </c>
      <c r="E288" s="1" t="s">
        <v>88</v>
      </c>
      <c r="F288" s="1">
        <v>1238</v>
      </c>
      <c r="G288" s="1">
        <v>366</v>
      </c>
      <c r="H288" s="1">
        <v>444</v>
      </c>
      <c r="I288" s="1">
        <v>19808</v>
      </c>
      <c r="J288" s="1">
        <v>19334</v>
      </c>
      <c r="K288" s="1">
        <v>123</v>
      </c>
      <c r="L288" s="1" t="s">
        <v>360</v>
      </c>
      <c r="M288" s="1" t="s">
        <v>357</v>
      </c>
      <c r="N288" s="8" t="s">
        <v>359</v>
      </c>
    </row>
    <row r="289" spans="1:14" x14ac:dyDescent="0.3">
      <c r="A289" s="6" t="s">
        <v>149</v>
      </c>
      <c r="B289" s="1" t="s">
        <v>14</v>
      </c>
      <c r="C289" s="7">
        <v>45545</v>
      </c>
      <c r="D289" s="1" t="s">
        <v>41</v>
      </c>
      <c r="E289" s="1" t="s">
        <v>88</v>
      </c>
      <c r="F289" s="1">
        <v>1238</v>
      </c>
      <c r="G289" s="1">
        <v>366</v>
      </c>
      <c r="H289" s="1">
        <v>444</v>
      </c>
      <c r="I289" s="1">
        <v>19808</v>
      </c>
      <c r="J289" s="1">
        <v>19334</v>
      </c>
      <c r="K289" s="1">
        <v>123</v>
      </c>
      <c r="L289" s="1" t="s">
        <v>360</v>
      </c>
      <c r="M289" s="1" t="s">
        <v>358</v>
      </c>
      <c r="N289" s="8" t="s">
        <v>359</v>
      </c>
    </row>
    <row r="290" spans="1:14" x14ac:dyDescent="0.3">
      <c r="A290" s="6" t="s">
        <v>150</v>
      </c>
      <c r="B290" s="1" t="s">
        <v>28</v>
      </c>
      <c r="C290" s="7">
        <v>45517</v>
      </c>
      <c r="D290" s="1" t="s">
        <v>41</v>
      </c>
      <c r="E290" s="1" t="s">
        <v>134</v>
      </c>
      <c r="F290" s="1">
        <v>4739</v>
      </c>
      <c r="G290" s="1">
        <v>527</v>
      </c>
      <c r="H290" s="1">
        <v>135</v>
      </c>
      <c r="I290" s="1">
        <v>61607</v>
      </c>
      <c r="J290" s="1">
        <v>61333</v>
      </c>
      <c r="K290" s="1">
        <v>36</v>
      </c>
      <c r="L290" s="1" t="s">
        <v>21</v>
      </c>
      <c r="M290" s="1" t="s">
        <v>11</v>
      </c>
      <c r="N290" s="8" t="s">
        <v>25</v>
      </c>
    </row>
    <row r="291" spans="1:14" x14ac:dyDescent="0.3">
      <c r="A291" s="6" t="s">
        <v>150</v>
      </c>
      <c r="B291" s="1" t="s">
        <v>28</v>
      </c>
      <c r="C291" s="7">
        <v>45517</v>
      </c>
      <c r="D291" s="1" t="s">
        <v>41</v>
      </c>
      <c r="E291" s="1" t="s">
        <v>134</v>
      </c>
      <c r="F291" s="1">
        <v>4739</v>
      </c>
      <c r="G291" s="1">
        <v>527</v>
      </c>
      <c r="H291" s="1">
        <v>135</v>
      </c>
      <c r="I291" s="1">
        <v>61607</v>
      </c>
      <c r="J291" s="1">
        <v>61333</v>
      </c>
      <c r="K291" s="1">
        <v>36</v>
      </c>
      <c r="L291" s="1" t="s">
        <v>21</v>
      </c>
      <c r="M291" s="1" t="s">
        <v>357</v>
      </c>
      <c r="N291" s="8" t="s">
        <v>354</v>
      </c>
    </row>
    <row r="292" spans="1:14" x14ac:dyDescent="0.3">
      <c r="A292" s="6" t="s">
        <v>150</v>
      </c>
      <c r="B292" s="1" t="s">
        <v>28</v>
      </c>
      <c r="C292" s="7">
        <v>45517</v>
      </c>
      <c r="D292" s="1" t="s">
        <v>41</v>
      </c>
      <c r="E292" s="1" t="s">
        <v>134</v>
      </c>
      <c r="F292" s="1">
        <v>4739</v>
      </c>
      <c r="G292" s="1">
        <v>527</v>
      </c>
      <c r="H292" s="1">
        <v>135</v>
      </c>
      <c r="I292" s="1">
        <v>61607</v>
      </c>
      <c r="J292" s="1">
        <v>61333</v>
      </c>
      <c r="K292" s="1">
        <v>36</v>
      </c>
      <c r="L292" s="1" t="s">
        <v>21</v>
      </c>
      <c r="M292" s="1" t="s">
        <v>358</v>
      </c>
      <c r="N292" s="8" t="s">
        <v>359</v>
      </c>
    </row>
    <row r="293" spans="1:14" x14ac:dyDescent="0.3">
      <c r="A293" s="6" t="s">
        <v>151</v>
      </c>
      <c r="B293" s="1" t="s">
        <v>14</v>
      </c>
      <c r="C293" s="7">
        <v>45453</v>
      </c>
      <c r="D293" s="1" t="s">
        <v>29</v>
      </c>
      <c r="E293" s="1" t="s">
        <v>98</v>
      </c>
      <c r="F293" s="1">
        <v>1575</v>
      </c>
      <c r="G293" s="1">
        <v>771</v>
      </c>
      <c r="H293" s="1">
        <v>486</v>
      </c>
      <c r="I293" s="1">
        <v>25200</v>
      </c>
      <c r="J293" s="1">
        <v>24826</v>
      </c>
      <c r="K293" s="1">
        <v>17</v>
      </c>
      <c r="L293" s="1" t="s">
        <v>32</v>
      </c>
      <c r="M293" s="1" t="s">
        <v>11</v>
      </c>
      <c r="N293" s="8" t="s">
        <v>48</v>
      </c>
    </row>
    <row r="294" spans="1:14" x14ac:dyDescent="0.3">
      <c r="A294" s="6" t="s">
        <v>151</v>
      </c>
      <c r="B294" s="1" t="s">
        <v>14</v>
      </c>
      <c r="C294" s="7">
        <v>45453</v>
      </c>
      <c r="D294" s="1" t="s">
        <v>29</v>
      </c>
      <c r="E294" s="1" t="s">
        <v>98</v>
      </c>
      <c r="F294" s="1">
        <v>1575</v>
      </c>
      <c r="G294" s="1">
        <v>771</v>
      </c>
      <c r="H294" s="1">
        <v>486</v>
      </c>
      <c r="I294" s="1">
        <v>25200</v>
      </c>
      <c r="J294" s="1">
        <v>24826</v>
      </c>
      <c r="K294" s="1">
        <v>17</v>
      </c>
      <c r="L294" s="1" t="s">
        <v>32</v>
      </c>
      <c r="M294" s="1" t="s">
        <v>357</v>
      </c>
      <c r="N294" s="8" t="s">
        <v>359</v>
      </c>
    </row>
    <row r="295" spans="1:14" x14ac:dyDescent="0.3">
      <c r="A295" s="6" t="s">
        <v>151</v>
      </c>
      <c r="B295" s="1" t="s">
        <v>14</v>
      </c>
      <c r="C295" s="7">
        <v>45453</v>
      </c>
      <c r="D295" s="1" t="s">
        <v>29</v>
      </c>
      <c r="E295" s="1" t="s">
        <v>98</v>
      </c>
      <c r="F295" s="1">
        <v>1575</v>
      </c>
      <c r="G295" s="1">
        <v>771</v>
      </c>
      <c r="H295" s="1">
        <v>486</v>
      </c>
      <c r="I295" s="1">
        <v>25200</v>
      </c>
      <c r="J295" s="1">
        <v>24826</v>
      </c>
      <c r="K295" s="1">
        <v>17</v>
      </c>
      <c r="L295" s="1" t="s">
        <v>32</v>
      </c>
      <c r="M295" s="1" t="s">
        <v>358</v>
      </c>
      <c r="N295" s="8" t="s">
        <v>359</v>
      </c>
    </row>
    <row r="296" spans="1:14" x14ac:dyDescent="0.3">
      <c r="A296" s="6" t="s">
        <v>152</v>
      </c>
      <c r="B296" s="1" t="s">
        <v>23</v>
      </c>
      <c r="C296" s="7">
        <v>45475</v>
      </c>
      <c r="D296" s="1" t="s">
        <v>36</v>
      </c>
      <c r="E296" s="1" t="s">
        <v>52</v>
      </c>
      <c r="F296" s="1">
        <v>4171</v>
      </c>
      <c r="G296" s="1">
        <v>548</v>
      </c>
      <c r="H296" s="1">
        <v>86</v>
      </c>
      <c r="I296" s="1">
        <v>66736</v>
      </c>
      <c r="J296" s="1">
        <v>66634</v>
      </c>
      <c r="K296" s="1">
        <v>173</v>
      </c>
      <c r="L296" s="1" t="s">
        <v>26</v>
      </c>
      <c r="M296" s="1" t="s">
        <v>11</v>
      </c>
      <c r="N296" s="8" t="s">
        <v>48</v>
      </c>
    </row>
    <row r="297" spans="1:14" x14ac:dyDescent="0.3">
      <c r="A297" s="6" t="s">
        <v>152</v>
      </c>
      <c r="B297" s="1" t="s">
        <v>23</v>
      </c>
      <c r="C297" s="7">
        <v>45475</v>
      </c>
      <c r="D297" s="1" t="s">
        <v>36</v>
      </c>
      <c r="E297" s="1" t="s">
        <v>52</v>
      </c>
      <c r="F297" s="1">
        <v>4171</v>
      </c>
      <c r="G297" s="1">
        <v>548</v>
      </c>
      <c r="H297" s="1">
        <v>86</v>
      </c>
      <c r="I297" s="1">
        <v>66736</v>
      </c>
      <c r="J297" s="1">
        <v>66634</v>
      </c>
      <c r="K297" s="1">
        <v>173</v>
      </c>
      <c r="L297" s="1" t="s">
        <v>26</v>
      </c>
      <c r="M297" s="1" t="s">
        <v>357</v>
      </c>
      <c r="N297" s="8" t="s">
        <v>359</v>
      </c>
    </row>
    <row r="298" spans="1:14" x14ac:dyDescent="0.3">
      <c r="A298" s="6" t="s">
        <v>152</v>
      </c>
      <c r="B298" s="1" t="s">
        <v>23</v>
      </c>
      <c r="C298" s="7">
        <v>45475</v>
      </c>
      <c r="D298" s="1" t="s">
        <v>36</v>
      </c>
      <c r="E298" s="1" t="s">
        <v>52</v>
      </c>
      <c r="F298" s="1">
        <v>4171</v>
      </c>
      <c r="G298" s="1">
        <v>548</v>
      </c>
      <c r="H298" s="1">
        <v>86</v>
      </c>
      <c r="I298" s="1">
        <v>66736</v>
      </c>
      <c r="J298" s="1">
        <v>66634</v>
      </c>
      <c r="K298" s="1">
        <v>173</v>
      </c>
      <c r="L298" s="1" t="s">
        <v>26</v>
      </c>
      <c r="M298" s="1" t="s">
        <v>358</v>
      </c>
      <c r="N298" s="8" t="s">
        <v>359</v>
      </c>
    </row>
    <row r="299" spans="1:14" x14ac:dyDescent="0.3">
      <c r="A299" s="6" t="s">
        <v>153</v>
      </c>
      <c r="B299" s="1" t="s">
        <v>23</v>
      </c>
      <c r="C299" s="7">
        <v>45698</v>
      </c>
      <c r="D299" s="1" t="s">
        <v>56</v>
      </c>
      <c r="E299" s="1" t="s">
        <v>136</v>
      </c>
      <c r="F299" s="1">
        <v>1766</v>
      </c>
      <c r="G299" s="1">
        <v>92</v>
      </c>
      <c r="H299" s="1">
        <v>424</v>
      </c>
      <c r="I299" s="1">
        <v>24724</v>
      </c>
      <c r="J299" s="1">
        <v>24333</v>
      </c>
      <c r="K299" s="1">
        <v>52</v>
      </c>
      <c r="L299" s="1" t="s">
        <v>360</v>
      </c>
      <c r="M299" s="1" t="s">
        <v>11</v>
      </c>
      <c r="N299" s="8" t="s">
        <v>31</v>
      </c>
    </row>
    <row r="300" spans="1:14" x14ac:dyDescent="0.3">
      <c r="A300" s="6" t="s">
        <v>153</v>
      </c>
      <c r="B300" s="1" t="s">
        <v>23</v>
      </c>
      <c r="C300" s="7">
        <v>45698</v>
      </c>
      <c r="D300" s="1" t="s">
        <v>56</v>
      </c>
      <c r="E300" s="1" t="s">
        <v>136</v>
      </c>
      <c r="F300" s="1">
        <v>1766</v>
      </c>
      <c r="G300" s="1">
        <v>92</v>
      </c>
      <c r="H300" s="1">
        <v>424</v>
      </c>
      <c r="I300" s="1">
        <v>24724</v>
      </c>
      <c r="J300" s="1">
        <v>24333</v>
      </c>
      <c r="K300" s="1">
        <v>52</v>
      </c>
      <c r="L300" s="1" t="s">
        <v>360</v>
      </c>
      <c r="M300" s="1" t="s">
        <v>357</v>
      </c>
      <c r="N300" s="8" t="s">
        <v>359</v>
      </c>
    </row>
    <row r="301" spans="1:14" x14ac:dyDescent="0.3">
      <c r="A301" s="6" t="s">
        <v>153</v>
      </c>
      <c r="B301" s="1" t="s">
        <v>23</v>
      </c>
      <c r="C301" s="7">
        <v>45698</v>
      </c>
      <c r="D301" s="1" t="s">
        <v>56</v>
      </c>
      <c r="E301" s="1" t="s">
        <v>136</v>
      </c>
      <c r="F301" s="1">
        <v>1766</v>
      </c>
      <c r="G301" s="1">
        <v>92</v>
      </c>
      <c r="H301" s="1">
        <v>424</v>
      </c>
      <c r="I301" s="1">
        <v>24724</v>
      </c>
      <c r="J301" s="1">
        <v>24333</v>
      </c>
      <c r="K301" s="1">
        <v>52</v>
      </c>
      <c r="L301" s="1" t="s">
        <v>360</v>
      </c>
      <c r="M301" s="1" t="s">
        <v>358</v>
      </c>
      <c r="N301" s="8" t="s">
        <v>359</v>
      </c>
    </row>
    <row r="302" spans="1:14" x14ac:dyDescent="0.3">
      <c r="A302" s="6" t="s">
        <v>154</v>
      </c>
      <c r="B302" s="1" t="s">
        <v>23</v>
      </c>
      <c r="C302" s="7">
        <v>45583</v>
      </c>
      <c r="D302" s="1" t="s">
        <v>56</v>
      </c>
      <c r="E302" s="1" t="s">
        <v>136</v>
      </c>
      <c r="F302" s="1">
        <v>4450</v>
      </c>
      <c r="G302" s="1">
        <v>983</v>
      </c>
      <c r="H302" s="1">
        <v>143</v>
      </c>
      <c r="I302" s="1">
        <v>75650</v>
      </c>
      <c r="J302" s="1">
        <v>75008</v>
      </c>
      <c r="K302" s="1">
        <v>12</v>
      </c>
      <c r="L302" s="1" t="s">
        <v>26</v>
      </c>
      <c r="M302" s="1" t="s">
        <v>11</v>
      </c>
      <c r="N302" s="8" t="s">
        <v>48</v>
      </c>
    </row>
    <row r="303" spans="1:14" x14ac:dyDescent="0.3">
      <c r="A303" s="6" t="s">
        <v>154</v>
      </c>
      <c r="B303" s="1" t="s">
        <v>23</v>
      </c>
      <c r="C303" s="7">
        <v>45583</v>
      </c>
      <c r="D303" s="1" t="s">
        <v>56</v>
      </c>
      <c r="E303" s="1" t="s">
        <v>136</v>
      </c>
      <c r="F303" s="1">
        <v>4450</v>
      </c>
      <c r="G303" s="1">
        <v>983</v>
      </c>
      <c r="H303" s="1">
        <v>143</v>
      </c>
      <c r="I303" s="1">
        <v>75650</v>
      </c>
      <c r="J303" s="1">
        <v>75008</v>
      </c>
      <c r="K303" s="1">
        <v>12</v>
      </c>
      <c r="L303" s="1" t="s">
        <v>26</v>
      </c>
      <c r="M303" s="1" t="s">
        <v>357</v>
      </c>
      <c r="N303" s="8" t="s">
        <v>359</v>
      </c>
    </row>
    <row r="304" spans="1:14" x14ac:dyDescent="0.3">
      <c r="A304" s="6" t="s">
        <v>154</v>
      </c>
      <c r="B304" s="1" t="s">
        <v>23</v>
      </c>
      <c r="C304" s="7">
        <v>45583</v>
      </c>
      <c r="D304" s="1" t="s">
        <v>56</v>
      </c>
      <c r="E304" s="1" t="s">
        <v>136</v>
      </c>
      <c r="F304" s="1">
        <v>4450</v>
      </c>
      <c r="G304" s="1">
        <v>983</v>
      </c>
      <c r="H304" s="1">
        <v>143</v>
      </c>
      <c r="I304" s="1">
        <v>75650</v>
      </c>
      <c r="J304" s="1">
        <v>75008</v>
      </c>
      <c r="K304" s="1">
        <v>12</v>
      </c>
      <c r="L304" s="1" t="s">
        <v>26</v>
      </c>
      <c r="M304" s="1" t="s">
        <v>358</v>
      </c>
      <c r="N304" s="8" t="s">
        <v>359</v>
      </c>
    </row>
    <row r="305" spans="1:14" x14ac:dyDescent="0.3">
      <c r="A305" s="6" t="s">
        <v>155</v>
      </c>
      <c r="B305" s="1" t="s">
        <v>14</v>
      </c>
      <c r="C305" s="7">
        <v>45553</v>
      </c>
      <c r="D305" s="1" t="s">
        <v>15</v>
      </c>
      <c r="E305" s="1" t="s">
        <v>16</v>
      </c>
      <c r="F305" s="1">
        <v>1000</v>
      </c>
      <c r="G305" s="1">
        <v>978</v>
      </c>
      <c r="H305" s="1">
        <v>162</v>
      </c>
      <c r="I305" s="1">
        <v>6000</v>
      </c>
      <c r="J305" s="1">
        <v>5221</v>
      </c>
      <c r="K305" s="1">
        <v>223</v>
      </c>
      <c r="L305" s="1" t="s">
        <v>21</v>
      </c>
      <c r="M305" s="1" t="s">
        <v>11</v>
      </c>
      <c r="N305" s="8" t="s">
        <v>31</v>
      </c>
    </row>
    <row r="306" spans="1:14" x14ac:dyDescent="0.3">
      <c r="A306" s="6" t="s">
        <v>155</v>
      </c>
      <c r="B306" s="1" t="s">
        <v>14</v>
      </c>
      <c r="C306" s="7">
        <v>45553</v>
      </c>
      <c r="D306" s="1" t="s">
        <v>15</v>
      </c>
      <c r="E306" s="1" t="s">
        <v>16</v>
      </c>
      <c r="F306" s="1">
        <v>1000</v>
      </c>
      <c r="G306" s="1">
        <v>978</v>
      </c>
      <c r="H306" s="1">
        <v>162</v>
      </c>
      <c r="I306" s="1">
        <v>6000</v>
      </c>
      <c r="J306" s="1">
        <v>5221</v>
      </c>
      <c r="K306" s="1">
        <v>223</v>
      </c>
      <c r="L306" s="1" t="s">
        <v>21</v>
      </c>
      <c r="M306" s="1" t="s">
        <v>357</v>
      </c>
      <c r="N306" s="8" t="s">
        <v>359</v>
      </c>
    </row>
    <row r="307" spans="1:14" x14ac:dyDescent="0.3">
      <c r="A307" s="6" t="s">
        <v>155</v>
      </c>
      <c r="B307" s="1" t="s">
        <v>14</v>
      </c>
      <c r="C307" s="7">
        <v>45553</v>
      </c>
      <c r="D307" s="1" t="s">
        <v>15</v>
      </c>
      <c r="E307" s="1" t="s">
        <v>16</v>
      </c>
      <c r="F307" s="1">
        <v>1000</v>
      </c>
      <c r="G307" s="1">
        <v>978</v>
      </c>
      <c r="H307" s="1">
        <v>162</v>
      </c>
      <c r="I307" s="1">
        <v>6000</v>
      </c>
      <c r="J307" s="1">
        <v>5221</v>
      </c>
      <c r="K307" s="1">
        <v>223</v>
      </c>
      <c r="L307" s="1" t="s">
        <v>21</v>
      </c>
      <c r="M307" s="1" t="s">
        <v>358</v>
      </c>
      <c r="N307" s="8" t="s">
        <v>359</v>
      </c>
    </row>
    <row r="308" spans="1:14" x14ac:dyDescent="0.3">
      <c r="A308" s="6" t="s">
        <v>156</v>
      </c>
      <c r="B308" s="1" t="s">
        <v>35</v>
      </c>
      <c r="C308" s="7">
        <v>45454</v>
      </c>
      <c r="D308" s="1" t="s">
        <v>41</v>
      </c>
      <c r="E308" s="1" t="s">
        <v>46</v>
      </c>
      <c r="F308" s="1">
        <v>3689</v>
      </c>
      <c r="G308" s="1">
        <v>48</v>
      </c>
      <c r="H308" s="1">
        <v>306</v>
      </c>
      <c r="I308" s="1">
        <v>40579</v>
      </c>
      <c r="J308" s="1">
        <v>39588</v>
      </c>
      <c r="K308" s="1">
        <v>212</v>
      </c>
      <c r="L308" s="1" t="s">
        <v>21</v>
      </c>
      <c r="M308" s="1" t="s">
        <v>11</v>
      </c>
      <c r="N308" s="8" t="s">
        <v>31</v>
      </c>
    </row>
    <row r="309" spans="1:14" x14ac:dyDescent="0.3">
      <c r="A309" s="6" t="s">
        <v>156</v>
      </c>
      <c r="B309" s="1" t="s">
        <v>35</v>
      </c>
      <c r="C309" s="7">
        <v>45454</v>
      </c>
      <c r="D309" s="1" t="s">
        <v>41</v>
      </c>
      <c r="E309" s="1" t="s">
        <v>46</v>
      </c>
      <c r="F309" s="1">
        <v>3689</v>
      </c>
      <c r="G309" s="1">
        <v>48</v>
      </c>
      <c r="H309" s="1">
        <v>306</v>
      </c>
      <c r="I309" s="1">
        <v>40579</v>
      </c>
      <c r="J309" s="1">
        <v>39588</v>
      </c>
      <c r="K309" s="1">
        <v>212</v>
      </c>
      <c r="L309" s="1" t="s">
        <v>21</v>
      </c>
      <c r="M309" s="1" t="s">
        <v>357</v>
      </c>
      <c r="N309" s="8" t="s">
        <v>359</v>
      </c>
    </row>
    <row r="310" spans="1:14" x14ac:dyDescent="0.3">
      <c r="A310" s="6" t="s">
        <v>156</v>
      </c>
      <c r="B310" s="1" t="s">
        <v>35</v>
      </c>
      <c r="C310" s="7">
        <v>45454</v>
      </c>
      <c r="D310" s="1" t="s">
        <v>41</v>
      </c>
      <c r="E310" s="1" t="s">
        <v>46</v>
      </c>
      <c r="F310" s="1">
        <v>3689</v>
      </c>
      <c r="G310" s="1">
        <v>48</v>
      </c>
      <c r="H310" s="1">
        <v>306</v>
      </c>
      <c r="I310" s="1">
        <v>40579</v>
      </c>
      <c r="J310" s="1">
        <v>39588</v>
      </c>
      <c r="K310" s="1">
        <v>212</v>
      </c>
      <c r="L310" s="1" t="s">
        <v>21</v>
      </c>
      <c r="M310" s="1" t="s">
        <v>358</v>
      </c>
      <c r="N310" s="8" t="s">
        <v>359</v>
      </c>
    </row>
    <row r="311" spans="1:14" x14ac:dyDescent="0.3">
      <c r="A311" s="6" t="s">
        <v>157</v>
      </c>
      <c r="B311" s="1" t="s">
        <v>23</v>
      </c>
      <c r="C311" s="7">
        <v>45739</v>
      </c>
      <c r="D311" s="1" t="s">
        <v>29</v>
      </c>
      <c r="E311" s="1" t="s">
        <v>101</v>
      </c>
      <c r="F311" s="1">
        <v>3655</v>
      </c>
      <c r="G311" s="1">
        <v>568</v>
      </c>
      <c r="H311" s="1">
        <v>286</v>
      </c>
      <c r="I311" s="1">
        <v>32895</v>
      </c>
      <c r="J311" s="1">
        <v>32015</v>
      </c>
      <c r="K311" s="1">
        <v>199</v>
      </c>
      <c r="L311" s="1" t="s">
        <v>26</v>
      </c>
      <c r="M311" s="1" t="s">
        <v>11</v>
      </c>
      <c r="N311" s="8" t="s">
        <v>25</v>
      </c>
    </row>
    <row r="312" spans="1:14" x14ac:dyDescent="0.3">
      <c r="A312" s="6" t="s">
        <v>157</v>
      </c>
      <c r="B312" s="1" t="s">
        <v>23</v>
      </c>
      <c r="C312" s="7">
        <v>45739</v>
      </c>
      <c r="D312" s="1" t="s">
        <v>29</v>
      </c>
      <c r="E312" s="1" t="s">
        <v>101</v>
      </c>
      <c r="F312" s="1">
        <v>3655</v>
      </c>
      <c r="G312" s="1">
        <v>568</v>
      </c>
      <c r="H312" s="1">
        <v>286</v>
      </c>
      <c r="I312" s="1">
        <v>32895</v>
      </c>
      <c r="J312" s="1">
        <v>32015</v>
      </c>
      <c r="K312" s="1">
        <v>199</v>
      </c>
      <c r="L312" s="1" t="s">
        <v>26</v>
      </c>
      <c r="M312" s="1" t="s">
        <v>357</v>
      </c>
      <c r="N312" s="8" t="s">
        <v>359</v>
      </c>
    </row>
    <row r="313" spans="1:14" x14ac:dyDescent="0.3">
      <c r="A313" s="6" t="s">
        <v>157</v>
      </c>
      <c r="B313" s="1" t="s">
        <v>23</v>
      </c>
      <c r="C313" s="7">
        <v>45739</v>
      </c>
      <c r="D313" s="1" t="s">
        <v>29</v>
      </c>
      <c r="E313" s="1" t="s">
        <v>101</v>
      </c>
      <c r="F313" s="1">
        <v>3655</v>
      </c>
      <c r="G313" s="1">
        <v>568</v>
      </c>
      <c r="H313" s="1">
        <v>286</v>
      </c>
      <c r="I313" s="1">
        <v>32895</v>
      </c>
      <c r="J313" s="1">
        <v>32015</v>
      </c>
      <c r="K313" s="1">
        <v>199</v>
      </c>
      <c r="L313" s="1" t="s">
        <v>26</v>
      </c>
      <c r="M313" s="1" t="s">
        <v>358</v>
      </c>
      <c r="N313" s="8" t="s">
        <v>359</v>
      </c>
    </row>
    <row r="314" spans="1:14" x14ac:dyDescent="0.3">
      <c r="A314" s="6" t="s">
        <v>158</v>
      </c>
      <c r="B314" s="1" t="s">
        <v>28</v>
      </c>
      <c r="C314" s="7">
        <v>45457</v>
      </c>
      <c r="D314" s="1" t="s">
        <v>36</v>
      </c>
      <c r="E314" s="1" t="s">
        <v>65</v>
      </c>
      <c r="F314" s="1">
        <v>498</v>
      </c>
      <c r="G314" s="1">
        <v>38</v>
      </c>
      <c r="H314" s="1">
        <v>42</v>
      </c>
      <c r="I314" s="1">
        <v>4482</v>
      </c>
      <c r="J314" s="1">
        <v>3647</v>
      </c>
      <c r="K314" s="1">
        <v>32</v>
      </c>
      <c r="L314" s="1" t="s">
        <v>17</v>
      </c>
      <c r="M314" s="1" t="s">
        <v>11</v>
      </c>
      <c r="N314" s="8" t="s">
        <v>48</v>
      </c>
    </row>
    <row r="315" spans="1:14" x14ac:dyDescent="0.3">
      <c r="A315" s="6" t="s">
        <v>158</v>
      </c>
      <c r="B315" s="1" t="s">
        <v>28</v>
      </c>
      <c r="C315" s="7">
        <v>45457</v>
      </c>
      <c r="D315" s="1" t="s">
        <v>36</v>
      </c>
      <c r="E315" s="1" t="s">
        <v>65</v>
      </c>
      <c r="F315" s="1">
        <v>498</v>
      </c>
      <c r="G315" s="1">
        <v>38</v>
      </c>
      <c r="H315" s="1">
        <v>42</v>
      </c>
      <c r="I315" s="1">
        <v>4482</v>
      </c>
      <c r="J315" s="1">
        <v>3647</v>
      </c>
      <c r="K315" s="1">
        <v>32</v>
      </c>
      <c r="L315" s="1" t="s">
        <v>17</v>
      </c>
      <c r="M315" s="1" t="s">
        <v>357</v>
      </c>
      <c r="N315" s="8" t="s">
        <v>359</v>
      </c>
    </row>
    <row r="316" spans="1:14" x14ac:dyDescent="0.3">
      <c r="A316" s="6" t="s">
        <v>158</v>
      </c>
      <c r="B316" s="1" t="s">
        <v>28</v>
      </c>
      <c r="C316" s="7">
        <v>45457</v>
      </c>
      <c r="D316" s="1" t="s">
        <v>36</v>
      </c>
      <c r="E316" s="1" t="s">
        <v>65</v>
      </c>
      <c r="F316" s="1">
        <v>498</v>
      </c>
      <c r="G316" s="1">
        <v>38</v>
      </c>
      <c r="H316" s="1">
        <v>42</v>
      </c>
      <c r="I316" s="1">
        <v>4482</v>
      </c>
      <c r="J316" s="1">
        <v>3647</v>
      </c>
      <c r="K316" s="1">
        <v>32</v>
      </c>
      <c r="L316" s="1" t="s">
        <v>17</v>
      </c>
      <c r="M316" s="1" t="s">
        <v>358</v>
      </c>
      <c r="N316" s="8" t="s">
        <v>359</v>
      </c>
    </row>
    <row r="317" spans="1:14" x14ac:dyDescent="0.3">
      <c r="A317" s="6" t="s">
        <v>159</v>
      </c>
      <c r="B317" s="1" t="s">
        <v>28</v>
      </c>
      <c r="C317" s="7">
        <v>45692</v>
      </c>
      <c r="D317" s="1" t="s">
        <v>41</v>
      </c>
      <c r="E317" s="1" t="s">
        <v>134</v>
      </c>
      <c r="F317" s="1">
        <v>4619</v>
      </c>
      <c r="G317" s="1">
        <v>821</v>
      </c>
      <c r="H317" s="1">
        <v>499</v>
      </c>
      <c r="I317" s="1">
        <v>69285</v>
      </c>
      <c r="J317" s="1">
        <v>69141</v>
      </c>
      <c r="K317" s="1">
        <v>298</v>
      </c>
      <c r="L317" s="1" t="s">
        <v>32</v>
      </c>
      <c r="M317" s="1" t="s">
        <v>11</v>
      </c>
      <c r="N317" s="8" t="s">
        <v>25</v>
      </c>
    </row>
    <row r="318" spans="1:14" x14ac:dyDescent="0.3">
      <c r="A318" s="6" t="s">
        <v>159</v>
      </c>
      <c r="B318" s="1" t="s">
        <v>28</v>
      </c>
      <c r="C318" s="7">
        <v>45692</v>
      </c>
      <c r="D318" s="1" t="s">
        <v>41</v>
      </c>
      <c r="E318" s="1" t="s">
        <v>134</v>
      </c>
      <c r="F318" s="1">
        <v>4619</v>
      </c>
      <c r="G318" s="1">
        <v>821</v>
      </c>
      <c r="H318" s="1">
        <v>499</v>
      </c>
      <c r="I318" s="1">
        <v>69285</v>
      </c>
      <c r="J318" s="1">
        <v>69141</v>
      </c>
      <c r="K318" s="1">
        <v>298</v>
      </c>
      <c r="L318" s="1" t="s">
        <v>32</v>
      </c>
      <c r="M318" s="1" t="s">
        <v>357</v>
      </c>
      <c r="N318" s="8" t="s">
        <v>359</v>
      </c>
    </row>
    <row r="319" spans="1:14" x14ac:dyDescent="0.3">
      <c r="A319" s="6" t="s">
        <v>159</v>
      </c>
      <c r="B319" s="1" t="s">
        <v>28</v>
      </c>
      <c r="C319" s="7">
        <v>45692</v>
      </c>
      <c r="D319" s="1" t="s">
        <v>41</v>
      </c>
      <c r="E319" s="1" t="s">
        <v>134</v>
      </c>
      <c r="F319" s="1">
        <v>4619</v>
      </c>
      <c r="G319" s="1">
        <v>821</v>
      </c>
      <c r="H319" s="1">
        <v>499</v>
      </c>
      <c r="I319" s="1">
        <v>69285</v>
      </c>
      <c r="J319" s="1">
        <v>69141</v>
      </c>
      <c r="K319" s="1">
        <v>298</v>
      </c>
      <c r="L319" s="1" t="s">
        <v>32</v>
      </c>
      <c r="M319" s="1" t="s">
        <v>358</v>
      </c>
      <c r="N319" s="8" t="s">
        <v>359</v>
      </c>
    </row>
    <row r="320" spans="1:14" x14ac:dyDescent="0.3">
      <c r="A320" s="6" t="s">
        <v>160</v>
      </c>
      <c r="B320" s="1" t="s">
        <v>23</v>
      </c>
      <c r="C320" s="7">
        <v>45464</v>
      </c>
      <c r="D320" s="1" t="s">
        <v>41</v>
      </c>
      <c r="E320" s="1" t="s">
        <v>42</v>
      </c>
      <c r="F320" s="1">
        <v>4832</v>
      </c>
      <c r="G320" s="1">
        <v>893</v>
      </c>
      <c r="H320" s="1">
        <v>10</v>
      </c>
      <c r="I320" s="1">
        <v>91808</v>
      </c>
      <c r="J320" s="1">
        <v>91296</v>
      </c>
      <c r="K320" s="1">
        <v>182</v>
      </c>
      <c r="L320" s="1" t="s">
        <v>360</v>
      </c>
      <c r="M320" s="1" t="s">
        <v>11</v>
      </c>
      <c r="N320" s="8" t="s">
        <v>25</v>
      </c>
    </row>
    <row r="321" spans="1:14" x14ac:dyDescent="0.3">
      <c r="A321" s="6" t="s">
        <v>160</v>
      </c>
      <c r="B321" s="1" t="s">
        <v>23</v>
      </c>
      <c r="C321" s="7">
        <v>45464</v>
      </c>
      <c r="D321" s="1" t="s">
        <v>41</v>
      </c>
      <c r="E321" s="1" t="s">
        <v>42</v>
      </c>
      <c r="F321" s="1">
        <v>4832</v>
      </c>
      <c r="G321" s="1">
        <v>893</v>
      </c>
      <c r="H321" s="1">
        <v>10</v>
      </c>
      <c r="I321" s="1">
        <v>91808</v>
      </c>
      <c r="J321" s="1">
        <v>91296</v>
      </c>
      <c r="K321" s="1">
        <v>182</v>
      </c>
      <c r="L321" s="1" t="s">
        <v>360</v>
      </c>
      <c r="M321" s="1" t="s">
        <v>357</v>
      </c>
      <c r="N321" s="8" t="s">
        <v>359</v>
      </c>
    </row>
    <row r="322" spans="1:14" x14ac:dyDescent="0.3">
      <c r="A322" s="6" t="s">
        <v>160</v>
      </c>
      <c r="B322" s="1" t="s">
        <v>23</v>
      </c>
      <c r="C322" s="7">
        <v>45464</v>
      </c>
      <c r="D322" s="1" t="s">
        <v>41</v>
      </c>
      <c r="E322" s="1" t="s">
        <v>42</v>
      </c>
      <c r="F322" s="1">
        <v>4832</v>
      </c>
      <c r="G322" s="1">
        <v>893</v>
      </c>
      <c r="H322" s="1">
        <v>10</v>
      </c>
      <c r="I322" s="1">
        <v>91808</v>
      </c>
      <c r="J322" s="1">
        <v>91296</v>
      </c>
      <c r="K322" s="1">
        <v>182</v>
      </c>
      <c r="L322" s="1" t="s">
        <v>360</v>
      </c>
      <c r="M322" s="1" t="s">
        <v>358</v>
      </c>
      <c r="N322" s="8" t="s">
        <v>359</v>
      </c>
    </row>
    <row r="323" spans="1:14" x14ac:dyDescent="0.3">
      <c r="A323" s="6" t="s">
        <v>161</v>
      </c>
      <c r="B323" s="1" t="s">
        <v>14</v>
      </c>
      <c r="C323" s="7">
        <v>45741</v>
      </c>
      <c r="D323" s="1" t="s">
        <v>56</v>
      </c>
      <c r="E323" s="1" t="s">
        <v>95</v>
      </c>
      <c r="F323" s="1">
        <v>4050</v>
      </c>
      <c r="G323" s="1">
        <v>871</v>
      </c>
      <c r="H323" s="1">
        <v>347</v>
      </c>
      <c r="I323" s="1">
        <v>52650</v>
      </c>
      <c r="J323" s="1">
        <v>51755</v>
      </c>
      <c r="K323" s="1">
        <v>209</v>
      </c>
      <c r="L323" s="1" t="s">
        <v>21</v>
      </c>
      <c r="M323" s="1" t="s">
        <v>11</v>
      </c>
      <c r="N323" s="8" t="s">
        <v>25</v>
      </c>
    </row>
    <row r="324" spans="1:14" x14ac:dyDescent="0.3">
      <c r="A324" s="6" t="s">
        <v>161</v>
      </c>
      <c r="B324" s="1" t="s">
        <v>14</v>
      </c>
      <c r="C324" s="7">
        <v>45741</v>
      </c>
      <c r="D324" s="1" t="s">
        <v>56</v>
      </c>
      <c r="E324" s="1" t="s">
        <v>95</v>
      </c>
      <c r="F324" s="1">
        <v>4050</v>
      </c>
      <c r="G324" s="1">
        <v>871</v>
      </c>
      <c r="H324" s="1">
        <v>347</v>
      </c>
      <c r="I324" s="1">
        <v>52650</v>
      </c>
      <c r="J324" s="1">
        <v>51755</v>
      </c>
      <c r="K324" s="1">
        <v>209</v>
      </c>
      <c r="L324" s="1" t="s">
        <v>21</v>
      </c>
      <c r="M324" s="1" t="s">
        <v>357</v>
      </c>
      <c r="N324" s="8" t="s">
        <v>359</v>
      </c>
    </row>
    <row r="325" spans="1:14" x14ac:dyDescent="0.3">
      <c r="A325" s="6" t="s">
        <v>161</v>
      </c>
      <c r="B325" s="1" t="s">
        <v>14</v>
      </c>
      <c r="C325" s="7">
        <v>45741</v>
      </c>
      <c r="D325" s="1" t="s">
        <v>56</v>
      </c>
      <c r="E325" s="1" t="s">
        <v>95</v>
      </c>
      <c r="F325" s="1">
        <v>4050</v>
      </c>
      <c r="G325" s="1">
        <v>871</v>
      </c>
      <c r="H325" s="1">
        <v>347</v>
      </c>
      <c r="I325" s="1">
        <v>52650</v>
      </c>
      <c r="J325" s="1">
        <v>51755</v>
      </c>
      <c r="K325" s="1">
        <v>209</v>
      </c>
      <c r="L325" s="1" t="s">
        <v>21</v>
      </c>
      <c r="M325" s="1" t="s">
        <v>358</v>
      </c>
      <c r="N325" s="8" t="s">
        <v>359</v>
      </c>
    </row>
    <row r="326" spans="1:14" x14ac:dyDescent="0.3">
      <c r="A326" s="6" t="s">
        <v>162</v>
      </c>
      <c r="B326" s="1" t="s">
        <v>14</v>
      </c>
      <c r="C326" s="7">
        <v>45512</v>
      </c>
      <c r="D326" s="1" t="s">
        <v>29</v>
      </c>
      <c r="E326" s="1" t="s">
        <v>98</v>
      </c>
      <c r="F326" s="1">
        <v>3649</v>
      </c>
      <c r="G326" s="1">
        <v>215</v>
      </c>
      <c r="H326" s="1">
        <v>413</v>
      </c>
      <c r="I326" s="1">
        <v>25543</v>
      </c>
      <c r="J326" s="1">
        <v>24963</v>
      </c>
      <c r="K326" s="1">
        <v>167</v>
      </c>
      <c r="L326" s="1" t="s">
        <v>26</v>
      </c>
      <c r="M326" s="1" t="s">
        <v>11</v>
      </c>
      <c r="N326" s="8" t="s">
        <v>48</v>
      </c>
    </row>
    <row r="327" spans="1:14" x14ac:dyDescent="0.3">
      <c r="A327" s="6" t="s">
        <v>162</v>
      </c>
      <c r="B327" s="1" t="s">
        <v>14</v>
      </c>
      <c r="C327" s="7">
        <v>45512</v>
      </c>
      <c r="D327" s="1" t="s">
        <v>29</v>
      </c>
      <c r="E327" s="1" t="s">
        <v>98</v>
      </c>
      <c r="F327" s="1">
        <v>3649</v>
      </c>
      <c r="G327" s="1">
        <v>215</v>
      </c>
      <c r="H327" s="1">
        <v>413</v>
      </c>
      <c r="I327" s="1">
        <v>25543</v>
      </c>
      <c r="J327" s="1">
        <v>24963</v>
      </c>
      <c r="K327" s="1">
        <v>167</v>
      </c>
      <c r="L327" s="1" t="s">
        <v>26</v>
      </c>
      <c r="M327" s="1" t="s">
        <v>357</v>
      </c>
      <c r="N327" s="8" t="s">
        <v>359</v>
      </c>
    </row>
    <row r="328" spans="1:14" x14ac:dyDescent="0.3">
      <c r="A328" s="6" t="s">
        <v>162</v>
      </c>
      <c r="B328" s="1" t="s">
        <v>14</v>
      </c>
      <c r="C328" s="7">
        <v>45512</v>
      </c>
      <c r="D328" s="1" t="s">
        <v>29</v>
      </c>
      <c r="E328" s="1" t="s">
        <v>98</v>
      </c>
      <c r="F328" s="1">
        <v>3649</v>
      </c>
      <c r="G328" s="1">
        <v>215</v>
      </c>
      <c r="H328" s="1">
        <v>413</v>
      </c>
      <c r="I328" s="1">
        <v>25543</v>
      </c>
      <c r="J328" s="1">
        <v>24963</v>
      </c>
      <c r="K328" s="1">
        <v>167</v>
      </c>
      <c r="L328" s="1" t="s">
        <v>26</v>
      </c>
      <c r="M328" s="1" t="s">
        <v>358</v>
      </c>
      <c r="N328" s="8" t="s">
        <v>359</v>
      </c>
    </row>
    <row r="329" spans="1:14" x14ac:dyDescent="0.3">
      <c r="A329" s="6" t="s">
        <v>163</v>
      </c>
      <c r="B329" s="1" t="s">
        <v>28</v>
      </c>
      <c r="C329" s="7">
        <v>45502</v>
      </c>
      <c r="D329" s="1" t="s">
        <v>15</v>
      </c>
      <c r="E329" s="1" t="s">
        <v>61</v>
      </c>
      <c r="F329" s="1">
        <v>3523</v>
      </c>
      <c r="G329" s="1">
        <v>753</v>
      </c>
      <c r="H329" s="1">
        <v>482</v>
      </c>
      <c r="I329" s="1">
        <v>38753</v>
      </c>
      <c r="J329" s="1">
        <v>38579</v>
      </c>
      <c r="K329" s="1">
        <v>270</v>
      </c>
      <c r="L329" s="1" t="s">
        <v>21</v>
      </c>
      <c r="M329" s="1" t="s">
        <v>11</v>
      </c>
      <c r="N329" s="8" t="s">
        <v>31</v>
      </c>
    </row>
    <row r="330" spans="1:14" x14ac:dyDescent="0.3">
      <c r="A330" s="6" t="s">
        <v>163</v>
      </c>
      <c r="B330" s="1" t="s">
        <v>28</v>
      </c>
      <c r="C330" s="7">
        <v>45502</v>
      </c>
      <c r="D330" s="1" t="s">
        <v>15</v>
      </c>
      <c r="E330" s="1" t="s">
        <v>61</v>
      </c>
      <c r="F330" s="1">
        <v>3523</v>
      </c>
      <c r="G330" s="1">
        <v>753</v>
      </c>
      <c r="H330" s="1">
        <v>482</v>
      </c>
      <c r="I330" s="1">
        <v>38753</v>
      </c>
      <c r="J330" s="1">
        <v>38579</v>
      </c>
      <c r="K330" s="1">
        <v>270</v>
      </c>
      <c r="L330" s="1" t="s">
        <v>21</v>
      </c>
      <c r="M330" s="1" t="s">
        <v>357</v>
      </c>
      <c r="N330" s="8" t="s">
        <v>359</v>
      </c>
    </row>
    <row r="331" spans="1:14" x14ac:dyDescent="0.3">
      <c r="A331" s="6" t="s">
        <v>163</v>
      </c>
      <c r="B331" s="1" t="s">
        <v>28</v>
      </c>
      <c r="C331" s="7">
        <v>45502</v>
      </c>
      <c r="D331" s="1" t="s">
        <v>15</v>
      </c>
      <c r="E331" s="1" t="s">
        <v>61</v>
      </c>
      <c r="F331" s="1">
        <v>3523</v>
      </c>
      <c r="G331" s="1">
        <v>753</v>
      </c>
      <c r="H331" s="1">
        <v>482</v>
      </c>
      <c r="I331" s="1">
        <v>38753</v>
      </c>
      <c r="J331" s="1">
        <v>38579</v>
      </c>
      <c r="K331" s="1">
        <v>270</v>
      </c>
      <c r="L331" s="1" t="s">
        <v>21</v>
      </c>
      <c r="M331" s="1" t="s">
        <v>358</v>
      </c>
      <c r="N331" s="8" t="s">
        <v>359</v>
      </c>
    </row>
    <row r="332" spans="1:14" x14ac:dyDescent="0.3">
      <c r="A332" s="6" t="s">
        <v>164</v>
      </c>
      <c r="B332" s="1" t="s">
        <v>23</v>
      </c>
      <c r="C332" s="7">
        <v>45619</v>
      </c>
      <c r="D332" s="1" t="s">
        <v>41</v>
      </c>
      <c r="E332" s="1" t="s">
        <v>42</v>
      </c>
      <c r="F332" s="1">
        <v>2719</v>
      </c>
      <c r="G332" s="1">
        <v>17</v>
      </c>
      <c r="H332" s="1">
        <v>285</v>
      </c>
      <c r="I332" s="1">
        <v>40785</v>
      </c>
      <c r="J332" s="1">
        <v>40281</v>
      </c>
      <c r="K332" s="1">
        <v>40</v>
      </c>
      <c r="L332" s="1" t="s">
        <v>21</v>
      </c>
      <c r="M332" s="1" t="s">
        <v>11</v>
      </c>
      <c r="N332" s="8" t="s">
        <v>25</v>
      </c>
    </row>
    <row r="333" spans="1:14" x14ac:dyDescent="0.3">
      <c r="A333" s="6" t="s">
        <v>164</v>
      </c>
      <c r="B333" s="1" t="s">
        <v>23</v>
      </c>
      <c r="C333" s="7">
        <v>45619</v>
      </c>
      <c r="D333" s="1" t="s">
        <v>41</v>
      </c>
      <c r="E333" s="1" t="s">
        <v>42</v>
      </c>
      <c r="F333" s="1">
        <v>2719</v>
      </c>
      <c r="G333" s="1">
        <v>17</v>
      </c>
      <c r="H333" s="1">
        <v>285</v>
      </c>
      <c r="I333" s="1">
        <v>40785</v>
      </c>
      <c r="J333" s="1">
        <v>40281</v>
      </c>
      <c r="K333" s="1">
        <v>40</v>
      </c>
      <c r="L333" s="1" t="s">
        <v>21</v>
      </c>
      <c r="M333" s="1" t="s">
        <v>357</v>
      </c>
      <c r="N333" s="8" t="s">
        <v>359</v>
      </c>
    </row>
    <row r="334" spans="1:14" x14ac:dyDescent="0.3">
      <c r="A334" s="6" t="s">
        <v>164</v>
      </c>
      <c r="B334" s="1" t="s">
        <v>23</v>
      </c>
      <c r="C334" s="7">
        <v>45619</v>
      </c>
      <c r="D334" s="1" t="s">
        <v>41</v>
      </c>
      <c r="E334" s="1" t="s">
        <v>42</v>
      </c>
      <c r="F334" s="1">
        <v>2719</v>
      </c>
      <c r="G334" s="1">
        <v>17</v>
      </c>
      <c r="H334" s="1">
        <v>285</v>
      </c>
      <c r="I334" s="1">
        <v>40785</v>
      </c>
      <c r="J334" s="1">
        <v>40281</v>
      </c>
      <c r="K334" s="1">
        <v>40</v>
      </c>
      <c r="L334" s="1" t="s">
        <v>21</v>
      </c>
      <c r="M334" s="1" t="s">
        <v>358</v>
      </c>
      <c r="N334" s="8" t="s">
        <v>359</v>
      </c>
    </row>
    <row r="335" spans="1:14" x14ac:dyDescent="0.3">
      <c r="A335" s="6" t="s">
        <v>165</v>
      </c>
      <c r="B335" s="1" t="s">
        <v>14</v>
      </c>
      <c r="C335" s="7">
        <v>45570</v>
      </c>
      <c r="D335" s="1" t="s">
        <v>29</v>
      </c>
      <c r="E335" s="1" t="s">
        <v>98</v>
      </c>
      <c r="F335" s="1">
        <v>1957</v>
      </c>
      <c r="G335" s="1">
        <v>877</v>
      </c>
      <c r="H335" s="1">
        <v>238</v>
      </c>
      <c r="I335" s="1">
        <v>17613</v>
      </c>
      <c r="J335" s="1">
        <v>16865</v>
      </c>
      <c r="K335" s="1">
        <v>297</v>
      </c>
      <c r="L335" s="1" t="s">
        <v>26</v>
      </c>
      <c r="M335" s="1" t="s">
        <v>11</v>
      </c>
      <c r="N335" s="8" t="s">
        <v>48</v>
      </c>
    </row>
    <row r="336" spans="1:14" x14ac:dyDescent="0.3">
      <c r="A336" s="6" t="s">
        <v>165</v>
      </c>
      <c r="B336" s="1" t="s">
        <v>14</v>
      </c>
      <c r="C336" s="7">
        <v>45570</v>
      </c>
      <c r="D336" s="1" t="s">
        <v>29</v>
      </c>
      <c r="E336" s="1" t="s">
        <v>98</v>
      </c>
      <c r="F336" s="1">
        <v>1957</v>
      </c>
      <c r="G336" s="1">
        <v>877</v>
      </c>
      <c r="H336" s="1">
        <v>238</v>
      </c>
      <c r="I336" s="1">
        <v>17613</v>
      </c>
      <c r="J336" s="1">
        <v>16865</v>
      </c>
      <c r="K336" s="1">
        <v>297</v>
      </c>
      <c r="L336" s="1" t="s">
        <v>26</v>
      </c>
      <c r="M336" s="1" t="s">
        <v>357</v>
      </c>
      <c r="N336" s="8" t="s">
        <v>359</v>
      </c>
    </row>
    <row r="337" spans="1:14" x14ac:dyDescent="0.3">
      <c r="A337" s="6" t="s">
        <v>165</v>
      </c>
      <c r="B337" s="1" t="s">
        <v>14</v>
      </c>
      <c r="C337" s="7">
        <v>45570</v>
      </c>
      <c r="D337" s="1" t="s">
        <v>29</v>
      </c>
      <c r="E337" s="1" t="s">
        <v>98</v>
      </c>
      <c r="F337" s="1">
        <v>1957</v>
      </c>
      <c r="G337" s="1">
        <v>877</v>
      </c>
      <c r="H337" s="1">
        <v>238</v>
      </c>
      <c r="I337" s="1">
        <v>17613</v>
      </c>
      <c r="J337" s="1">
        <v>16865</v>
      </c>
      <c r="K337" s="1">
        <v>297</v>
      </c>
      <c r="L337" s="1" t="s">
        <v>26</v>
      </c>
      <c r="M337" s="1" t="s">
        <v>358</v>
      </c>
      <c r="N337" s="8" t="s">
        <v>359</v>
      </c>
    </row>
    <row r="338" spans="1:14" x14ac:dyDescent="0.3">
      <c r="A338" s="6" t="s">
        <v>166</v>
      </c>
      <c r="B338" s="1" t="s">
        <v>14</v>
      </c>
      <c r="C338" s="7">
        <v>45567</v>
      </c>
      <c r="D338" s="1" t="s">
        <v>36</v>
      </c>
      <c r="E338" s="1" t="s">
        <v>39</v>
      </c>
      <c r="F338" s="1">
        <v>4419</v>
      </c>
      <c r="G338" s="1">
        <v>236</v>
      </c>
      <c r="H338" s="1">
        <v>369</v>
      </c>
      <c r="I338" s="1">
        <v>44190</v>
      </c>
      <c r="J338" s="1">
        <v>43582</v>
      </c>
      <c r="K338" s="1">
        <v>10</v>
      </c>
      <c r="L338" s="1" t="s">
        <v>17</v>
      </c>
      <c r="M338" s="1" t="s">
        <v>11</v>
      </c>
      <c r="N338" s="8" t="s">
        <v>31</v>
      </c>
    </row>
    <row r="339" spans="1:14" x14ac:dyDescent="0.3">
      <c r="A339" s="6" t="s">
        <v>166</v>
      </c>
      <c r="B339" s="1" t="s">
        <v>14</v>
      </c>
      <c r="C339" s="7">
        <v>45567</v>
      </c>
      <c r="D339" s="1" t="s">
        <v>36</v>
      </c>
      <c r="E339" s="1" t="s">
        <v>39</v>
      </c>
      <c r="F339" s="1">
        <v>4419</v>
      </c>
      <c r="G339" s="1">
        <v>236</v>
      </c>
      <c r="H339" s="1">
        <v>369</v>
      </c>
      <c r="I339" s="1">
        <v>44190</v>
      </c>
      <c r="J339" s="1">
        <v>43582</v>
      </c>
      <c r="K339" s="1">
        <v>10</v>
      </c>
      <c r="L339" s="1" t="s">
        <v>17</v>
      </c>
      <c r="M339" s="1" t="s">
        <v>357</v>
      </c>
      <c r="N339" s="8" t="s">
        <v>359</v>
      </c>
    </row>
    <row r="340" spans="1:14" x14ac:dyDescent="0.3">
      <c r="A340" s="6" t="s">
        <v>166</v>
      </c>
      <c r="B340" s="1" t="s">
        <v>14</v>
      </c>
      <c r="C340" s="7">
        <v>45567</v>
      </c>
      <c r="D340" s="1" t="s">
        <v>36</v>
      </c>
      <c r="E340" s="1" t="s">
        <v>39</v>
      </c>
      <c r="F340" s="1">
        <v>4419</v>
      </c>
      <c r="G340" s="1">
        <v>236</v>
      </c>
      <c r="H340" s="1">
        <v>369</v>
      </c>
      <c r="I340" s="1">
        <v>44190</v>
      </c>
      <c r="J340" s="1">
        <v>43582</v>
      </c>
      <c r="K340" s="1">
        <v>10</v>
      </c>
      <c r="L340" s="1" t="s">
        <v>17</v>
      </c>
      <c r="M340" s="1" t="s">
        <v>358</v>
      </c>
      <c r="N340" s="8" t="s">
        <v>359</v>
      </c>
    </row>
    <row r="341" spans="1:14" x14ac:dyDescent="0.3">
      <c r="A341" s="6" t="s">
        <v>167</v>
      </c>
      <c r="B341" s="1" t="s">
        <v>14</v>
      </c>
      <c r="C341" s="7">
        <v>45610</v>
      </c>
      <c r="D341" s="1" t="s">
        <v>29</v>
      </c>
      <c r="E341" s="1" t="s">
        <v>98</v>
      </c>
      <c r="F341" s="1">
        <v>4000</v>
      </c>
      <c r="G341" s="1">
        <v>689</v>
      </c>
      <c r="H341" s="1">
        <v>488</v>
      </c>
      <c r="I341" s="1">
        <v>40000</v>
      </c>
      <c r="J341" s="1">
        <v>39569</v>
      </c>
      <c r="K341" s="1">
        <v>44</v>
      </c>
      <c r="L341" s="1" t="s">
        <v>17</v>
      </c>
      <c r="M341" s="1" t="s">
        <v>11</v>
      </c>
      <c r="N341" s="8" t="s">
        <v>48</v>
      </c>
    </row>
    <row r="342" spans="1:14" x14ac:dyDescent="0.3">
      <c r="A342" s="6" t="s">
        <v>167</v>
      </c>
      <c r="B342" s="1" t="s">
        <v>14</v>
      </c>
      <c r="C342" s="7">
        <v>45610</v>
      </c>
      <c r="D342" s="1" t="s">
        <v>29</v>
      </c>
      <c r="E342" s="1" t="s">
        <v>98</v>
      </c>
      <c r="F342" s="1">
        <v>4000</v>
      </c>
      <c r="G342" s="1">
        <v>689</v>
      </c>
      <c r="H342" s="1">
        <v>488</v>
      </c>
      <c r="I342" s="1">
        <v>40000</v>
      </c>
      <c r="J342" s="1">
        <v>39569</v>
      </c>
      <c r="K342" s="1">
        <v>44</v>
      </c>
      <c r="L342" s="1" t="s">
        <v>17</v>
      </c>
      <c r="M342" s="1" t="s">
        <v>357</v>
      </c>
      <c r="N342" s="8" t="s">
        <v>359</v>
      </c>
    </row>
    <row r="343" spans="1:14" x14ac:dyDescent="0.3">
      <c r="A343" s="6" t="s">
        <v>167</v>
      </c>
      <c r="B343" s="1" t="s">
        <v>14</v>
      </c>
      <c r="C343" s="7">
        <v>45610</v>
      </c>
      <c r="D343" s="1" t="s">
        <v>29</v>
      </c>
      <c r="E343" s="1" t="s">
        <v>98</v>
      </c>
      <c r="F343" s="1">
        <v>4000</v>
      </c>
      <c r="G343" s="1">
        <v>689</v>
      </c>
      <c r="H343" s="1">
        <v>488</v>
      </c>
      <c r="I343" s="1">
        <v>40000</v>
      </c>
      <c r="J343" s="1">
        <v>39569</v>
      </c>
      <c r="K343" s="1">
        <v>44</v>
      </c>
      <c r="L343" s="1" t="s">
        <v>17</v>
      </c>
      <c r="M343" s="1" t="s">
        <v>358</v>
      </c>
      <c r="N343" s="8" t="s">
        <v>359</v>
      </c>
    </row>
    <row r="344" spans="1:14" x14ac:dyDescent="0.3">
      <c r="A344" s="6" t="s">
        <v>168</v>
      </c>
      <c r="B344" s="1" t="s">
        <v>14</v>
      </c>
      <c r="C344" s="7">
        <v>45788</v>
      </c>
      <c r="D344" s="1" t="s">
        <v>41</v>
      </c>
      <c r="E344" s="1" t="s">
        <v>88</v>
      </c>
      <c r="F344" s="1">
        <v>2493</v>
      </c>
      <c r="G344" s="1">
        <v>97</v>
      </c>
      <c r="H344" s="1">
        <v>44</v>
      </c>
      <c r="I344" s="1">
        <v>42381</v>
      </c>
      <c r="J344" s="1">
        <v>41991</v>
      </c>
      <c r="K344" s="1">
        <v>242</v>
      </c>
      <c r="L344" s="1" t="s">
        <v>32</v>
      </c>
      <c r="M344" s="1" t="s">
        <v>11</v>
      </c>
      <c r="N344" s="8" t="s">
        <v>25</v>
      </c>
    </row>
    <row r="345" spans="1:14" x14ac:dyDescent="0.3">
      <c r="A345" s="6" t="s">
        <v>168</v>
      </c>
      <c r="B345" s="1" t="s">
        <v>14</v>
      </c>
      <c r="C345" s="7">
        <v>45788</v>
      </c>
      <c r="D345" s="1" t="s">
        <v>41</v>
      </c>
      <c r="E345" s="1" t="s">
        <v>88</v>
      </c>
      <c r="F345" s="1">
        <v>2493</v>
      </c>
      <c r="G345" s="1">
        <v>97</v>
      </c>
      <c r="H345" s="1">
        <v>44</v>
      </c>
      <c r="I345" s="1">
        <v>42381</v>
      </c>
      <c r="J345" s="1">
        <v>41991</v>
      </c>
      <c r="K345" s="1">
        <v>242</v>
      </c>
      <c r="L345" s="1" t="s">
        <v>32</v>
      </c>
      <c r="M345" s="1" t="s">
        <v>357</v>
      </c>
      <c r="N345" s="8" t="s">
        <v>354</v>
      </c>
    </row>
    <row r="346" spans="1:14" x14ac:dyDescent="0.3">
      <c r="A346" s="6" t="s">
        <v>168</v>
      </c>
      <c r="B346" s="1" t="s">
        <v>14</v>
      </c>
      <c r="C346" s="7">
        <v>45788</v>
      </c>
      <c r="D346" s="1" t="s">
        <v>41</v>
      </c>
      <c r="E346" s="1" t="s">
        <v>88</v>
      </c>
      <c r="F346" s="1">
        <v>2493</v>
      </c>
      <c r="G346" s="1">
        <v>97</v>
      </c>
      <c r="H346" s="1">
        <v>44</v>
      </c>
      <c r="I346" s="1">
        <v>42381</v>
      </c>
      <c r="J346" s="1">
        <v>41991</v>
      </c>
      <c r="K346" s="1">
        <v>242</v>
      </c>
      <c r="L346" s="1" t="s">
        <v>32</v>
      </c>
      <c r="M346" s="1" t="s">
        <v>358</v>
      </c>
      <c r="N346" s="8" t="s">
        <v>359</v>
      </c>
    </row>
    <row r="347" spans="1:14" x14ac:dyDescent="0.3">
      <c r="A347" s="6" t="s">
        <v>169</v>
      </c>
      <c r="B347" s="1" t="s">
        <v>23</v>
      </c>
      <c r="C347" s="7">
        <v>45734</v>
      </c>
      <c r="D347" s="1" t="s">
        <v>15</v>
      </c>
      <c r="E347" s="1" t="s">
        <v>24</v>
      </c>
      <c r="F347" s="1">
        <v>3704</v>
      </c>
      <c r="G347" s="1">
        <v>186</v>
      </c>
      <c r="H347" s="1">
        <v>458</v>
      </c>
      <c r="I347" s="1">
        <v>25928</v>
      </c>
      <c r="J347" s="1">
        <v>25081</v>
      </c>
      <c r="K347" s="1">
        <v>131</v>
      </c>
      <c r="L347" s="1" t="s">
        <v>360</v>
      </c>
      <c r="M347" s="1" t="s">
        <v>11</v>
      </c>
      <c r="N347" s="8" t="s">
        <v>25</v>
      </c>
    </row>
    <row r="348" spans="1:14" x14ac:dyDescent="0.3">
      <c r="A348" s="6" t="s">
        <v>169</v>
      </c>
      <c r="B348" s="1" t="s">
        <v>23</v>
      </c>
      <c r="C348" s="7">
        <v>45734</v>
      </c>
      <c r="D348" s="1" t="s">
        <v>15</v>
      </c>
      <c r="E348" s="1" t="s">
        <v>24</v>
      </c>
      <c r="F348" s="1">
        <v>3704</v>
      </c>
      <c r="G348" s="1">
        <v>186</v>
      </c>
      <c r="H348" s="1">
        <v>458</v>
      </c>
      <c r="I348" s="1">
        <v>25928</v>
      </c>
      <c r="J348" s="1">
        <v>25081</v>
      </c>
      <c r="K348" s="1">
        <v>131</v>
      </c>
      <c r="L348" s="1" t="s">
        <v>360</v>
      </c>
      <c r="M348" s="1" t="s">
        <v>357</v>
      </c>
      <c r="N348" s="8" t="s">
        <v>359</v>
      </c>
    </row>
    <row r="349" spans="1:14" x14ac:dyDescent="0.3">
      <c r="A349" s="6" t="s">
        <v>169</v>
      </c>
      <c r="B349" s="1" t="s">
        <v>23</v>
      </c>
      <c r="C349" s="7">
        <v>45734</v>
      </c>
      <c r="D349" s="1" t="s">
        <v>15</v>
      </c>
      <c r="E349" s="1" t="s">
        <v>24</v>
      </c>
      <c r="F349" s="1">
        <v>3704</v>
      </c>
      <c r="G349" s="1">
        <v>186</v>
      </c>
      <c r="H349" s="1">
        <v>458</v>
      </c>
      <c r="I349" s="1">
        <v>25928</v>
      </c>
      <c r="J349" s="1">
        <v>25081</v>
      </c>
      <c r="K349" s="1">
        <v>131</v>
      </c>
      <c r="L349" s="1" t="s">
        <v>360</v>
      </c>
      <c r="M349" s="1" t="s">
        <v>358</v>
      </c>
      <c r="N349" s="8" t="s">
        <v>359</v>
      </c>
    </row>
    <row r="350" spans="1:14" x14ac:dyDescent="0.3">
      <c r="A350" s="6" t="s">
        <v>170</v>
      </c>
      <c r="B350" s="1" t="s">
        <v>14</v>
      </c>
      <c r="C350" s="7">
        <v>45600</v>
      </c>
      <c r="D350" s="1" t="s">
        <v>41</v>
      </c>
      <c r="E350" s="1" t="s">
        <v>88</v>
      </c>
      <c r="F350" s="1">
        <v>1606</v>
      </c>
      <c r="G350" s="1">
        <v>451</v>
      </c>
      <c r="H350" s="1">
        <v>405</v>
      </c>
      <c r="I350" s="1">
        <v>20878</v>
      </c>
      <c r="J350" s="1">
        <v>20190</v>
      </c>
      <c r="K350" s="1">
        <v>219</v>
      </c>
      <c r="L350" s="1" t="s">
        <v>32</v>
      </c>
      <c r="M350" s="1" t="s">
        <v>11</v>
      </c>
      <c r="N350" s="8" t="s">
        <v>31</v>
      </c>
    </row>
    <row r="351" spans="1:14" x14ac:dyDescent="0.3">
      <c r="A351" s="6" t="s">
        <v>170</v>
      </c>
      <c r="B351" s="1" t="s">
        <v>14</v>
      </c>
      <c r="C351" s="7">
        <v>45600</v>
      </c>
      <c r="D351" s="1" t="s">
        <v>41</v>
      </c>
      <c r="E351" s="1" t="s">
        <v>88</v>
      </c>
      <c r="F351" s="1">
        <v>1606</v>
      </c>
      <c r="G351" s="1">
        <v>451</v>
      </c>
      <c r="H351" s="1">
        <v>405</v>
      </c>
      <c r="I351" s="1">
        <v>20878</v>
      </c>
      <c r="J351" s="1">
        <v>20190</v>
      </c>
      <c r="K351" s="1">
        <v>219</v>
      </c>
      <c r="L351" s="1" t="s">
        <v>32</v>
      </c>
      <c r="M351" s="1" t="s">
        <v>357</v>
      </c>
      <c r="N351" s="8" t="s">
        <v>359</v>
      </c>
    </row>
    <row r="352" spans="1:14" x14ac:dyDescent="0.3">
      <c r="A352" s="6" t="s">
        <v>170</v>
      </c>
      <c r="B352" s="1" t="s">
        <v>14</v>
      </c>
      <c r="C352" s="7">
        <v>45600</v>
      </c>
      <c r="D352" s="1" t="s">
        <v>41</v>
      </c>
      <c r="E352" s="1" t="s">
        <v>88</v>
      </c>
      <c r="F352" s="1">
        <v>1606</v>
      </c>
      <c r="G352" s="1">
        <v>451</v>
      </c>
      <c r="H352" s="1">
        <v>405</v>
      </c>
      <c r="I352" s="1">
        <v>20878</v>
      </c>
      <c r="J352" s="1">
        <v>20190</v>
      </c>
      <c r="K352" s="1">
        <v>219</v>
      </c>
      <c r="L352" s="1" t="s">
        <v>32</v>
      </c>
      <c r="M352" s="1" t="s">
        <v>358</v>
      </c>
      <c r="N352" s="8" t="s">
        <v>359</v>
      </c>
    </row>
    <row r="353" spans="1:14" x14ac:dyDescent="0.3">
      <c r="A353" s="6" t="s">
        <v>171</v>
      </c>
      <c r="B353" s="1" t="s">
        <v>35</v>
      </c>
      <c r="C353" s="7">
        <v>45600</v>
      </c>
      <c r="D353" s="1" t="s">
        <v>41</v>
      </c>
      <c r="E353" s="1" t="s">
        <v>46</v>
      </c>
      <c r="F353" s="1">
        <v>4551</v>
      </c>
      <c r="G353" s="1">
        <v>714</v>
      </c>
      <c r="H353" s="1">
        <v>207</v>
      </c>
      <c r="I353" s="1">
        <v>68265</v>
      </c>
      <c r="J353" s="1">
        <v>67754</v>
      </c>
      <c r="K353" s="1">
        <v>57</v>
      </c>
      <c r="L353" s="1" t="s">
        <v>26</v>
      </c>
      <c r="M353" s="1" t="s">
        <v>11</v>
      </c>
      <c r="N353" s="8" t="s">
        <v>48</v>
      </c>
    </row>
    <row r="354" spans="1:14" x14ac:dyDescent="0.3">
      <c r="A354" s="6" t="s">
        <v>171</v>
      </c>
      <c r="B354" s="1" t="s">
        <v>35</v>
      </c>
      <c r="C354" s="7">
        <v>45600</v>
      </c>
      <c r="D354" s="1" t="s">
        <v>41</v>
      </c>
      <c r="E354" s="1" t="s">
        <v>46</v>
      </c>
      <c r="F354" s="1">
        <v>4551</v>
      </c>
      <c r="G354" s="1">
        <v>714</v>
      </c>
      <c r="H354" s="1">
        <v>207</v>
      </c>
      <c r="I354" s="1">
        <v>68265</v>
      </c>
      <c r="J354" s="1">
        <v>67754</v>
      </c>
      <c r="K354" s="1">
        <v>57</v>
      </c>
      <c r="L354" s="1" t="s">
        <v>26</v>
      </c>
      <c r="M354" s="1" t="s">
        <v>357</v>
      </c>
      <c r="N354" s="8" t="s">
        <v>359</v>
      </c>
    </row>
    <row r="355" spans="1:14" x14ac:dyDescent="0.3">
      <c r="A355" s="6" t="s">
        <v>171</v>
      </c>
      <c r="B355" s="1" t="s">
        <v>35</v>
      </c>
      <c r="C355" s="7">
        <v>45600</v>
      </c>
      <c r="D355" s="1" t="s">
        <v>41</v>
      </c>
      <c r="E355" s="1" t="s">
        <v>46</v>
      </c>
      <c r="F355" s="1">
        <v>4551</v>
      </c>
      <c r="G355" s="1">
        <v>714</v>
      </c>
      <c r="H355" s="1">
        <v>207</v>
      </c>
      <c r="I355" s="1">
        <v>68265</v>
      </c>
      <c r="J355" s="1">
        <v>67754</v>
      </c>
      <c r="K355" s="1">
        <v>57</v>
      </c>
      <c r="L355" s="1" t="s">
        <v>26</v>
      </c>
      <c r="M355" s="1" t="s">
        <v>358</v>
      </c>
      <c r="N355" s="8" t="s">
        <v>359</v>
      </c>
    </row>
    <row r="356" spans="1:14" x14ac:dyDescent="0.3">
      <c r="A356" s="6" t="s">
        <v>172</v>
      </c>
      <c r="B356" s="1" t="s">
        <v>28</v>
      </c>
      <c r="C356" s="7">
        <v>45695</v>
      </c>
      <c r="D356" s="1" t="s">
        <v>15</v>
      </c>
      <c r="E356" s="1" t="s">
        <v>61</v>
      </c>
      <c r="F356" s="1">
        <v>1970</v>
      </c>
      <c r="G356" s="1">
        <v>675</v>
      </c>
      <c r="H356" s="1">
        <v>478</v>
      </c>
      <c r="I356" s="1">
        <v>9850</v>
      </c>
      <c r="J356" s="1">
        <v>8924</v>
      </c>
      <c r="K356" s="1">
        <v>117</v>
      </c>
      <c r="L356" s="1" t="s">
        <v>360</v>
      </c>
      <c r="M356" s="1" t="s">
        <v>11</v>
      </c>
      <c r="N356" s="8" t="s">
        <v>48</v>
      </c>
    </row>
    <row r="357" spans="1:14" x14ac:dyDescent="0.3">
      <c r="A357" s="6" t="s">
        <v>172</v>
      </c>
      <c r="B357" s="1" t="s">
        <v>28</v>
      </c>
      <c r="C357" s="7">
        <v>45695</v>
      </c>
      <c r="D357" s="1" t="s">
        <v>15</v>
      </c>
      <c r="E357" s="1" t="s">
        <v>61</v>
      </c>
      <c r="F357" s="1">
        <v>1970</v>
      </c>
      <c r="G357" s="1">
        <v>675</v>
      </c>
      <c r="H357" s="1">
        <v>478</v>
      </c>
      <c r="I357" s="1">
        <v>9850</v>
      </c>
      <c r="J357" s="1">
        <v>8924</v>
      </c>
      <c r="K357" s="1">
        <v>117</v>
      </c>
      <c r="L357" s="1" t="s">
        <v>360</v>
      </c>
      <c r="M357" s="1" t="s">
        <v>357</v>
      </c>
      <c r="N357" s="8" t="s">
        <v>359</v>
      </c>
    </row>
    <row r="358" spans="1:14" x14ac:dyDescent="0.3">
      <c r="A358" s="6" t="s">
        <v>172</v>
      </c>
      <c r="B358" s="1" t="s">
        <v>28</v>
      </c>
      <c r="C358" s="7">
        <v>45695</v>
      </c>
      <c r="D358" s="1" t="s">
        <v>15</v>
      </c>
      <c r="E358" s="1" t="s">
        <v>61</v>
      </c>
      <c r="F358" s="1">
        <v>1970</v>
      </c>
      <c r="G358" s="1">
        <v>675</v>
      </c>
      <c r="H358" s="1">
        <v>478</v>
      </c>
      <c r="I358" s="1">
        <v>9850</v>
      </c>
      <c r="J358" s="1">
        <v>8924</v>
      </c>
      <c r="K358" s="1">
        <v>117</v>
      </c>
      <c r="L358" s="1" t="s">
        <v>360</v>
      </c>
      <c r="M358" s="1" t="s">
        <v>358</v>
      </c>
      <c r="N358" s="8" t="s">
        <v>359</v>
      </c>
    </row>
    <row r="359" spans="1:14" x14ac:dyDescent="0.3">
      <c r="A359" s="6" t="s">
        <v>173</v>
      </c>
      <c r="B359" s="1" t="s">
        <v>35</v>
      </c>
      <c r="C359" s="7">
        <v>45586</v>
      </c>
      <c r="D359" s="1" t="s">
        <v>29</v>
      </c>
      <c r="E359" s="1" t="s">
        <v>54</v>
      </c>
      <c r="F359" s="1">
        <v>780</v>
      </c>
      <c r="G359" s="1">
        <v>928</v>
      </c>
      <c r="H359" s="1">
        <v>301</v>
      </c>
      <c r="I359" s="1">
        <v>8580</v>
      </c>
      <c r="J359" s="1">
        <v>8081</v>
      </c>
      <c r="K359" s="1">
        <v>91</v>
      </c>
      <c r="L359" s="1" t="s">
        <v>26</v>
      </c>
      <c r="M359" s="1" t="s">
        <v>11</v>
      </c>
      <c r="N359" s="8" t="s">
        <v>31</v>
      </c>
    </row>
    <row r="360" spans="1:14" x14ac:dyDescent="0.3">
      <c r="A360" s="6" t="s">
        <v>173</v>
      </c>
      <c r="B360" s="1" t="s">
        <v>35</v>
      </c>
      <c r="C360" s="7">
        <v>45586</v>
      </c>
      <c r="D360" s="1" t="s">
        <v>29</v>
      </c>
      <c r="E360" s="1" t="s">
        <v>54</v>
      </c>
      <c r="F360" s="1">
        <v>780</v>
      </c>
      <c r="G360" s="1">
        <v>928</v>
      </c>
      <c r="H360" s="1">
        <v>301</v>
      </c>
      <c r="I360" s="1">
        <v>8580</v>
      </c>
      <c r="J360" s="1">
        <v>8081</v>
      </c>
      <c r="K360" s="1">
        <v>91</v>
      </c>
      <c r="L360" s="1" t="s">
        <v>26</v>
      </c>
      <c r="M360" s="1" t="s">
        <v>357</v>
      </c>
      <c r="N360" s="8" t="s">
        <v>359</v>
      </c>
    </row>
    <row r="361" spans="1:14" x14ac:dyDescent="0.3">
      <c r="A361" s="6" t="s">
        <v>173</v>
      </c>
      <c r="B361" s="1" t="s">
        <v>35</v>
      </c>
      <c r="C361" s="7">
        <v>45586</v>
      </c>
      <c r="D361" s="1" t="s">
        <v>29</v>
      </c>
      <c r="E361" s="1" t="s">
        <v>54</v>
      </c>
      <c r="F361" s="1">
        <v>780</v>
      </c>
      <c r="G361" s="1">
        <v>928</v>
      </c>
      <c r="H361" s="1">
        <v>301</v>
      </c>
      <c r="I361" s="1">
        <v>8580</v>
      </c>
      <c r="J361" s="1">
        <v>8081</v>
      </c>
      <c r="K361" s="1">
        <v>91</v>
      </c>
      <c r="L361" s="1" t="s">
        <v>26</v>
      </c>
      <c r="M361" s="1" t="s">
        <v>358</v>
      </c>
      <c r="N361" s="8" t="s">
        <v>359</v>
      </c>
    </row>
    <row r="362" spans="1:14" x14ac:dyDescent="0.3">
      <c r="A362" s="6" t="s">
        <v>174</v>
      </c>
      <c r="B362" s="1" t="s">
        <v>28</v>
      </c>
      <c r="C362" s="7">
        <v>45502</v>
      </c>
      <c r="D362" s="1" t="s">
        <v>29</v>
      </c>
      <c r="E362" s="1" t="s">
        <v>30</v>
      </c>
      <c r="F362" s="1">
        <v>498</v>
      </c>
      <c r="G362" s="1">
        <v>701</v>
      </c>
      <c r="H362" s="1">
        <v>412</v>
      </c>
      <c r="I362" s="1">
        <v>4980</v>
      </c>
      <c r="J362" s="1">
        <v>4185</v>
      </c>
      <c r="K362" s="1">
        <v>185</v>
      </c>
      <c r="L362" s="1" t="s">
        <v>360</v>
      </c>
      <c r="M362" s="1" t="s">
        <v>11</v>
      </c>
      <c r="N362" s="8" t="s">
        <v>48</v>
      </c>
    </row>
    <row r="363" spans="1:14" x14ac:dyDescent="0.3">
      <c r="A363" s="6" t="s">
        <v>174</v>
      </c>
      <c r="B363" s="1" t="s">
        <v>28</v>
      </c>
      <c r="C363" s="7">
        <v>45502</v>
      </c>
      <c r="D363" s="1" t="s">
        <v>29</v>
      </c>
      <c r="E363" s="1" t="s">
        <v>30</v>
      </c>
      <c r="F363" s="1">
        <v>498</v>
      </c>
      <c r="G363" s="1">
        <v>701</v>
      </c>
      <c r="H363" s="1">
        <v>412</v>
      </c>
      <c r="I363" s="1">
        <v>4980</v>
      </c>
      <c r="J363" s="1">
        <v>4185</v>
      </c>
      <c r="K363" s="1">
        <v>185</v>
      </c>
      <c r="L363" s="1" t="s">
        <v>360</v>
      </c>
      <c r="M363" s="1" t="s">
        <v>357</v>
      </c>
      <c r="N363" s="8" t="s">
        <v>359</v>
      </c>
    </row>
    <row r="364" spans="1:14" x14ac:dyDescent="0.3">
      <c r="A364" s="6" t="s">
        <v>174</v>
      </c>
      <c r="B364" s="1" t="s">
        <v>28</v>
      </c>
      <c r="C364" s="7">
        <v>45502</v>
      </c>
      <c r="D364" s="1" t="s">
        <v>29</v>
      </c>
      <c r="E364" s="1" t="s">
        <v>30</v>
      </c>
      <c r="F364" s="1">
        <v>498</v>
      </c>
      <c r="G364" s="1">
        <v>701</v>
      </c>
      <c r="H364" s="1">
        <v>412</v>
      </c>
      <c r="I364" s="1">
        <v>4980</v>
      </c>
      <c r="J364" s="1">
        <v>4185</v>
      </c>
      <c r="K364" s="1">
        <v>185</v>
      </c>
      <c r="L364" s="1" t="s">
        <v>360</v>
      </c>
      <c r="M364" s="1" t="s">
        <v>358</v>
      </c>
      <c r="N364" s="8" t="s">
        <v>359</v>
      </c>
    </row>
    <row r="365" spans="1:14" x14ac:dyDescent="0.3">
      <c r="A365" s="6" t="s">
        <v>175</v>
      </c>
      <c r="B365" s="1" t="s">
        <v>28</v>
      </c>
      <c r="C365" s="7">
        <v>45567</v>
      </c>
      <c r="D365" s="1" t="s">
        <v>19</v>
      </c>
      <c r="E365" s="1" t="s">
        <v>78</v>
      </c>
      <c r="F365" s="1">
        <v>3432</v>
      </c>
      <c r="G365" s="1">
        <v>869</v>
      </c>
      <c r="H365" s="1">
        <v>123</v>
      </c>
      <c r="I365" s="1">
        <v>54912</v>
      </c>
      <c r="J365" s="1">
        <v>53916</v>
      </c>
      <c r="K365" s="1">
        <v>264</v>
      </c>
      <c r="L365" s="1" t="s">
        <v>21</v>
      </c>
      <c r="M365" s="1" t="s">
        <v>11</v>
      </c>
      <c r="N365" s="8" t="s">
        <v>31</v>
      </c>
    </row>
    <row r="366" spans="1:14" x14ac:dyDescent="0.3">
      <c r="A366" s="6" t="s">
        <v>175</v>
      </c>
      <c r="B366" s="1" t="s">
        <v>28</v>
      </c>
      <c r="C366" s="7">
        <v>45567</v>
      </c>
      <c r="D366" s="1" t="s">
        <v>19</v>
      </c>
      <c r="E366" s="1" t="s">
        <v>78</v>
      </c>
      <c r="F366" s="1">
        <v>3432</v>
      </c>
      <c r="G366" s="1">
        <v>869</v>
      </c>
      <c r="H366" s="1">
        <v>123</v>
      </c>
      <c r="I366" s="1">
        <v>54912</v>
      </c>
      <c r="J366" s="1">
        <v>53916</v>
      </c>
      <c r="K366" s="1">
        <v>264</v>
      </c>
      <c r="L366" s="1" t="s">
        <v>21</v>
      </c>
      <c r="M366" s="1" t="s">
        <v>357</v>
      </c>
      <c r="N366" s="8" t="s">
        <v>359</v>
      </c>
    </row>
    <row r="367" spans="1:14" x14ac:dyDescent="0.3">
      <c r="A367" s="6" t="s">
        <v>175</v>
      </c>
      <c r="B367" s="1" t="s">
        <v>28</v>
      </c>
      <c r="C367" s="7">
        <v>45567</v>
      </c>
      <c r="D367" s="1" t="s">
        <v>19</v>
      </c>
      <c r="E367" s="1" t="s">
        <v>78</v>
      </c>
      <c r="F367" s="1">
        <v>3432</v>
      </c>
      <c r="G367" s="1">
        <v>869</v>
      </c>
      <c r="H367" s="1">
        <v>123</v>
      </c>
      <c r="I367" s="1">
        <v>54912</v>
      </c>
      <c r="J367" s="1">
        <v>53916</v>
      </c>
      <c r="K367" s="1">
        <v>264</v>
      </c>
      <c r="L367" s="1" t="s">
        <v>21</v>
      </c>
      <c r="M367" s="1" t="s">
        <v>358</v>
      </c>
      <c r="N367" s="8" t="s">
        <v>359</v>
      </c>
    </row>
    <row r="368" spans="1:14" x14ac:dyDescent="0.3">
      <c r="A368" s="6" t="s">
        <v>176</v>
      </c>
      <c r="B368" s="1" t="s">
        <v>28</v>
      </c>
      <c r="C368" s="7">
        <v>45457</v>
      </c>
      <c r="D368" s="1" t="s">
        <v>29</v>
      </c>
      <c r="E368" s="1" t="s">
        <v>30</v>
      </c>
      <c r="F368" s="1">
        <v>4363</v>
      </c>
      <c r="G368" s="1">
        <v>649</v>
      </c>
      <c r="H368" s="1">
        <v>140</v>
      </c>
      <c r="I368" s="1">
        <v>21815</v>
      </c>
      <c r="J368" s="1">
        <v>21481</v>
      </c>
      <c r="K368" s="1">
        <v>157</v>
      </c>
      <c r="L368" s="1" t="s">
        <v>17</v>
      </c>
      <c r="M368" s="1" t="s">
        <v>11</v>
      </c>
      <c r="N368" s="8" t="s">
        <v>31</v>
      </c>
    </row>
    <row r="369" spans="1:14" x14ac:dyDescent="0.3">
      <c r="A369" s="6" t="s">
        <v>176</v>
      </c>
      <c r="B369" s="1" t="s">
        <v>28</v>
      </c>
      <c r="C369" s="7">
        <v>45457</v>
      </c>
      <c r="D369" s="1" t="s">
        <v>29</v>
      </c>
      <c r="E369" s="1" t="s">
        <v>30</v>
      </c>
      <c r="F369" s="1">
        <v>4363</v>
      </c>
      <c r="G369" s="1">
        <v>649</v>
      </c>
      <c r="H369" s="1">
        <v>140</v>
      </c>
      <c r="I369" s="1">
        <v>21815</v>
      </c>
      <c r="J369" s="1">
        <v>21481</v>
      </c>
      <c r="K369" s="1">
        <v>157</v>
      </c>
      <c r="L369" s="1" t="s">
        <v>17</v>
      </c>
      <c r="M369" s="1" t="s">
        <v>357</v>
      </c>
      <c r="N369" s="8" t="s">
        <v>359</v>
      </c>
    </row>
    <row r="370" spans="1:14" x14ac:dyDescent="0.3">
      <c r="A370" s="6" t="s">
        <v>176</v>
      </c>
      <c r="B370" s="1" t="s">
        <v>28</v>
      </c>
      <c r="C370" s="7">
        <v>45457</v>
      </c>
      <c r="D370" s="1" t="s">
        <v>29</v>
      </c>
      <c r="E370" s="1" t="s">
        <v>30</v>
      </c>
      <c r="F370" s="1">
        <v>4363</v>
      </c>
      <c r="G370" s="1">
        <v>649</v>
      </c>
      <c r="H370" s="1">
        <v>140</v>
      </c>
      <c r="I370" s="1">
        <v>21815</v>
      </c>
      <c r="J370" s="1">
        <v>21481</v>
      </c>
      <c r="K370" s="1">
        <v>157</v>
      </c>
      <c r="L370" s="1" t="s">
        <v>17</v>
      </c>
      <c r="M370" s="1" t="s">
        <v>358</v>
      </c>
      <c r="N370" s="8" t="s">
        <v>359</v>
      </c>
    </row>
    <row r="371" spans="1:14" x14ac:dyDescent="0.3">
      <c r="A371" s="6" t="s">
        <v>177</v>
      </c>
      <c r="B371" s="1" t="s">
        <v>23</v>
      </c>
      <c r="C371" s="7">
        <v>45753</v>
      </c>
      <c r="D371" s="1" t="s">
        <v>36</v>
      </c>
      <c r="E371" s="1" t="s">
        <v>52</v>
      </c>
      <c r="F371" s="1">
        <v>736</v>
      </c>
      <c r="G371" s="1">
        <v>771</v>
      </c>
      <c r="H371" s="1">
        <v>225</v>
      </c>
      <c r="I371" s="1">
        <v>5152</v>
      </c>
      <c r="J371" s="1">
        <v>4706</v>
      </c>
      <c r="K371" s="1">
        <v>19</v>
      </c>
      <c r="L371" s="1" t="s">
        <v>17</v>
      </c>
      <c r="M371" s="1" t="s">
        <v>11</v>
      </c>
      <c r="N371" s="8" t="s">
        <v>31</v>
      </c>
    </row>
    <row r="372" spans="1:14" x14ac:dyDescent="0.3">
      <c r="A372" s="6" t="s">
        <v>177</v>
      </c>
      <c r="B372" s="1" t="s">
        <v>23</v>
      </c>
      <c r="C372" s="7">
        <v>45753</v>
      </c>
      <c r="D372" s="1" t="s">
        <v>36</v>
      </c>
      <c r="E372" s="1" t="s">
        <v>52</v>
      </c>
      <c r="F372" s="1">
        <v>736</v>
      </c>
      <c r="G372" s="1">
        <v>771</v>
      </c>
      <c r="H372" s="1">
        <v>225</v>
      </c>
      <c r="I372" s="1">
        <v>5152</v>
      </c>
      <c r="J372" s="1">
        <v>4706</v>
      </c>
      <c r="K372" s="1">
        <v>19</v>
      </c>
      <c r="L372" s="1" t="s">
        <v>17</v>
      </c>
      <c r="M372" s="1" t="s">
        <v>357</v>
      </c>
      <c r="N372" s="8" t="s">
        <v>359</v>
      </c>
    </row>
    <row r="373" spans="1:14" x14ac:dyDescent="0.3">
      <c r="A373" s="6" t="s">
        <v>177</v>
      </c>
      <c r="B373" s="1" t="s">
        <v>23</v>
      </c>
      <c r="C373" s="7">
        <v>45753</v>
      </c>
      <c r="D373" s="1" t="s">
        <v>36</v>
      </c>
      <c r="E373" s="1" t="s">
        <v>52</v>
      </c>
      <c r="F373" s="1">
        <v>736</v>
      </c>
      <c r="G373" s="1">
        <v>771</v>
      </c>
      <c r="H373" s="1">
        <v>225</v>
      </c>
      <c r="I373" s="1">
        <v>5152</v>
      </c>
      <c r="J373" s="1">
        <v>4706</v>
      </c>
      <c r="K373" s="1">
        <v>19</v>
      </c>
      <c r="L373" s="1" t="s">
        <v>17</v>
      </c>
      <c r="M373" s="1" t="s">
        <v>358</v>
      </c>
      <c r="N373" s="8" t="s">
        <v>359</v>
      </c>
    </row>
    <row r="374" spans="1:14" x14ac:dyDescent="0.3">
      <c r="A374" s="6" t="s">
        <v>178</v>
      </c>
      <c r="B374" s="1" t="s">
        <v>14</v>
      </c>
      <c r="C374" s="7">
        <v>45543</v>
      </c>
      <c r="D374" s="1" t="s">
        <v>36</v>
      </c>
      <c r="E374" s="1" t="s">
        <v>39</v>
      </c>
      <c r="F374" s="1">
        <v>3811</v>
      </c>
      <c r="G374" s="1">
        <v>866</v>
      </c>
      <c r="H374" s="1">
        <v>216</v>
      </c>
      <c r="I374" s="1">
        <v>34299</v>
      </c>
      <c r="J374" s="1">
        <v>34088</v>
      </c>
      <c r="K374" s="1">
        <v>233</v>
      </c>
      <c r="L374" s="1" t="s">
        <v>32</v>
      </c>
      <c r="M374" s="1" t="s">
        <v>11</v>
      </c>
      <c r="N374" s="8" t="s">
        <v>25</v>
      </c>
    </row>
    <row r="375" spans="1:14" x14ac:dyDescent="0.3">
      <c r="A375" s="6" t="s">
        <v>178</v>
      </c>
      <c r="B375" s="1" t="s">
        <v>14</v>
      </c>
      <c r="C375" s="7">
        <v>45543</v>
      </c>
      <c r="D375" s="1" t="s">
        <v>36</v>
      </c>
      <c r="E375" s="1" t="s">
        <v>39</v>
      </c>
      <c r="F375" s="1">
        <v>3811</v>
      </c>
      <c r="G375" s="1">
        <v>866</v>
      </c>
      <c r="H375" s="1">
        <v>216</v>
      </c>
      <c r="I375" s="1">
        <v>34299</v>
      </c>
      <c r="J375" s="1">
        <v>34088</v>
      </c>
      <c r="K375" s="1">
        <v>233</v>
      </c>
      <c r="L375" s="1" t="s">
        <v>32</v>
      </c>
      <c r="M375" s="1" t="s">
        <v>357</v>
      </c>
      <c r="N375" s="8" t="s">
        <v>359</v>
      </c>
    </row>
    <row r="376" spans="1:14" x14ac:dyDescent="0.3">
      <c r="A376" s="6" t="s">
        <v>178</v>
      </c>
      <c r="B376" s="1" t="s">
        <v>14</v>
      </c>
      <c r="C376" s="7">
        <v>45543</v>
      </c>
      <c r="D376" s="1" t="s">
        <v>36</v>
      </c>
      <c r="E376" s="1" t="s">
        <v>39</v>
      </c>
      <c r="F376" s="1">
        <v>3811</v>
      </c>
      <c r="G376" s="1">
        <v>866</v>
      </c>
      <c r="H376" s="1">
        <v>216</v>
      </c>
      <c r="I376" s="1">
        <v>34299</v>
      </c>
      <c r="J376" s="1">
        <v>34088</v>
      </c>
      <c r="K376" s="1">
        <v>233</v>
      </c>
      <c r="L376" s="1" t="s">
        <v>32</v>
      </c>
      <c r="M376" s="1" t="s">
        <v>358</v>
      </c>
      <c r="N376" s="8" t="s">
        <v>359</v>
      </c>
    </row>
    <row r="377" spans="1:14" x14ac:dyDescent="0.3">
      <c r="A377" s="6" t="s">
        <v>179</v>
      </c>
      <c r="B377" s="1" t="s">
        <v>28</v>
      </c>
      <c r="C377" s="7">
        <v>45744</v>
      </c>
      <c r="D377" s="1" t="s">
        <v>36</v>
      </c>
      <c r="E377" s="1" t="s">
        <v>65</v>
      </c>
      <c r="F377" s="1">
        <v>4158</v>
      </c>
      <c r="G377" s="1">
        <v>167</v>
      </c>
      <c r="H377" s="1">
        <v>241</v>
      </c>
      <c r="I377" s="1">
        <v>45738</v>
      </c>
      <c r="J377" s="1">
        <v>45183</v>
      </c>
      <c r="K377" s="1">
        <v>142</v>
      </c>
      <c r="L377" s="1" t="s">
        <v>360</v>
      </c>
      <c r="M377" s="1" t="s">
        <v>11</v>
      </c>
      <c r="N377" s="8" t="s">
        <v>48</v>
      </c>
    </row>
    <row r="378" spans="1:14" x14ac:dyDescent="0.3">
      <c r="A378" s="6" t="s">
        <v>179</v>
      </c>
      <c r="B378" s="1" t="s">
        <v>28</v>
      </c>
      <c r="C378" s="7">
        <v>45744</v>
      </c>
      <c r="D378" s="1" t="s">
        <v>36</v>
      </c>
      <c r="E378" s="1" t="s">
        <v>65</v>
      </c>
      <c r="F378" s="1">
        <v>4158</v>
      </c>
      <c r="G378" s="1">
        <v>167</v>
      </c>
      <c r="H378" s="1">
        <v>241</v>
      </c>
      <c r="I378" s="1">
        <v>45738</v>
      </c>
      <c r="J378" s="1">
        <v>45183</v>
      </c>
      <c r="K378" s="1">
        <v>142</v>
      </c>
      <c r="L378" s="1" t="s">
        <v>360</v>
      </c>
      <c r="M378" s="1" t="s">
        <v>357</v>
      </c>
      <c r="N378" s="8" t="s">
        <v>359</v>
      </c>
    </row>
    <row r="379" spans="1:14" x14ac:dyDescent="0.3">
      <c r="A379" s="6" t="s">
        <v>179</v>
      </c>
      <c r="B379" s="1" t="s">
        <v>28</v>
      </c>
      <c r="C379" s="7">
        <v>45744</v>
      </c>
      <c r="D379" s="1" t="s">
        <v>36</v>
      </c>
      <c r="E379" s="1" t="s">
        <v>65</v>
      </c>
      <c r="F379" s="1">
        <v>4158</v>
      </c>
      <c r="G379" s="1">
        <v>167</v>
      </c>
      <c r="H379" s="1">
        <v>241</v>
      </c>
      <c r="I379" s="1">
        <v>45738</v>
      </c>
      <c r="J379" s="1">
        <v>45183</v>
      </c>
      <c r="K379" s="1">
        <v>142</v>
      </c>
      <c r="L379" s="1" t="s">
        <v>360</v>
      </c>
      <c r="M379" s="1" t="s">
        <v>358</v>
      </c>
      <c r="N379" s="8" t="s">
        <v>359</v>
      </c>
    </row>
    <row r="380" spans="1:14" x14ac:dyDescent="0.3">
      <c r="A380" s="6" t="s">
        <v>180</v>
      </c>
      <c r="B380" s="1" t="s">
        <v>35</v>
      </c>
      <c r="C380" s="7">
        <v>45684</v>
      </c>
      <c r="D380" s="1" t="s">
        <v>15</v>
      </c>
      <c r="E380" s="1" t="s">
        <v>50</v>
      </c>
      <c r="F380" s="1">
        <v>3452</v>
      </c>
      <c r="G380" s="1">
        <v>652</v>
      </c>
      <c r="H380" s="1">
        <v>442</v>
      </c>
      <c r="I380" s="1">
        <v>65588</v>
      </c>
      <c r="J380" s="1">
        <v>65049</v>
      </c>
      <c r="K380" s="1">
        <v>158</v>
      </c>
      <c r="L380" s="1" t="s">
        <v>26</v>
      </c>
      <c r="M380" s="1" t="s">
        <v>11</v>
      </c>
      <c r="N380" s="8" t="s">
        <v>48</v>
      </c>
    </row>
    <row r="381" spans="1:14" x14ac:dyDescent="0.3">
      <c r="A381" s="6" t="s">
        <v>180</v>
      </c>
      <c r="B381" s="1" t="s">
        <v>35</v>
      </c>
      <c r="C381" s="7">
        <v>45684</v>
      </c>
      <c r="D381" s="1" t="s">
        <v>15</v>
      </c>
      <c r="E381" s="1" t="s">
        <v>50</v>
      </c>
      <c r="F381" s="1">
        <v>3452</v>
      </c>
      <c r="G381" s="1">
        <v>652</v>
      </c>
      <c r="H381" s="1">
        <v>442</v>
      </c>
      <c r="I381" s="1">
        <v>65588</v>
      </c>
      <c r="J381" s="1">
        <v>65049</v>
      </c>
      <c r="K381" s="1">
        <v>158</v>
      </c>
      <c r="L381" s="1" t="s">
        <v>26</v>
      </c>
      <c r="M381" s="1" t="s">
        <v>357</v>
      </c>
      <c r="N381" s="8" t="s">
        <v>359</v>
      </c>
    </row>
    <row r="382" spans="1:14" x14ac:dyDescent="0.3">
      <c r="A382" s="6" t="s">
        <v>180</v>
      </c>
      <c r="B382" s="1" t="s">
        <v>35</v>
      </c>
      <c r="C382" s="7">
        <v>45684</v>
      </c>
      <c r="D382" s="1" t="s">
        <v>15</v>
      </c>
      <c r="E382" s="1" t="s">
        <v>50</v>
      </c>
      <c r="F382" s="1">
        <v>3452</v>
      </c>
      <c r="G382" s="1">
        <v>652</v>
      </c>
      <c r="H382" s="1">
        <v>442</v>
      </c>
      <c r="I382" s="1">
        <v>65588</v>
      </c>
      <c r="J382" s="1">
        <v>65049</v>
      </c>
      <c r="K382" s="1">
        <v>158</v>
      </c>
      <c r="L382" s="1" t="s">
        <v>26</v>
      </c>
      <c r="M382" s="1" t="s">
        <v>358</v>
      </c>
      <c r="N382" s="8" t="s">
        <v>359</v>
      </c>
    </row>
    <row r="383" spans="1:14" x14ac:dyDescent="0.3">
      <c r="A383" s="6" t="s">
        <v>181</v>
      </c>
      <c r="B383" s="1" t="s">
        <v>14</v>
      </c>
      <c r="C383" s="7">
        <v>45667</v>
      </c>
      <c r="D383" s="1" t="s">
        <v>41</v>
      </c>
      <c r="E383" s="1" t="s">
        <v>88</v>
      </c>
      <c r="F383" s="1">
        <v>3092</v>
      </c>
      <c r="G383" s="1">
        <v>106</v>
      </c>
      <c r="H383" s="1">
        <v>291</v>
      </c>
      <c r="I383" s="1">
        <v>27828</v>
      </c>
      <c r="J383" s="1">
        <v>27217</v>
      </c>
      <c r="K383" s="1">
        <v>102</v>
      </c>
      <c r="L383" s="1" t="s">
        <v>360</v>
      </c>
      <c r="M383" s="1" t="s">
        <v>11</v>
      </c>
      <c r="N383" s="8" t="s">
        <v>48</v>
      </c>
    </row>
    <row r="384" spans="1:14" x14ac:dyDescent="0.3">
      <c r="A384" s="6" t="s">
        <v>181</v>
      </c>
      <c r="B384" s="1" t="s">
        <v>14</v>
      </c>
      <c r="C384" s="7">
        <v>45667</v>
      </c>
      <c r="D384" s="1" t="s">
        <v>41</v>
      </c>
      <c r="E384" s="1" t="s">
        <v>88</v>
      </c>
      <c r="F384" s="1">
        <v>3092</v>
      </c>
      <c r="G384" s="1">
        <v>106</v>
      </c>
      <c r="H384" s="1">
        <v>291</v>
      </c>
      <c r="I384" s="1">
        <v>27828</v>
      </c>
      <c r="J384" s="1">
        <v>27217</v>
      </c>
      <c r="K384" s="1">
        <v>102</v>
      </c>
      <c r="L384" s="1" t="s">
        <v>360</v>
      </c>
      <c r="M384" s="1" t="s">
        <v>357</v>
      </c>
      <c r="N384" s="8" t="s">
        <v>359</v>
      </c>
    </row>
    <row r="385" spans="1:14" x14ac:dyDescent="0.3">
      <c r="A385" s="6" t="s">
        <v>181</v>
      </c>
      <c r="B385" s="1" t="s">
        <v>14</v>
      </c>
      <c r="C385" s="7">
        <v>45667</v>
      </c>
      <c r="D385" s="1" t="s">
        <v>41</v>
      </c>
      <c r="E385" s="1" t="s">
        <v>88</v>
      </c>
      <c r="F385" s="1">
        <v>3092</v>
      </c>
      <c r="G385" s="1">
        <v>106</v>
      </c>
      <c r="H385" s="1">
        <v>291</v>
      </c>
      <c r="I385" s="1">
        <v>27828</v>
      </c>
      <c r="J385" s="1">
        <v>27217</v>
      </c>
      <c r="K385" s="1">
        <v>102</v>
      </c>
      <c r="L385" s="1" t="s">
        <v>360</v>
      </c>
      <c r="M385" s="1" t="s">
        <v>358</v>
      </c>
      <c r="N385" s="8" t="s">
        <v>359</v>
      </c>
    </row>
    <row r="386" spans="1:14" x14ac:dyDescent="0.3">
      <c r="A386" s="6" t="s">
        <v>182</v>
      </c>
      <c r="B386" s="1" t="s">
        <v>14</v>
      </c>
      <c r="C386" s="7">
        <v>45494</v>
      </c>
      <c r="D386" s="1" t="s">
        <v>19</v>
      </c>
      <c r="E386" s="1" t="s">
        <v>20</v>
      </c>
      <c r="F386" s="1">
        <v>2147</v>
      </c>
      <c r="G386" s="1">
        <v>430</v>
      </c>
      <c r="H386" s="1">
        <v>393</v>
      </c>
      <c r="I386" s="1">
        <v>17176</v>
      </c>
      <c r="J386" s="1">
        <v>16483</v>
      </c>
      <c r="K386" s="1">
        <v>170</v>
      </c>
      <c r="L386" s="1" t="s">
        <v>360</v>
      </c>
      <c r="M386" s="1" t="s">
        <v>11</v>
      </c>
      <c r="N386" s="8" t="s">
        <v>25</v>
      </c>
    </row>
    <row r="387" spans="1:14" x14ac:dyDescent="0.3">
      <c r="A387" s="6" t="s">
        <v>182</v>
      </c>
      <c r="B387" s="1" t="s">
        <v>14</v>
      </c>
      <c r="C387" s="7">
        <v>45494</v>
      </c>
      <c r="D387" s="1" t="s">
        <v>19</v>
      </c>
      <c r="E387" s="1" t="s">
        <v>20</v>
      </c>
      <c r="F387" s="1">
        <v>2147</v>
      </c>
      <c r="G387" s="1">
        <v>430</v>
      </c>
      <c r="H387" s="1">
        <v>393</v>
      </c>
      <c r="I387" s="1">
        <v>17176</v>
      </c>
      <c r="J387" s="1">
        <v>16483</v>
      </c>
      <c r="K387" s="1">
        <v>170</v>
      </c>
      <c r="L387" s="1" t="s">
        <v>360</v>
      </c>
      <c r="M387" s="1" t="s">
        <v>357</v>
      </c>
      <c r="N387" s="8" t="s">
        <v>359</v>
      </c>
    </row>
    <row r="388" spans="1:14" x14ac:dyDescent="0.3">
      <c r="A388" s="6" t="s">
        <v>182</v>
      </c>
      <c r="B388" s="1" t="s">
        <v>14</v>
      </c>
      <c r="C388" s="7">
        <v>45494</v>
      </c>
      <c r="D388" s="1" t="s">
        <v>19</v>
      </c>
      <c r="E388" s="1" t="s">
        <v>20</v>
      </c>
      <c r="F388" s="1">
        <v>2147</v>
      </c>
      <c r="G388" s="1">
        <v>430</v>
      </c>
      <c r="H388" s="1">
        <v>393</v>
      </c>
      <c r="I388" s="1">
        <v>17176</v>
      </c>
      <c r="J388" s="1">
        <v>16483</v>
      </c>
      <c r="K388" s="1">
        <v>170</v>
      </c>
      <c r="L388" s="1" t="s">
        <v>360</v>
      </c>
      <c r="M388" s="1" t="s">
        <v>358</v>
      </c>
      <c r="N388" s="8" t="s">
        <v>359</v>
      </c>
    </row>
    <row r="389" spans="1:14" x14ac:dyDescent="0.3">
      <c r="A389" s="6" t="s">
        <v>183</v>
      </c>
      <c r="B389" s="1" t="s">
        <v>23</v>
      </c>
      <c r="C389" s="7">
        <v>45564</v>
      </c>
      <c r="D389" s="1" t="s">
        <v>15</v>
      </c>
      <c r="E389" s="1" t="s">
        <v>24</v>
      </c>
      <c r="F389" s="1">
        <v>2936</v>
      </c>
      <c r="G389" s="1">
        <v>439</v>
      </c>
      <c r="H389" s="1">
        <v>44</v>
      </c>
      <c r="I389" s="1">
        <v>38168</v>
      </c>
      <c r="J389" s="1">
        <v>37571</v>
      </c>
      <c r="K389" s="1">
        <v>22</v>
      </c>
      <c r="L389" s="1" t="s">
        <v>32</v>
      </c>
      <c r="M389" s="1" t="s">
        <v>11</v>
      </c>
      <c r="N389" s="8" t="s">
        <v>31</v>
      </c>
    </row>
    <row r="390" spans="1:14" x14ac:dyDescent="0.3">
      <c r="A390" s="6" t="s">
        <v>183</v>
      </c>
      <c r="B390" s="1" t="s">
        <v>23</v>
      </c>
      <c r="C390" s="7">
        <v>45564</v>
      </c>
      <c r="D390" s="1" t="s">
        <v>15</v>
      </c>
      <c r="E390" s="1" t="s">
        <v>24</v>
      </c>
      <c r="F390" s="1">
        <v>2936</v>
      </c>
      <c r="G390" s="1">
        <v>439</v>
      </c>
      <c r="H390" s="1">
        <v>44</v>
      </c>
      <c r="I390" s="1">
        <v>38168</v>
      </c>
      <c r="J390" s="1">
        <v>37571</v>
      </c>
      <c r="K390" s="1">
        <v>22</v>
      </c>
      <c r="L390" s="1" t="s">
        <v>32</v>
      </c>
      <c r="M390" s="1" t="s">
        <v>357</v>
      </c>
      <c r="N390" s="8" t="s">
        <v>359</v>
      </c>
    </row>
    <row r="391" spans="1:14" x14ac:dyDescent="0.3">
      <c r="A391" s="6" t="s">
        <v>183</v>
      </c>
      <c r="B391" s="1" t="s">
        <v>23</v>
      </c>
      <c r="C391" s="7">
        <v>45564</v>
      </c>
      <c r="D391" s="1" t="s">
        <v>15</v>
      </c>
      <c r="E391" s="1" t="s">
        <v>24</v>
      </c>
      <c r="F391" s="1">
        <v>2936</v>
      </c>
      <c r="G391" s="1">
        <v>439</v>
      </c>
      <c r="H391" s="1">
        <v>44</v>
      </c>
      <c r="I391" s="1">
        <v>38168</v>
      </c>
      <c r="J391" s="1">
        <v>37571</v>
      </c>
      <c r="K391" s="1">
        <v>22</v>
      </c>
      <c r="L391" s="1" t="s">
        <v>32</v>
      </c>
      <c r="M391" s="1" t="s">
        <v>358</v>
      </c>
      <c r="N391" s="8" t="s">
        <v>359</v>
      </c>
    </row>
    <row r="392" spans="1:14" x14ac:dyDescent="0.3">
      <c r="A392" s="6" t="s">
        <v>184</v>
      </c>
      <c r="B392" s="1" t="s">
        <v>28</v>
      </c>
      <c r="C392" s="7">
        <v>45586</v>
      </c>
      <c r="D392" s="1" t="s">
        <v>15</v>
      </c>
      <c r="E392" s="1" t="s">
        <v>61</v>
      </c>
      <c r="F392" s="1">
        <v>4840</v>
      </c>
      <c r="G392" s="1">
        <v>658</v>
      </c>
      <c r="H392" s="1">
        <v>211</v>
      </c>
      <c r="I392" s="1">
        <v>43560</v>
      </c>
      <c r="J392" s="1">
        <v>43225</v>
      </c>
      <c r="K392" s="1">
        <v>57</v>
      </c>
      <c r="L392" s="1" t="s">
        <v>26</v>
      </c>
      <c r="M392" s="1" t="s">
        <v>11</v>
      </c>
      <c r="N392" s="8" t="s">
        <v>48</v>
      </c>
    </row>
    <row r="393" spans="1:14" x14ac:dyDescent="0.3">
      <c r="A393" s="6" t="s">
        <v>184</v>
      </c>
      <c r="B393" s="1" t="s">
        <v>28</v>
      </c>
      <c r="C393" s="7">
        <v>45586</v>
      </c>
      <c r="D393" s="1" t="s">
        <v>15</v>
      </c>
      <c r="E393" s="1" t="s">
        <v>61</v>
      </c>
      <c r="F393" s="1">
        <v>4840</v>
      </c>
      <c r="G393" s="1">
        <v>658</v>
      </c>
      <c r="H393" s="1">
        <v>211</v>
      </c>
      <c r="I393" s="1">
        <v>43560</v>
      </c>
      <c r="J393" s="1">
        <v>43225</v>
      </c>
      <c r="K393" s="1">
        <v>57</v>
      </c>
      <c r="L393" s="1" t="s">
        <v>26</v>
      </c>
      <c r="M393" s="1" t="s">
        <v>357</v>
      </c>
      <c r="N393" s="8" t="s">
        <v>359</v>
      </c>
    </row>
    <row r="394" spans="1:14" x14ac:dyDescent="0.3">
      <c r="A394" s="6" t="s">
        <v>184</v>
      </c>
      <c r="B394" s="1" t="s">
        <v>28</v>
      </c>
      <c r="C394" s="7">
        <v>45586</v>
      </c>
      <c r="D394" s="1" t="s">
        <v>15</v>
      </c>
      <c r="E394" s="1" t="s">
        <v>61</v>
      </c>
      <c r="F394" s="1">
        <v>4840</v>
      </c>
      <c r="G394" s="1">
        <v>658</v>
      </c>
      <c r="H394" s="1">
        <v>211</v>
      </c>
      <c r="I394" s="1">
        <v>43560</v>
      </c>
      <c r="J394" s="1">
        <v>43225</v>
      </c>
      <c r="K394" s="1">
        <v>57</v>
      </c>
      <c r="L394" s="1" t="s">
        <v>26</v>
      </c>
      <c r="M394" s="1" t="s">
        <v>358</v>
      </c>
      <c r="N394" s="8" t="s">
        <v>359</v>
      </c>
    </row>
    <row r="395" spans="1:14" x14ac:dyDescent="0.3">
      <c r="A395" s="6" t="s">
        <v>185</v>
      </c>
      <c r="B395" s="1" t="s">
        <v>28</v>
      </c>
      <c r="C395" s="7">
        <v>45720</v>
      </c>
      <c r="D395" s="1" t="s">
        <v>29</v>
      </c>
      <c r="E395" s="1" t="s">
        <v>30</v>
      </c>
      <c r="F395" s="1">
        <v>1947</v>
      </c>
      <c r="G395" s="1">
        <v>842</v>
      </c>
      <c r="H395" s="1">
        <v>101</v>
      </c>
      <c r="I395" s="1">
        <v>21417</v>
      </c>
      <c r="J395" s="1">
        <v>20967</v>
      </c>
      <c r="K395" s="1">
        <v>186</v>
      </c>
      <c r="L395" s="1" t="s">
        <v>21</v>
      </c>
      <c r="M395" s="1" t="s">
        <v>11</v>
      </c>
      <c r="N395" s="8" t="s">
        <v>48</v>
      </c>
    </row>
    <row r="396" spans="1:14" x14ac:dyDescent="0.3">
      <c r="A396" s="6" t="s">
        <v>185</v>
      </c>
      <c r="B396" s="1" t="s">
        <v>28</v>
      </c>
      <c r="C396" s="7">
        <v>45720</v>
      </c>
      <c r="D396" s="1" t="s">
        <v>29</v>
      </c>
      <c r="E396" s="1" t="s">
        <v>30</v>
      </c>
      <c r="F396" s="1">
        <v>1947</v>
      </c>
      <c r="G396" s="1">
        <v>842</v>
      </c>
      <c r="H396" s="1">
        <v>101</v>
      </c>
      <c r="I396" s="1">
        <v>21417</v>
      </c>
      <c r="J396" s="1">
        <v>20967</v>
      </c>
      <c r="K396" s="1">
        <v>186</v>
      </c>
      <c r="L396" s="1" t="s">
        <v>21</v>
      </c>
      <c r="M396" s="1" t="s">
        <v>357</v>
      </c>
      <c r="N396" s="8" t="s">
        <v>359</v>
      </c>
    </row>
    <row r="397" spans="1:14" x14ac:dyDescent="0.3">
      <c r="A397" s="6" t="s">
        <v>185</v>
      </c>
      <c r="B397" s="1" t="s">
        <v>28</v>
      </c>
      <c r="C397" s="7">
        <v>45720</v>
      </c>
      <c r="D397" s="1" t="s">
        <v>29</v>
      </c>
      <c r="E397" s="1" t="s">
        <v>30</v>
      </c>
      <c r="F397" s="1">
        <v>1947</v>
      </c>
      <c r="G397" s="1">
        <v>842</v>
      </c>
      <c r="H397" s="1">
        <v>101</v>
      </c>
      <c r="I397" s="1">
        <v>21417</v>
      </c>
      <c r="J397" s="1">
        <v>20967</v>
      </c>
      <c r="K397" s="1">
        <v>186</v>
      </c>
      <c r="L397" s="1" t="s">
        <v>21</v>
      </c>
      <c r="M397" s="1" t="s">
        <v>358</v>
      </c>
      <c r="N397" s="8" t="s">
        <v>359</v>
      </c>
    </row>
    <row r="398" spans="1:14" x14ac:dyDescent="0.3">
      <c r="A398" s="6" t="s">
        <v>186</v>
      </c>
      <c r="B398" s="1" t="s">
        <v>35</v>
      </c>
      <c r="C398" s="7">
        <v>45694</v>
      </c>
      <c r="D398" s="1" t="s">
        <v>41</v>
      </c>
      <c r="E398" s="1" t="s">
        <v>46</v>
      </c>
      <c r="F398" s="1">
        <v>2072</v>
      </c>
      <c r="G398" s="1">
        <v>532</v>
      </c>
      <c r="H398" s="1">
        <v>71</v>
      </c>
      <c r="I398" s="1">
        <v>37296</v>
      </c>
      <c r="J398" s="1">
        <v>36467</v>
      </c>
      <c r="K398" s="1">
        <v>25</v>
      </c>
      <c r="L398" s="1" t="s">
        <v>32</v>
      </c>
      <c r="M398" s="1" t="s">
        <v>11</v>
      </c>
      <c r="N398" s="8" t="s">
        <v>25</v>
      </c>
    </row>
    <row r="399" spans="1:14" x14ac:dyDescent="0.3">
      <c r="A399" s="6" t="s">
        <v>186</v>
      </c>
      <c r="B399" s="1" t="s">
        <v>35</v>
      </c>
      <c r="C399" s="7">
        <v>45694</v>
      </c>
      <c r="D399" s="1" t="s">
        <v>41</v>
      </c>
      <c r="E399" s="1" t="s">
        <v>46</v>
      </c>
      <c r="F399" s="1">
        <v>2072</v>
      </c>
      <c r="G399" s="1">
        <v>532</v>
      </c>
      <c r="H399" s="1">
        <v>71</v>
      </c>
      <c r="I399" s="1">
        <v>37296</v>
      </c>
      <c r="J399" s="1">
        <v>36467</v>
      </c>
      <c r="K399" s="1">
        <v>25</v>
      </c>
      <c r="L399" s="1" t="s">
        <v>32</v>
      </c>
      <c r="M399" s="1" t="s">
        <v>357</v>
      </c>
      <c r="N399" s="8" t="s">
        <v>359</v>
      </c>
    </row>
    <row r="400" spans="1:14" x14ac:dyDescent="0.3">
      <c r="A400" s="6" t="s">
        <v>186</v>
      </c>
      <c r="B400" s="1" t="s">
        <v>35</v>
      </c>
      <c r="C400" s="7">
        <v>45694</v>
      </c>
      <c r="D400" s="1" t="s">
        <v>41</v>
      </c>
      <c r="E400" s="1" t="s">
        <v>46</v>
      </c>
      <c r="F400" s="1">
        <v>2072</v>
      </c>
      <c r="G400" s="1">
        <v>532</v>
      </c>
      <c r="H400" s="1">
        <v>71</v>
      </c>
      <c r="I400" s="1">
        <v>37296</v>
      </c>
      <c r="J400" s="1">
        <v>36467</v>
      </c>
      <c r="K400" s="1">
        <v>25</v>
      </c>
      <c r="L400" s="1" t="s">
        <v>32</v>
      </c>
      <c r="M400" s="1" t="s">
        <v>358</v>
      </c>
      <c r="N400" s="8" t="s">
        <v>359</v>
      </c>
    </row>
    <row r="401" spans="1:14" x14ac:dyDescent="0.3">
      <c r="A401" s="6" t="s">
        <v>187</v>
      </c>
      <c r="B401" s="1" t="s">
        <v>14</v>
      </c>
      <c r="C401" s="7">
        <v>45771</v>
      </c>
      <c r="D401" s="1" t="s">
        <v>15</v>
      </c>
      <c r="E401" s="1" t="s">
        <v>16</v>
      </c>
      <c r="F401" s="1">
        <v>3731</v>
      </c>
      <c r="G401" s="1">
        <v>115</v>
      </c>
      <c r="H401" s="1">
        <v>135</v>
      </c>
      <c r="I401" s="1">
        <v>55965</v>
      </c>
      <c r="J401" s="1">
        <v>55436</v>
      </c>
      <c r="K401" s="1">
        <v>103</v>
      </c>
      <c r="L401" s="1" t="s">
        <v>17</v>
      </c>
      <c r="M401" s="1" t="s">
        <v>11</v>
      </c>
      <c r="N401" s="8" t="s">
        <v>25</v>
      </c>
    </row>
    <row r="402" spans="1:14" x14ac:dyDescent="0.3">
      <c r="A402" s="6" t="s">
        <v>187</v>
      </c>
      <c r="B402" s="1" t="s">
        <v>14</v>
      </c>
      <c r="C402" s="7">
        <v>45771</v>
      </c>
      <c r="D402" s="1" t="s">
        <v>15</v>
      </c>
      <c r="E402" s="1" t="s">
        <v>16</v>
      </c>
      <c r="F402" s="1">
        <v>3731</v>
      </c>
      <c r="G402" s="1">
        <v>115</v>
      </c>
      <c r="H402" s="1">
        <v>135</v>
      </c>
      <c r="I402" s="1">
        <v>55965</v>
      </c>
      <c r="J402" s="1">
        <v>55436</v>
      </c>
      <c r="K402" s="1">
        <v>103</v>
      </c>
      <c r="L402" s="1" t="s">
        <v>17</v>
      </c>
      <c r="M402" s="1" t="s">
        <v>357</v>
      </c>
      <c r="N402" s="8" t="s">
        <v>359</v>
      </c>
    </row>
    <row r="403" spans="1:14" x14ac:dyDescent="0.3">
      <c r="A403" s="6" t="s">
        <v>187</v>
      </c>
      <c r="B403" s="1" t="s">
        <v>14</v>
      </c>
      <c r="C403" s="7">
        <v>45771</v>
      </c>
      <c r="D403" s="1" t="s">
        <v>15</v>
      </c>
      <c r="E403" s="1" t="s">
        <v>16</v>
      </c>
      <c r="F403" s="1">
        <v>3731</v>
      </c>
      <c r="G403" s="1">
        <v>115</v>
      </c>
      <c r="H403" s="1">
        <v>135</v>
      </c>
      <c r="I403" s="1">
        <v>55965</v>
      </c>
      <c r="J403" s="1">
        <v>55436</v>
      </c>
      <c r="K403" s="1">
        <v>103</v>
      </c>
      <c r="L403" s="1" t="s">
        <v>17</v>
      </c>
      <c r="M403" s="1" t="s">
        <v>358</v>
      </c>
      <c r="N403" s="8" t="s">
        <v>359</v>
      </c>
    </row>
    <row r="404" spans="1:14" x14ac:dyDescent="0.3">
      <c r="A404" s="6" t="s">
        <v>188</v>
      </c>
      <c r="B404" s="1" t="s">
        <v>35</v>
      </c>
      <c r="C404" s="7">
        <v>45624</v>
      </c>
      <c r="D404" s="1" t="s">
        <v>19</v>
      </c>
      <c r="E404" s="1" t="s">
        <v>44</v>
      </c>
      <c r="F404" s="1">
        <v>4213</v>
      </c>
      <c r="G404" s="1">
        <v>253</v>
      </c>
      <c r="H404" s="1">
        <v>434</v>
      </c>
      <c r="I404" s="1">
        <v>75834</v>
      </c>
      <c r="J404" s="1">
        <v>75437</v>
      </c>
      <c r="K404" s="1">
        <v>272</v>
      </c>
      <c r="L404" s="1" t="s">
        <v>32</v>
      </c>
      <c r="M404" s="1" t="s">
        <v>11</v>
      </c>
      <c r="N404" s="8" t="s">
        <v>48</v>
      </c>
    </row>
    <row r="405" spans="1:14" x14ac:dyDescent="0.3">
      <c r="A405" s="6" t="s">
        <v>188</v>
      </c>
      <c r="B405" s="1" t="s">
        <v>35</v>
      </c>
      <c r="C405" s="7">
        <v>45624</v>
      </c>
      <c r="D405" s="1" t="s">
        <v>19</v>
      </c>
      <c r="E405" s="1" t="s">
        <v>44</v>
      </c>
      <c r="F405" s="1">
        <v>4213</v>
      </c>
      <c r="G405" s="1">
        <v>253</v>
      </c>
      <c r="H405" s="1">
        <v>434</v>
      </c>
      <c r="I405" s="1">
        <v>75834</v>
      </c>
      <c r="J405" s="1">
        <v>75437</v>
      </c>
      <c r="K405" s="1">
        <v>272</v>
      </c>
      <c r="L405" s="1" t="s">
        <v>32</v>
      </c>
      <c r="M405" s="1" t="s">
        <v>357</v>
      </c>
      <c r="N405" s="8" t="s">
        <v>359</v>
      </c>
    </row>
    <row r="406" spans="1:14" x14ac:dyDescent="0.3">
      <c r="A406" s="6" t="s">
        <v>188</v>
      </c>
      <c r="B406" s="1" t="s">
        <v>35</v>
      </c>
      <c r="C406" s="7">
        <v>45624</v>
      </c>
      <c r="D406" s="1" t="s">
        <v>19</v>
      </c>
      <c r="E406" s="1" t="s">
        <v>44</v>
      </c>
      <c r="F406" s="1">
        <v>4213</v>
      </c>
      <c r="G406" s="1">
        <v>253</v>
      </c>
      <c r="H406" s="1">
        <v>434</v>
      </c>
      <c r="I406" s="1">
        <v>75834</v>
      </c>
      <c r="J406" s="1">
        <v>75437</v>
      </c>
      <c r="K406" s="1">
        <v>272</v>
      </c>
      <c r="L406" s="1" t="s">
        <v>32</v>
      </c>
      <c r="M406" s="1" t="s">
        <v>358</v>
      </c>
      <c r="N406" s="8" t="s">
        <v>359</v>
      </c>
    </row>
    <row r="407" spans="1:14" x14ac:dyDescent="0.3">
      <c r="A407" s="6" t="s">
        <v>189</v>
      </c>
      <c r="B407" s="1" t="s">
        <v>28</v>
      </c>
      <c r="C407" s="7">
        <v>45484</v>
      </c>
      <c r="D407" s="1" t="s">
        <v>19</v>
      </c>
      <c r="E407" s="1" t="s">
        <v>78</v>
      </c>
      <c r="F407" s="1">
        <v>3134</v>
      </c>
      <c r="G407" s="1">
        <v>888</v>
      </c>
      <c r="H407" s="1">
        <v>444</v>
      </c>
      <c r="I407" s="1">
        <v>21938</v>
      </c>
      <c r="J407" s="1">
        <v>21337</v>
      </c>
      <c r="K407" s="1">
        <v>130</v>
      </c>
      <c r="L407" s="1" t="s">
        <v>32</v>
      </c>
      <c r="M407" s="1" t="s">
        <v>11</v>
      </c>
      <c r="N407" s="8" t="s">
        <v>31</v>
      </c>
    </row>
    <row r="408" spans="1:14" x14ac:dyDescent="0.3">
      <c r="A408" s="6" t="s">
        <v>189</v>
      </c>
      <c r="B408" s="1" t="s">
        <v>28</v>
      </c>
      <c r="C408" s="7">
        <v>45484</v>
      </c>
      <c r="D408" s="1" t="s">
        <v>19</v>
      </c>
      <c r="E408" s="1" t="s">
        <v>78</v>
      </c>
      <c r="F408" s="1">
        <v>3134</v>
      </c>
      <c r="G408" s="1">
        <v>888</v>
      </c>
      <c r="H408" s="1">
        <v>444</v>
      </c>
      <c r="I408" s="1">
        <v>21938</v>
      </c>
      <c r="J408" s="1">
        <v>21337</v>
      </c>
      <c r="K408" s="1">
        <v>130</v>
      </c>
      <c r="L408" s="1" t="s">
        <v>32</v>
      </c>
      <c r="M408" s="1" t="s">
        <v>357</v>
      </c>
      <c r="N408" s="8" t="s">
        <v>359</v>
      </c>
    </row>
    <row r="409" spans="1:14" x14ac:dyDescent="0.3">
      <c r="A409" s="6" t="s">
        <v>189</v>
      </c>
      <c r="B409" s="1" t="s">
        <v>28</v>
      </c>
      <c r="C409" s="7">
        <v>45484</v>
      </c>
      <c r="D409" s="1" t="s">
        <v>19</v>
      </c>
      <c r="E409" s="1" t="s">
        <v>78</v>
      </c>
      <c r="F409" s="1">
        <v>3134</v>
      </c>
      <c r="G409" s="1">
        <v>888</v>
      </c>
      <c r="H409" s="1">
        <v>444</v>
      </c>
      <c r="I409" s="1">
        <v>21938</v>
      </c>
      <c r="J409" s="1">
        <v>21337</v>
      </c>
      <c r="K409" s="1">
        <v>130</v>
      </c>
      <c r="L409" s="1" t="s">
        <v>32</v>
      </c>
      <c r="M409" s="1" t="s">
        <v>358</v>
      </c>
      <c r="N409" s="8" t="s">
        <v>359</v>
      </c>
    </row>
    <row r="410" spans="1:14" x14ac:dyDescent="0.3">
      <c r="A410" s="6" t="s">
        <v>190</v>
      </c>
      <c r="B410" s="1" t="s">
        <v>35</v>
      </c>
      <c r="C410" s="7">
        <v>45504</v>
      </c>
      <c r="D410" s="1" t="s">
        <v>56</v>
      </c>
      <c r="E410" s="1" t="s">
        <v>57</v>
      </c>
      <c r="F410" s="1">
        <v>3008</v>
      </c>
      <c r="G410" s="1">
        <v>94</v>
      </c>
      <c r="H410" s="1">
        <v>37</v>
      </c>
      <c r="I410" s="1">
        <v>15040</v>
      </c>
      <c r="J410" s="1">
        <v>14639</v>
      </c>
      <c r="K410" s="1">
        <v>277</v>
      </c>
      <c r="L410" s="1" t="s">
        <v>360</v>
      </c>
      <c r="M410" s="1" t="s">
        <v>11</v>
      </c>
      <c r="N410" s="8" t="s">
        <v>48</v>
      </c>
    </row>
    <row r="411" spans="1:14" x14ac:dyDescent="0.3">
      <c r="A411" s="6" t="s">
        <v>190</v>
      </c>
      <c r="B411" s="1" t="s">
        <v>35</v>
      </c>
      <c r="C411" s="7">
        <v>45504</v>
      </c>
      <c r="D411" s="1" t="s">
        <v>56</v>
      </c>
      <c r="E411" s="1" t="s">
        <v>57</v>
      </c>
      <c r="F411" s="1">
        <v>3008</v>
      </c>
      <c r="G411" s="1">
        <v>94</v>
      </c>
      <c r="H411" s="1">
        <v>37</v>
      </c>
      <c r="I411" s="1">
        <v>15040</v>
      </c>
      <c r="J411" s="1">
        <v>14639</v>
      </c>
      <c r="K411" s="1">
        <v>277</v>
      </c>
      <c r="L411" s="1" t="s">
        <v>360</v>
      </c>
      <c r="M411" s="1" t="s">
        <v>357</v>
      </c>
      <c r="N411" s="8" t="s">
        <v>359</v>
      </c>
    </row>
    <row r="412" spans="1:14" x14ac:dyDescent="0.3">
      <c r="A412" s="6" t="s">
        <v>190</v>
      </c>
      <c r="B412" s="1" t="s">
        <v>35</v>
      </c>
      <c r="C412" s="7">
        <v>45504</v>
      </c>
      <c r="D412" s="1" t="s">
        <v>56</v>
      </c>
      <c r="E412" s="1" t="s">
        <v>57</v>
      </c>
      <c r="F412" s="1">
        <v>3008</v>
      </c>
      <c r="G412" s="1">
        <v>94</v>
      </c>
      <c r="H412" s="1">
        <v>37</v>
      </c>
      <c r="I412" s="1">
        <v>15040</v>
      </c>
      <c r="J412" s="1">
        <v>14639</v>
      </c>
      <c r="K412" s="1">
        <v>277</v>
      </c>
      <c r="L412" s="1" t="s">
        <v>360</v>
      </c>
      <c r="M412" s="1" t="s">
        <v>358</v>
      </c>
      <c r="N412" s="8" t="s">
        <v>359</v>
      </c>
    </row>
    <row r="413" spans="1:14" x14ac:dyDescent="0.3">
      <c r="A413" s="6" t="s">
        <v>191</v>
      </c>
      <c r="B413" s="1" t="s">
        <v>14</v>
      </c>
      <c r="C413" s="7">
        <v>45745</v>
      </c>
      <c r="D413" s="1" t="s">
        <v>41</v>
      </c>
      <c r="E413" s="1" t="s">
        <v>88</v>
      </c>
      <c r="F413" s="1">
        <v>305</v>
      </c>
      <c r="G413" s="1">
        <v>187</v>
      </c>
      <c r="H413" s="1">
        <v>243</v>
      </c>
      <c r="I413" s="1">
        <v>4575</v>
      </c>
      <c r="J413" s="1">
        <v>3704</v>
      </c>
      <c r="K413" s="1">
        <v>234</v>
      </c>
      <c r="L413" s="1" t="s">
        <v>26</v>
      </c>
      <c r="M413" s="1" t="s">
        <v>11</v>
      </c>
      <c r="N413" s="8" t="s">
        <v>48</v>
      </c>
    </row>
    <row r="414" spans="1:14" x14ac:dyDescent="0.3">
      <c r="A414" s="6" t="s">
        <v>191</v>
      </c>
      <c r="B414" s="1" t="s">
        <v>14</v>
      </c>
      <c r="C414" s="7">
        <v>45745</v>
      </c>
      <c r="D414" s="1" t="s">
        <v>41</v>
      </c>
      <c r="E414" s="1" t="s">
        <v>88</v>
      </c>
      <c r="F414" s="1">
        <v>305</v>
      </c>
      <c r="G414" s="1">
        <v>187</v>
      </c>
      <c r="H414" s="1">
        <v>243</v>
      </c>
      <c r="I414" s="1">
        <v>4575</v>
      </c>
      <c r="J414" s="1">
        <v>3704</v>
      </c>
      <c r="K414" s="1">
        <v>234</v>
      </c>
      <c r="L414" s="1" t="s">
        <v>26</v>
      </c>
      <c r="M414" s="1" t="s">
        <v>357</v>
      </c>
      <c r="N414" s="8" t="s">
        <v>359</v>
      </c>
    </row>
    <row r="415" spans="1:14" x14ac:dyDescent="0.3">
      <c r="A415" s="6" t="s">
        <v>191</v>
      </c>
      <c r="B415" s="1" t="s">
        <v>14</v>
      </c>
      <c r="C415" s="7">
        <v>45745</v>
      </c>
      <c r="D415" s="1" t="s">
        <v>41</v>
      </c>
      <c r="E415" s="1" t="s">
        <v>88</v>
      </c>
      <c r="F415" s="1">
        <v>305</v>
      </c>
      <c r="G415" s="1">
        <v>187</v>
      </c>
      <c r="H415" s="1">
        <v>243</v>
      </c>
      <c r="I415" s="1">
        <v>4575</v>
      </c>
      <c r="J415" s="1">
        <v>3704</v>
      </c>
      <c r="K415" s="1">
        <v>234</v>
      </c>
      <c r="L415" s="1" t="s">
        <v>26</v>
      </c>
      <c r="M415" s="1" t="s">
        <v>358</v>
      </c>
      <c r="N415" s="8" t="s">
        <v>359</v>
      </c>
    </row>
    <row r="416" spans="1:14" x14ac:dyDescent="0.3">
      <c r="A416" s="6" t="s">
        <v>192</v>
      </c>
      <c r="B416" s="1" t="s">
        <v>23</v>
      </c>
      <c r="C416" s="7">
        <v>45594</v>
      </c>
      <c r="D416" s="1" t="s">
        <v>19</v>
      </c>
      <c r="E416" s="1" t="s">
        <v>73</v>
      </c>
      <c r="F416" s="1">
        <v>2746</v>
      </c>
      <c r="G416" s="1">
        <v>156</v>
      </c>
      <c r="H416" s="1">
        <v>203</v>
      </c>
      <c r="I416" s="1">
        <v>32952</v>
      </c>
      <c r="J416" s="1">
        <v>32147</v>
      </c>
      <c r="K416" s="1">
        <v>147</v>
      </c>
      <c r="L416" s="1" t="s">
        <v>17</v>
      </c>
      <c r="M416" s="1" t="s">
        <v>11</v>
      </c>
      <c r="N416" s="8" t="s">
        <v>31</v>
      </c>
    </row>
    <row r="417" spans="1:14" x14ac:dyDescent="0.3">
      <c r="A417" s="6" t="s">
        <v>192</v>
      </c>
      <c r="B417" s="1" t="s">
        <v>23</v>
      </c>
      <c r="C417" s="7">
        <v>45594</v>
      </c>
      <c r="D417" s="1" t="s">
        <v>19</v>
      </c>
      <c r="E417" s="1" t="s">
        <v>73</v>
      </c>
      <c r="F417" s="1">
        <v>2746</v>
      </c>
      <c r="G417" s="1">
        <v>156</v>
      </c>
      <c r="H417" s="1">
        <v>203</v>
      </c>
      <c r="I417" s="1">
        <v>32952</v>
      </c>
      <c r="J417" s="1">
        <v>32147</v>
      </c>
      <c r="K417" s="1">
        <v>147</v>
      </c>
      <c r="L417" s="1" t="s">
        <v>17</v>
      </c>
      <c r="M417" s="1" t="s">
        <v>357</v>
      </c>
      <c r="N417" s="8" t="s">
        <v>359</v>
      </c>
    </row>
    <row r="418" spans="1:14" x14ac:dyDescent="0.3">
      <c r="A418" s="6" t="s">
        <v>192</v>
      </c>
      <c r="B418" s="1" t="s">
        <v>23</v>
      </c>
      <c r="C418" s="7">
        <v>45594</v>
      </c>
      <c r="D418" s="1" t="s">
        <v>19</v>
      </c>
      <c r="E418" s="1" t="s">
        <v>73</v>
      </c>
      <c r="F418" s="1">
        <v>2746</v>
      </c>
      <c r="G418" s="1">
        <v>156</v>
      </c>
      <c r="H418" s="1">
        <v>203</v>
      </c>
      <c r="I418" s="1">
        <v>32952</v>
      </c>
      <c r="J418" s="1">
        <v>32147</v>
      </c>
      <c r="K418" s="1">
        <v>147</v>
      </c>
      <c r="L418" s="1" t="s">
        <v>17</v>
      </c>
      <c r="M418" s="1" t="s">
        <v>358</v>
      </c>
      <c r="N418" s="8" t="s">
        <v>359</v>
      </c>
    </row>
    <row r="419" spans="1:14" x14ac:dyDescent="0.3">
      <c r="A419" s="6" t="s">
        <v>193</v>
      </c>
      <c r="B419" s="1" t="s">
        <v>35</v>
      </c>
      <c r="C419" s="7">
        <v>45488</v>
      </c>
      <c r="D419" s="1" t="s">
        <v>41</v>
      </c>
      <c r="E419" s="1" t="s">
        <v>46</v>
      </c>
      <c r="F419" s="1">
        <v>2291</v>
      </c>
      <c r="G419" s="1">
        <v>78</v>
      </c>
      <c r="H419" s="1">
        <v>485</v>
      </c>
      <c r="I419" s="1">
        <v>18328</v>
      </c>
      <c r="J419" s="1">
        <v>18101</v>
      </c>
      <c r="K419" s="1">
        <v>10</v>
      </c>
      <c r="L419" s="1" t="s">
        <v>21</v>
      </c>
      <c r="M419" s="1" t="s">
        <v>11</v>
      </c>
      <c r="N419" s="8" t="s">
        <v>31</v>
      </c>
    </row>
    <row r="420" spans="1:14" x14ac:dyDescent="0.3">
      <c r="A420" s="6" t="s">
        <v>193</v>
      </c>
      <c r="B420" s="1" t="s">
        <v>35</v>
      </c>
      <c r="C420" s="7">
        <v>45488</v>
      </c>
      <c r="D420" s="1" t="s">
        <v>41</v>
      </c>
      <c r="E420" s="1" t="s">
        <v>46</v>
      </c>
      <c r="F420" s="1">
        <v>2291</v>
      </c>
      <c r="G420" s="1">
        <v>78</v>
      </c>
      <c r="H420" s="1">
        <v>485</v>
      </c>
      <c r="I420" s="1">
        <v>18328</v>
      </c>
      <c r="J420" s="1">
        <v>18101</v>
      </c>
      <c r="K420" s="1">
        <v>10</v>
      </c>
      <c r="L420" s="1" t="s">
        <v>21</v>
      </c>
      <c r="M420" s="1" t="s">
        <v>357</v>
      </c>
      <c r="N420" s="8" t="s">
        <v>356</v>
      </c>
    </row>
    <row r="421" spans="1:14" x14ac:dyDescent="0.3">
      <c r="A421" s="6" t="s">
        <v>193</v>
      </c>
      <c r="B421" s="1" t="s">
        <v>35</v>
      </c>
      <c r="C421" s="7">
        <v>45488</v>
      </c>
      <c r="D421" s="1" t="s">
        <v>41</v>
      </c>
      <c r="E421" s="1" t="s">
        <v>46</v>
      </c>
      <c r="F421" s="1">
        <v>2291</v>
      </c>
      <c r="G421" s="1">
        <v>78</v>
      </c>
      <c r="H421" s="1">
        <v>485</v>
      </c>
      <c r="I421" s="1">
        <v>18328</v>
      </c>
      <c r="J421" s="1">
        <v>18101</v>
      </c>
      <c r="K421" s="1">
        <v>10</v>
      </c>
      <c r="L421" s="1" t="s">
        <v>21</v>
      </c>
      <c r="M421" s="1" t="s">
        <v>358</v>
      </c>
      <c r="N421" s="8" t="s">
        <v>359</v>
      </c>
    </row>
    <row r="422" spans="1:14" x14ac:dyDescent="0.3">
      <c r="A422" s="6" t="s">
        <v>194</v>
      </c>
      <c r="B422" s="1" t="s">
        <v>14</v>
      </c>
      <c r="C422" s="7">
        <v>45535</v>
      </c>
      <c r="D422" s="1" t="s">
        <v>41</v>
      </c>
      <c r="E422" s="1" t="s">
        <v>88</v>
      </c>
      <c r="F422" s="1">
        <v>3170</v>
      </c>
      <c r="G422" s="1">
        <v>857</v>
      </c>
      <c r="H422" s="1">
        <v>379</v>
      </c>
      <c r="I422" s="1">
        <v>19020</v>
      </c>
      <c r="J422" s="1">
        <v>18559</v>
      </c>
      <c r="K422" s="1">
        <v>240</v>
      </c>
      <c r="L422" s="1" t="s">
        <v>360</v>
      </c>
      <c r="M422" s="1" t="s">
        <v>11</v>
      </c>
      <c r="N422" s="8" t="s">
        <v>48</v>
      </c>
    </row>
    <row r="423" spans="1:14" x14ac:dyDescent="0.3">
      <c r="A423" s="6" t="s">
        <v>194</v>
      </c>
      <c r="B423" s="1" t="s">
        <v>14</v>
      </c>
      <c r="C423" s="7">
        <v>45535</v>
      </c>
      <c r="D423" s="1" t="s">
        <v>41</v>
      </c>
      <c r="E423" s="1" t="s">
        <v>88</v>
      </c>
      <c r="F423" s="1">
        <v>3170</v>
      </c>
      <c r="G423" s="1">
        <v>857</v>
      </c>
      <c r="H423" s="1">
        <v>379</v>
      </c>
      <c r="I423" s="1">
        <v>19020</v>
      </c>
      <c r="J423" s="1">
        <v>18559</v>
      </c>
      <c r="K423" s="1">
        <v>240</v>
      </c>
      <c r="L423" s="1" t="s">
        <v>360</v>
      </c>
      <c r="M423" s="1" t="s">
        <v>357</v>
      </c>
      <c r="N423" s="8" t="s">
        <v>359</v>
      </c>
    </row>
    <row r="424" spans="1:14" x14ac:dyDescent="0.3">
      <c r="A424" s="6" t="s">
        <v>194</v>
      </c>
      <c r="B424" s="1" t="s">
        <v>14</v>
      </c>
      <c r="C424" s="7">
        <v>45535</v>
      </c>
      <c r="D424" s="1" t="s">
        <v>41</v>
      </c>
      <c r="E424" s="1" t="s">
        <v>88</v>
      </c>
      <c r="F424" s="1">
        <v>3170</v>
      </c>
      <c r="G424" s="1">
        <v>857</v>
      </c>
      <c r="H424" s="1">
        <v>379</v>
      </c>
      <c r="I424" s="1">
        <v>19020</v>
      </c>
      <c r="J424" s="1">
        <v>18559</v>
      </c>
      <c r="K424" s="1">
        <v>240</v>
      </c>
      <c r="L424" s="1" t="s">
        <v>360</v>
      </c>
      <c r="M424" s="1" t="s">
        <v>358</v>
      </c>
      <c r="N424" s="8" t="s">
        <v>359</v>
      </c>
    </row>
    <row r="425" spans="1:14" x14ac:dyDescent="0.3">
      <c r="A425" s="6" t="s">
        <v>195</v>
      </c>
      <c r="B425" s="1" t="s">
        <v>23</v>
      </c>
      <c r="C425" s="7">
        <v>45741</v>
      </c>
      <c r="D425" s="1" t="s">
        <v>29</v>
      </c>
      <c r="E425" s="1" t="s">
        <v>101</v>
      </c>
      <c r="F425" s="1">
        <v>2070</v>
      </c>
      <c r="G425" s="1">
        <v>275</v>
      </c>
      <c r="H425" s="1">
        <v>386</v>
      </c>
      <c r="I425" s="1">
        <v>39330</v>
      </c>
      <c r="J425" s="1">
        <v>38627</v>
      </c>
      <c r="K425" s="1">
        <v>114</v>
      </c>
      <c r="L425" s="1" t="s">
        <v>32</v>
      </c>
      <c r="M425" s="1" t="s">
        <v>11</v>
      </c>
      <c r="N425" s="8" t="s">
        <v>48</v>
      </c>
    </row>
    <row r="426" spans="1:14" x14ac:dyDescent="0.3">
      <c r="A426" s="6" t="s">
        <v>195</v>
      </c>
      <c r="B426" s="1" t="s">
        <v>23</v>
      </c>
      <c r="C426" s="7">
        <v>45741</v>
      </c>
      <c r="D426" s="1" t="s">
        <v>29</v>
      </c>
      <c r="E426" s="1" t="s">
        <v>101</v>
      </c>
      <c r="F426" s="1">
        <v>2070</v>
      </c>
      <c r="G426" s="1">
        <v>275</v>
      </c>
      <c r="H426" s="1">
        <v>386</v>
      </c>
      <c r="I426" s="1">
        <v>39330</v>
      </c>
      <c r="J426" s="1">
        <v>38627</v>
      </c>
      <c r="K426" s="1">
        <v>114</v>
      </c>
      <c r="L426" s="1" t="s">
        <v>32</v>
      </c>
      <c r="M426" s="1" t="s">
        <v>357</v>
      </c>
      <c r="N426" s="8" t="s">
        <v>359</v>
      </c>
    </row>
    <row r="427" spans="1:14" x14ac:dyDescent="0.3">
      <c r="A427" s="6" t="s">
        <v>195</v>
      </c>
      <c r="B427" s="1" t="s">
        <v>23</v>
      </c>
      <c r="C427" s="7">
        <v>45741</v>
      </c>
      <c r="D427" s="1" t="s">
        <v>29</v>
      </c>
      <c r="E427" s="1" t="s">
        <v>101</v>
      </c>
      <c r="F427" s="1">
        <v>2070</v>
      </c>
      <c r="G427" s="1">
        <v>275</v>
      </c>
      <c r="H427" s="1">
        <v>386</v>
      </c>
      <c r="I427" s="1">
        <v>39330</v>
      </c>
      <c r="J427" s="1">
        <v>38627</v>
      </c>
      <c r="K427" s="1">
        <v>114</v>
      </c>
      <c r="L427" s="1" t="s">
        <v>32</v>
      </c>
      <c r="M427" s="1" t="s">
        <v>358</v>
      </c>
      <c r="N427" s="8" t="s">
        <v>359</v>
      </c>
    </row>
    <row r="428" spans="1:14" x14ac:dyDescent="0.3">
      <c r="A428" s="6" t="s">
        <v>196</v>
      </c>
      <c r="B428" s="1" t="s">
        <v>23</v>
      </c>
      <c r="C428" s="7">
        <v>45567</v>
      </c>
      <c r="D428" s="1" t="s">
        <v>36</v>
      </c>
      <c r="E428" s="1" t="s">
        <v>52</v>
      </c>
      <c r="F428" s="1">
        <v>80</v>
      </c>
      <c r="G428" s="1">
        <v>362</v>
      </c>
      <c r="H428" s="1">
        <v>80</v>
      </c>
      <c r="I428" s="1">
        <v>1040</v>
      </c>
      <c r="J428" s="1">
        <v>349</v>
      </c>
      <c r="K428" s="1">
        <v>117</v>
      </c>
      <c r="L428" s="1" t="s">
        <v>26</v>
      </c>
      <c r="M428" s="1" t="s">
        <v>11</v>
      </c>
      <c r="N428" s="8" t="s">
        <v>25</v>
      </c>
    </row>
    <row r="429" spans="1:14" x14ac:dyDescent="0.3">
      <c r="A429" s="6" t="s">
        <v>196</v>
      </c>
      <c r="B429" s="1" t="s">
        <v>23</v>
      </c>
      <c r="C429" s="7">
        <v>45567</v>
      </c>
      <c r="D429" s="1" t="s">
        <v>36</v>
      </c>
      <c r="E429" s="1" t="s">
        <v>52</v>
      </c>
      <c r="F429" s="1">
        <v>80</v>
      </c>
      <c r="G429" s="1">
        <v>362</v>
      </c>
      <c r="H429" s="1">
        <v>80</v>
      </c>
      <c r="I429" s="1">
        <v>1040</v>
      </c>
      <c r="J429" s="1">
        <v>349</v>
      </c>
      <c r="K429" s="1">
        <v>117</v>
      </c>
      <c r="L429" s="1" t="s">
        <v>26</v>
      </c>
      <c r="M429" s="1" t="s">
        <v>357</v>
      </c>
      <c r="N429" s="8" t="s">
        <v>359</v>
      </c>
    </row>
    <row r="430" spans="1:14" x14ac:dyDescent="0.3">
      <c r="A430" s="6" t="s">
        <v>196</v>
      </c>
      <c r="B430" s="1" t="s">
        <v>23</v>
      </c>
      <c r="C430" s="7">
        <v>45567</v>
      </c>
      <c r="D430" s="1" t="s">
        <v>36</v>
      </c>
      <c r="E430" s="1" t="s">
        <v>52</v>
      </c>
      <c r="F430" s="1">
        <v>80</v>
      </c>
      <c r="G430" s="1">
        <v>362</v>
      </c>
      <c r="H430" s="1">
        <v>80</v>
      </c>
      <c r="I430" s="1">
        <v>1040</v>
      </c>
      <c r="J430" s="1">
        <v>349</v>
      </c>
      <c r="K430" s="1">
        <v>117</v>
      </c>
      <c r="L430" s="1" t="s">
        <v>26</v>
      </c>
      <c r="M430" s="1" t="s">
        <v>358</v>
      </c>
      <c r="N430" s="8" t="s">
        <v>359</v>
      </c>
    </row>
    <row r="431" spans="1:14" x14ac:dyDescent="0.3">
      <c r="A431" s="6" t="s">
        <v>197</v>
      </c>
      <c r="B431" s="1" t="s">
        <v>23</v>
      </c>
      <c r="C431" s="7">
        <v>45593</v>
      </c>
      <c r="D431" s="1" t="s">
        <v>29</v>
      </c>
      <c r="E431" s="1" t="s">
        <v>101</v>
      </c>
      <c r="F431" s="1">
        <v>4929</v>
      </c>
      <c r="G431" s="1">
        <v>749</v>
      </c>
      <c r="H431" s="1">
        <v>452</v>
      </c>
      <c r="I431" s="1">
        <v>93651</v>
      </c>
      <c r="J431" s="1">
        <v>92810</v>
      </c>
      <c r="K431" s="1">
        <v>66</v>
      </c>
      <c r="L431" s="1" t="s">
        <v>32</v>
      </c>
      <c r="M431" s="1" t="s">
        <v>11</v>
      </c>
      <c r="N431" s="8" t="s">
        <v>31</v>
      </c>
    </row>
    <row r="432" spans="1:14" x14ac:dyDescent="0.3">
      <c r="A432" s="6" t="s">
        <v>197</v>
      </c>
      <c r="B432" s="1" t="s">
        <v>23</v>
      </c>
      <c r="C432" s="7">
        <v>45593</v>
      </c>
      <c r="D432" s="1" t="s">
        <v>29</v>
      </c>
      <c r="E432" s="1" t="s">
        <v>101</v>
      </c>
      <c r="F432" s="1">
        <v>4929</v>
      </c>
      <c r="G432" s="1">
        <v>749</v>
      </c>
      <c r="H432" s="1">
        <v>452</v>
      </c>
      <c r="I432" s="1">
        <v>93651</v>
      </c>
      <c r="J432" s="1">
        <v>92810</v>
      </c>
      <c r="K432" s="1">
        <v>66</v>
      </c>
      <c r="L432" s="1" t="s">
        <v>32</v>
      </c>
      <c r="M432" s="1" t="s">
        <v>357</v>
      </c>
      <c r="N432" s="8" t="s">
        <v>359</v>
      </c>
    </row>
    <row r="433" spans="1:14" x14ac:dyDescent="0.3">
      <c r="A433" s="6" t="s">
        <v>197</v>
      </c>
      <c r="B433" s="1" t="s">
        <v>23</v>
      </c>
      <c r="C433" s="7">
        <v>45593</v>
      </c>
      <c r="D433" s="1" t="s">
        <v>29</v>
      </c>
      <c r="E433" s="1" t="s">
        <v>101</v>
      </c>
      <c r="F433" s="1">
        <v>4929</v>
      </c>
      <c r="G433" s="1">
        <v>749</v>
      </c>
      <c r="H433" s="1">
        <v>452</v>
      </c>
      <c r="I433" s="1">
        <v>93651</v>
      </c>
      <c r="J433" s="1">
        <v>92810</v>
      </c>
      <c r="K433" s="1">
        <v>66</v>
      </c>
      <c r="L433" s="1" t="s">
        <v>32</v>
      </c>
      <c r="M433" s="1" t="s">
        <v>358</v>
      </c>
      <c r="N433" s="8" t="s">
        <v>359</v>
      </c>
    </row>
    <row r="434" spans="1:14" x14ac:dyDescent="0.3">
      <c r="A434" s="6" t="s">
        <v>198</v>
      </c>
      <c r="B434" s="1" t="s">
        <v>28</v>
      </c>
      <c r="C434" s="7">
        <v>45516</v>
      </c>
      <c r="D434" s="1" t="s">
        <v>36</v>
      </c>
      <c r="E434" s="1" t="s">
        <v>65</v>
      </c>
      <c r="F434" s="1">
        <v>1878</v>
      </c>
      <c r="G434" s="1">
        <v>62</v>
      </c>
      <c r="H434" s="1">
        <v>179</v>
      </c>
      <c r="I434" s="1">
        <v>37560</v>
      </c>
      <c r="J434" s="1">
        <v>36874</v>
      </c>
      <c r="K434" s="1">
        <v>142</v>
      </c>
      <c r="L434" s="1" t="s">
        <v>32</v>
      </c>
      <c r="M434" s="1" t="s">
        <v>11</v>
      </c>
      <c r="N434" s="8" t="s">
        <v>25</v>
      </c>
    </row>
    <row r="435" spans="1:14" x14ac:dyDescent="0.3">
      <c r="A435" s="6" t="s">
        <v>198</v>
      </c>
      <c r="B435" s="1" t="s">
        <v>28</v>
      </c>
      <c r="C435" s="7">
        <v>45516</v>
      </c>
      <c r="D435" s="1" t="s">
        <v>36</v>
      </c>
      <c r="E435" s="1" t="s">
        <v>65</v>
      </c>
      <c r="F435" s="1">
        <v>1878</v>
      </c>
      <c r="G435" s="1">
        <v>62</v>
      </c>
      <c r="H435" s="1">
        <v>179</v>
      </c>
      <c r="I435" s="1">
        <v>37560</v>
      </c>
      <c r="J435" s="1">
        <v>36874</v>
      </c>
      <c r="K435" s="1">
        <v>142</v>
      </c>
      <c r="L435" s="1" t="s">
        <v>32</v>
      </c>
      <c r="M435" s="1" t="s">
        <v>357</v>
      </c>
      <c r="N435" s="8" t="s">
        <v>359</v>
      </c>
    </row>
    <row r="436" spans="1:14" x14ac:dyDescent="0.3">
      <c r="A436" s="6" t="s">
        <v>198</v>
      </c>
      <c r="B436" s="1" t="s">
        <v>28</v>
      </c>
      <c r="C436" s="7">
        <v>45516</v>
      </c>
      <c r="D436" s="1" t="s">
        <v>36</v>
      </c>
      <c r="E436" s="1" t="s">
        <v>65</v>
      </c>
      <c r="F436" s="1">
        <v>1878</v>
      </c>
      <c r="G436" s="1">
        <v>62</v>
      </c>
      <c r="H436" s="1">
        <v>179</v>
      </c>
      <c r="I436" s="1">
        <v>37560</v>
      </c>
      <c r="J436" s="1">
        <v>36874</v>
      </c>
      <c r="K436" s="1">
        <v>142</v>
      </c>
      <c r="L436" s="1" t="s">
        <v>32</v>
      </c>
      <c r="M436" s="1" t="s">
        <v>358</v>
      </c>
      <c r="N436" s="8" t="s">
        <v>359</v>
      </c>
    </row>
    <row r="437" spans="1:14" x14ac:dyDescent="0.3">
      <c r="A437" s="6" t="s">
        <v>199</v>
      </c>
      <c r="B437" s="1" t="s">
        <v>23</v>
      </c>
      <c r="C437" s="7">
        <v>45448</v>
      </c>
      <c r="D437" s="1" t="s">
        <v>15</v>
      </c>
      <c r="E437" s="1" t="s">
        <v>24</v>
      </c>
      <c r="F437" s="1">
        <v>3065</v>
      </c>
      <c r="G437" s="1">
        <v>772</v>
      </c>
      <c r="H437" s="1">
        <v>142</v>
      </c>
      <c r="I437" s="1">
        <v>18390</v>
      </c>
      <c r="J437" s="1">
        <v>17875</v>
      </c>
      <c r="K437" s="1">
        <v>200</v>
      </c>
      <c r="L437" s="1" t="s">
        <v>360</v>
      </c>
      <c r="M437" s="1" t="s">
        <v>11</v>
      </c>
      <c r="N437" s="8" t="s">
        <v>31</v>
      </c>
    </row>
    <row r="438" spans="1:14" x14ac:dyDescent="0.3">
      <c r="A438" s="6" t="s">
        <v>199</v>
      </c>
      <c r="B438" s="1" t="s">
        <v>23</v>
      </c>
      <c r="C438" s="7">
        <v>45448</v>
      </c>
      <c r="D438" s="1" t="s">
        <v>15</v>
      </c>
      <c r="E438" s="1" t="s">
        <v>24</v>
      </c>
      <c r="F438" s="1">
        <v>3065</v>
      </c>
      <c r="G438" s="1">
        <v>772</v>
      </c>
      <c r="H438" s="1">
        <v>142</v>
      </c>
      <c r="I438" s="1">
        <v>18390</v>
      </c>
      <c r="J438" s="1">
        <v>17875</v>
      </c>
      <c r="K438" s="1">
        <v>200</v>
      </c>
      <c r="L438" s="1" t="s">
        <v>360</v>
      </c>
      <c r="M438" s="1" t="s">
        <v>357</v>
      </c>
      <c r="N438" s="8" t="s">
        <v>354</v>
      </c>
    </row>
    <row r="439" spans="1:14" x14ac:dyDescent="0.3">
      <c r="A439" s="6" t="s">
        <v>199</v>
      </c>
      <c r="B439" s="1" t="s">
        <v>23</v>
      </c>
      <c r="C439" s="7">
        <v>45448</v>
      </c>
      <c r="D439" s="1" t="s">
        <v>15</v>
      </c>
      <c r="E439" s="1" t="s">
        <v>24</v>
      </c>
      <c r="F439" s="1">
        <v>3065</v>
      </c>
      <c r="G439" s="1">
        <v>772</v>
      </c>
      <c r="H439" s="1">
        <v>142</v>
      </c>
      <c r="I439" s="1">
        <v>18390</v>
      </c>
      <c r="J439" s="1">
        <v>17875</v>
      </c>
      <c r="K439" s="1">
        <v>200</v>
      </c>
      <c r="L439" s="1" t="s">
        <v>360</v>
      </c>
      <c r="M439" s="1" t="s">
        <v>358</v>
      </c>
      <c r="N439" s="8" t="s">
        <v>359</v>
      </c>
    </row>
    <row r="440" spans="1:14" x14ac:dyDescent="0.3">
      <c r="A440" s="6" t="s">
        <v>200</v>
      </c>
      <c r="B440" s="1" t="s">
        <v>28</v>
      </c>
      <c r="C440" s="7">
        <v>45586</v>
      </c>
      <c r="D440" s="1" t="s">
        <v>15</v>
      </c>
      <c r="E440" s="1" t="s">
        <v>61</v>
      </c>
      <c r="F440" s="1">
        <v>3256</v>
      </c>
      <c r="G440" s="1">
        <v>459</v>
      </c>
      <c r="H440" s="1">
        <v>266</v>
      </c>
      <c r="I440" s="1">
        <v>26048</v>
      </c>
      <c r="J440" s="1">
        <v>25529</v>
      </c>
      <c r="K440" s="1">
        <v>143</v>
      </c>
      <c r="L440" s="1" t="s">
        <v>21</v>
      </c>
      <c r="M440" s="1" t="s">
        <v>11</v>
      </c>
      <c r="N440" s="8" t="s">
        <v>25</v>
      </c>
    </row>
    <row r="441" spans="1:14" x14ac:dyDescent="0.3">
      <c r="A441" s="6" t="s">
        <v>200</v>
      </c>
      <c r="B441" s="1" t="s">
        <v>28</v>
      </c>
      <c r="C441" s="7">
        <v>45586</v>
      </c>
      <c r="D441" s="1" t="s">
        <v>15</v>
      </c>
      <c r="E441" s="1" t="s">
        <v>61</v>
      </c>
      <c r="F441" s="1">
        <v>3256</v>
      </c>
      <c r="G441" s="1">
        <v>459</v>
      </c>
      <c r="H441" s="1">
        <v>266</v>
      </c>
      <c r="I441" s="1">
        <v>26048</v>
      </c>
      <c r="J441" s="1">
        <v>25529</v>
      </c>
      <c r="K441" s="1">
        <v>143</v>
      </c>
      <c r="L441" s="1" t="s">
        <v>21</v>
      </c>
      <c r="M441" s="1" t="s">
        <v>357</v>
      </c>
      <c r="N441" s="8" t="s">
        <v>359</v>
      </c>
    </row>
    <row r="442" spans="1:14" x14ac:dyDescent="0.3">
      <c r="A442" s="6" t="s">
        <v>200</v>
      </c>
      <c r="B442" s="1" t="s">
        <v>28</v>
      </c>
      <c r="C442" s="7">
        <v>45586</v>
      </c>
      <c r="D442" s="1" t="s">
        <v>15</v>
      </c>
      <c r="E442" s="1" t="s">
        <v>61</v>
      </c>
      <c r="F442" s="1">
        <v>3256</v>
      </c>
      <c r="G442" s="1">
        <v>459</v>
      </c>
      <c r="H442" s="1">
        <v>266</v>
      </c>
      <c r="I442" s="1">
        <v>26048</v>
      </c>
      <c r="J442" s="1">
        <v>25529</v>
      </c>
      <c r="K442" s="1">
        <v>143</v>
      </c>
      <c r="L442" s="1" t="s">
        <v>21</v>
      </c>
      <c r="M442" s="1" t="s">
        <v>358</v>
      </c>
      <c r="N442" s="8" t="s">
        <v>359</v>
      </c>
    </row>
    <row r="443" spans="1:14" x14ac:dyDescent="0.3">
      <c r="A443" s="6" t="s">
        <v>201</v>
      </c>
      <c r="B443" s="1" t="s">
        <v>28</v>
      </c>
      <c r="C443" s="7">
        <v>45762</v>
      </c>
      <c r="D443" s="1" t="s">
        <v>56</v>
      </c>
      <c r="E443" s="1" t="s">
        <v>63</v>
      </c>
      <c r="F443" s="1">
        <v>4133</v>
      </c>
      <c r="G443" s="1">
        <v>466</v>
      </c>
      <c r="H443" s="1">
        <v>327</v>
      </c>
      <c r="I443" s="1">
        <v>24798</v>
      </c>
      <c r="J443" s="1">
        <v>24620</v>
      </c>
      <c r="K443" s="1">
        <v>176</v>
      </c>
      <c r="L443" s="1" t="s">
        <v>32</v>
      </c>
      <c r="M443" s="1" t="s">
        <v>11</v>
      </c>
      <c r="N443" s="8" t="s">
        <v>31</v>
      </c>
    </row>
    <row r="444" spans="1:14" x14ac:dyDescent="0.3">
      <c r="A444" s="6" t="s">
        <v>201</v>
      </c>
      <c r="B444" s="1" t="s">
        <v>28</v>
      </c>
      <c r="C444" s="7">
        <v>45762</v>
      </c>
      <c r="D444" s="1" t="s">
        <v>56</v>
      </c>
      <c r="E444" s="1" t="s">
        <v>63</v>
      </c>
      <c r="F444" s="1">
        <v>4133</v>
      </c>
      <c r="G444" s="1">
        <v>466</v>
      </c>
      <c r="H444" s="1">
        <v>327</v>
      </c>
      <c r="I444" s="1">
        <v>24798</v>
      </c>
      <c r="J444" s="1">
        <v>24620</v>
      </c>
      <c r="K444" s="1">
        <v>176</v>
      </c>
      <c r="L444" s="1" t="s">
        <v>32</v>
      </c>
      <c r="M444" s="1" t="s">
        <v>357</v>
      </c>
      <c r="N444" s="8" t="s">
        <v>359</v>
      </c>
    </row>
    <row r="445" spans="1:14" x14ac:dyDescent="0.3">
      <c r="A445" s="6" t="s">
        <v>201</v>
      </c>
      <c r="B445" s="1" t="s">
        <v>28</v>
      </c>
      <c r="C445" s="7">
        <v>45762</v>
      </c>
      <c r="D445" s="1" t="s">
        <v>56</v>
      </c>
      <c r="E445" s="1" t="s">
        <v>63</v>
      </c>
      <c r="F445" s="1">
        <v>4133</v>
      </c>
      <c r="G445" s="1">
        <v>466</v>
      </c>
      <c r="H445" s="1">
        <v>327</v>
      </c>
      <c r="I445" s="1">
        <v>24798</v>
      </c>
      <c r="J445" s="1">
        <v>24620</v>
      </c>
      <c r="K445" s="1">
        <v>176</v>
      </c>
      <c r="L445" s="1" t="s">
        <v>32</v>
      </c>
      <c r="M445" s="1" t="s">
        <v>358</v>
      </c>
      <c r="N445" s="8" t="s">
        <v>359</v>
      </c>
    </row>
    <row r="446" spans="1:14" x14ac:dyDescent="0.3">
      <c r="A446" s="6" t="s">
        <v>202</v>
      </c>
      <c r="B446" s="1" t="s">
        <v>14</v>
      </c>
      <c r="C446" s="7">
        <v>45459</v>
      </c>
      <c r="D446" s="1" t="s">
        <v>56</v>
      </c>
      <c r="E446" s="1" t="s">
        <v>95</v>
      </c>
      <c r="F446" s="1">
        <v>1702</v>
      </c>
      <c r="G446" s="1">
        <v>750</v>
      </c>
      <c r="H446" s="1">
        <v>179</v>
      </c>
      <c r="I446" s="1">
        <v>34040</v>
      </c>
      <c r="J446" s="1">
        <v>33174</v>
      </c>
      <c r="K446" s="1">
        <v>76</v>
      </c>
      <c r="L446" s="1" t="s">
        <v>17</v>
      </c>
      <c r="M446" s="1" t="s">
        <v>11</v>
      </c>
      <c r="N446" s="8" t="s">
        <v>31</v>
      </c>
    </row>
    <row r="447" spans="1:14" x14ac:dyDescent="0.3">
      <c r="A447" s="6" t="s">
        <v>202</v>
      </c>
      <c r="B447" s="1" t="s">
        <v>14</v>
      </c>
      <c r="C447" s="7">
        <v>45459</v>
      </c>
      <c r="D447" s="1" t="s">
        <v>56</v>
      </c>
      <c r="E447" s="1" t="s">
        <v>95</v>
      </c>
      <c r="F447" s="1">
        <v>1702</v>
      </c>
      <c r="G447" s="1">
        <v>750</v>
      </c>
      <c r="H447" s="1">
        <v>179</v>
      </c>
      <c r="I447" s="1">
        <v>34040</v>
      </c>
      <c r="J447" s="1">
        <v>33174</v>
      </c>
      <c r="K447" s="1">
        <v>76</v>
      </c>
      <c r="L447" s="1" t="s">
        <v>17</v>
      </c>
      <c r="M447" s="1" t="s">
        <v>357</v>
      </c>
      <c r="N447" s="8" t="s">
        <v>359</v>
      </c>
    </row>
    <row r="448" spans="1:14" x14ac:dyDescent="0.3">
      <c r="A448" s="6" t="s">
        <v>202</v>
      </c>
      <c r="B448" s="1" t="s">
        <v>14</v>
      </c>
      <c r="C448" s="7">
        <v>45459</v>
      </c>
      <c r="D448" s="1" t="s">
        <v>56</v>
      </c>
      <c r="E448" s="1" t="s">
        <v>95</v>
      </c>
      <c r="F448" s="1">
        <v>1702</v>
      </c>
      <c r="G448" s="1">
        <v>750</v>
      </c>
      <c r="H448" s="1">
        <v>179</v>
      </c>
      <c r="I448" s="1">
        <v>34040</v>
      </c>
      <c r="J448" s="1">
        <v>33174</v>
      </c>
      <c r="K448" s="1">
        <v>76</v>
      </c>
      <c r="L448" s="1" t="s">
        <v>17</v>
      </c>
      <c r="M448" s="1" t="s">
        <v>358</v>
      </c>
      <c r="N448" s="8" t="s">
        <v>359</v>
      </c>
    </row>
    <row r="449" spans="1:14" x14ac:dyDescent="0.3">
      <c r="A449" s="6" t="s">
        <v>203</v>
      </c>
      <c r="B449" s="1" t="s">
        <v>23</v>
      </c>
      <c r="C449" s="7">
        <v>45526</v>
      </c>
      <c r="D449" s="1" t="s">
        <v>36</v>
      </c>
      <c r="E449" s="1" t="s">
        <v>52</v>
      </c>
      <c r="F449" s="1">
        <v>4295</v>
      </c>
      <c r="G449" s="1">
        <v>853</v>
      </c>
      <c r="H449" s="1">
        <v>325</v>
      </c>
      <c r="I449" s="1">
        <v>85900</v>
      </c>
      <c r="J449" s="1">
        <v>85788</v>
      </c>
      <c r="K449" s="1">
        <v>290</v>
      </c>
      <c r="L449" s="1" t="s">
        <v>32</v>
      </c>
      <c r="M449" s="1" t="s">
        <v>11</v>
      </c>
      <c r="N449" s="8" t="s">
        <v>25</v>
      </c>
    </row>
    <row r="450" spans="1:14" x14ac:dyDescent="0.3">
      <c r="A450" s="6" t="s">
        <v>203</v>
      </c>
      <c r="B450" s="1" t="s">
        <v>23</v>
      </c>
      <c r="C450" s="7">
        <v>45526</v>
      </c>
      <c r="D450" s="1" t="s">
        <v>36</v>
      </c>
      <c r="E450" s="1" t="s">
        <v>52</v>
      </c>
      <c r="F450" s="1">
        <v>4295</v>
      </c>
      <c r="G450" s="1">
        <v>853</v>
      </c>
      <c r="H450" s="1">
        <v>325</v>
      </c>
      <c r="I450" s="1">
        <v>85900</v>
      </c>
      <c r="J450" s="1">
        <v>85788</v>
      </c>
      <c r="K450" s="1">
        <v>290</v>
      </c>
      <c r="L450" s="1" t="s">
        <v>32</v>
      </c>
      <c r="M450" s="1" t="s">
        <v>357</v>
      </c>
      <c r="N450" s="8" t="s">
        <v>359</v>
      </c>
    </row>
    <row r="451" spans="1:14" x14ac:dyDescent="0.3">
      <c r="A451" s="6" t="s">
        <v>203</v>
      </c>
      <c r="B451" s="1" t="s">
        <v>23</v>
      </c>
      <c r="C451" s="7">
        <v>45526</v>
      </c>
      <c r="D451" s="1" t="s">
        <v>36</v>
      </c>
      <c r="E451" s="1" t="s">
        <v>52</v>
      </c>
      <c r="F451" s="1">
        <v>4295</v>
      </c>
      <c r="G451" s="1">
        <v>853</v>
      </c>
      <c r="H451" s="1">
        <v>325</v>
      </c>
      <c r="I451" s="1">
        <v>85900</v>
      </c>
      <c r="J451" s="1">
        <v>85788</v>
      </c>
      <c r="K451" s="1">
        <v>290</v>
      </c>
      <c r="L451" s="1" t="s">
        <v>32</v>
      </c>
      <c r="M451" s="1" t="s">
        <v>358</v>
      </c>
      <c r="N451" s="8" t="s">
        <v>359</v>
      </c>
    </row>
    <row r="452" spans="1:14" x14ac:dyDescent="0.3">
      <c r="A452" s="6" t="s">
        <v>204</v>
      </c>
      <c r="B452" s="1" t="s">
        <v>28</v>
      </c>
      <c r="C452" s="7">
        <v>45499</v>
      </c>
      <c r="D452" s="1" t="s">
        <v>41</v>
      </c>
      <c r="E452" s="1" t="s">
        <v>134</v>
      </c>
      <c r="F452" s="1">
        <v>3559</v>
      </c>
      <c r="G452" s="1">
        <v>59</v>
      </c>
      <c r="H452" s="1">
        <v>289</v>
      </c>
      <c r="I452" s="1">
        <v>35590</v>
      </c>
      <c r="J452" s="1">
        <v>35105</v>
      </c>
      <c r="K452" s="1">
        <v>122</v>
      </c>
      <c r="L452" s="1" t="s">
        <v>17</v>
      </c>
      <c r="M452" s="1" t="s">
        <v>11</v>
      </c>
      <c r="N452" s="8" t="s">
        <v>31</v>
      </c>
    </row>
    <row r="453" spans="1:14" x14ac:dyDescent="0.3">
      <c r="A453" s="6" t="s">
        <v>204</v>
      </c>
      <c r="B453" s="1" t="s">
        <v>28</v>
      </c>
      <c r="C453" s="7">
        <v>45499</v>
      </c>
      <c r="D453" s="1" t="s">
        <v>41</v>
      </c>
      <c r="E453" s="1" t="s">
        <v>134</v>
      </c>
      <c r="F453" s="1">
        <v>3559</v>
      </c>
      <c r="G453" s="1">
        <v>59</v>
      </c>
      <c r="H453" s="1">
        <v>289</v>
      </c>
      <c r="I453" s="1">
        <v>35590</v>
      </c>
      <c r="J453" s="1">
        <v>35105</v>
      </c>
      <c r="K453" s="1">
        <v>122</v>
      </c>
      <c r="L453" s="1" t="s">
        <v>17</v>
      </c>
      <c r="M453" s="1" t="s">
        <v>357</v>
      </c>
      <c r="N453" s="8" t="s">
        <v>359</v>
      </c>
    </row>
    <row r="454" spans="1:14" x14ac:dyDescent="0.3">
      <c r="A454" s="6" t="s">
        <v>204</v>
      </c>
      <c r="B454" s="1" t="s">
        <v>28</v>
      </c>
      <c r="C454" s="7">
        <v>45499</v>
      </c>
      <c r="D454" s="1" t="s">
        <v>41</v>
      </c>
      <c r="E454" s="1" t="s">
        <v>134</v>
      </c>
      <c r="F454" s="1">
        <v>3559</v>
      </c>
      <c r="G454" s="1">
        <v>59</v>
      </c>
      <c r="H454" s="1">
        <v>289</v>
      </c>
      <c r="I454" s="1">
        <v>35590</v>
      </c>
      <c r="J454" s="1">
        <v>35105</v>
      </c>
      <c r="K454" s="1">
        <v>122</v>
      </c>
      <c r="L454" s="1" t="s">
        <v>17</v>
      </c>
      <c r="M454" s="1" t="s">
        <v>358</v>
      </c>
      <c r="N454" s="8" t="s">
        <v>359</v>
      </c>
    </row>
    <row r="455" spans="1:14" x14ac:dyDescent="0.3">
      <c r="A455" s="6" t="s">
        <v>205</v>
      </c>
      <c r="B455" s="1" t="s">
        <v>35</v>
      </c>
      <c r="C455" s="7">
        <v>45769</v>
      </c>
      <c r="D455" s="1" t="s">
        <v>41</v>
      </c>
      <c r="E455" s="1" t="s">
        <v>46</v>
      </c>
      <c r="F455" s="1">
        <v>4804</v>
      </c>
      <c r="G455" s="1">
        <v>550</v>
      </c>
      <c r="H455" s="1">
        <v>270</v>
      </c>
      <c r="I455" s="1">
        <v>28824</v>
      </c>
      <c r="J455" s="1">
        <v>28370</v>
      </c>
      <c r="K455" s="1">
        <v>47</v>
      </c>
      <c r="L455" s="1" t="s">
        <v>32</v>
      </c>
      <c r="M455" s="1" t="s">
        <v>11</v>
      </c>
      <c r="N455" s="8" t="s">
        <v>31</v>
      </c>
    </row>
    <row r="456" spans="1:14" x14ac:dyDescent="0.3">
      <c r="A456" s="6" t="s">
        <v>205</v>
      </c>
      <c r="B456" s="1" t="s">
        <v>35</v>
      </c>
      <c r="C456" s="7">
        <v>45769</v>
      </c>
      <c r="D456" s="1" t="s">
        <v>41</v>
      </c>
      <c r="E456" s="1" t="s">
        <v>46</v>
      </c>
      <c r="F456" s="1">
        <v>4804</v>
      </c>
      <c r="G456" s="1">
        <v>550</v>
      </c>
      <c r="H456" s="1">
        <v>270</v>
      </c>
      <c r="I456" s="1">
        <v>28824</v>
      </c>
      <c r="J456" s="1">
        <v>28370</v>
      </c>
      <c r="K456" s="1">
        <v>47</v>
      </c>
      <c r="L456" s="1" t="s">
        <v>32</v>
      </c>
      <c r="M456" s="1" t="s">
        <v>357</v>
      </c>
      <c r="N456" s="8" t="s">
        <v>359</v>
      </c>
    </row>
    <row r="457" spans="1:14" x14ac:dyDescent="0.3">
      <c r="A457" s="6" t="s">
        <v>205</v>
      </c>
      <c r="B457" s="1" t="s">
        <v>35</v>
      </c>
      <c r="C457" s="7">
        <v>45769</v>
      </c>
      <c r="D457" s="1" t="s">
        <v>41</v>
      </c>
      <c r="E457" s="1" t="s">
        <v>46</v>
      </c>
      <c r="F457" s="1">
        <v>4804</v>
      </c>
      <c r="G457" s="1">
        <v>550</v>
      </c>
      <c r="H457" s="1">
        <v>270</v>
      </c>
      <c r="I457" s="1">
        <v>28824</v>
      </c>
      <c r="J457" s="1">
        <v>28370</v>
      </c>
      <c r="K457" s="1">
        <v>47</v>
      </c>
      <c r="L457" s="1" t="s">
        <v>32</v>
      </c>
      <c r="M457" s="1" t="s">
        <v>358</v>
      </c>
      <c r="N457" s="8" t="s">
        <v>359</v>
      </c>
    </row>
    <row r="458" spans="1:14" x14ac:dyDescent="0.3">
      <c r="A458" s="6" t="s">
        <v>206</v>
      </c>
      <c r="B458" s="1" t="s">
        <v>14</v>
      </c>
      <c r="C458" s="7">
        <v>45658</v>
      </c>
      <c r="D458" s="1" t="s">
        <v>56</v>
      </c>
      <c r="E458" s="1" t="s">
        <v>95</v>
      </c>
      <c r="F458" s="1">
        <v>754</v>
      </c>
      <c r="G458" s="1">
        <v>197</v>
      </c>
      <c r="H458" s="1">
        <v>257</v>
      </c>
      <c r="I458" s="1">
        <v>6786</v>
      </c>
      <c r="J458" s="1">
        <v>6221</v>
      </c>
      <c r="K458" s="1">
        <v>212</v>
      </c>
      <c r="L458" s="1" t="s">
        <v>26</v>
      </c>
      <c r="M458" s="1" t="s">
        <v>11</v>
      </c>
      <c r="N458" s="8" t="s">
        <v>25</v>
      </c>
    </row>
    <row r="459" spans="1:14" x14ac:dyDescent="0.3">
      <c r="A459" s="6" t="s">
        <v>206</v>
      </c>
      <c r="B459" s="1" t="s">
        <v>14</v>
      </c>
      <c r="C459" s="7">
        <v>45658</v>
      </c>
      <c r="D459" s="1" t="s">
        <v>56</v>
      </c>
      <c r="E459" s="1" t="s">
        <v>95</v>
      </c>
      <c r="F459" s="1">
        <v>754</v>
      </c>
      <c r="G459" s="1">
        <v>197</v>
      </c>
      <c r="H459" s="1">
        <v>257</v>
      </c>
      <c r="I459" s="1">
        <v>6786</v>
      </c>
      <c r="J459" s="1">
        <v>6221</v>
      </c>
      <c r="K459" s="1">
        <v>212</v>
      </c>
      <c r="L459" s="1" t="s">
        <v>26</v>
      </c>
      <c r="M459" s="1" t="s">
        <v>357</v>
      </c>
      <c r="N459" s="8" t="s">
        <v>359</v>
      </c>
    </row>
    <row r="460" spans="1:14" x14ac:dyDescent="0.3">
      <c r="A460" s="6" t="s">
        <v>206</v>
      </c>
      <c r="B460" s="1" t="s">
        <v>14</v>
      </c>
      <c r="C460" s="7">
        <v>45658</v>
      </c>
      <c r="D460" s="1" t="s">
        <v>56</v>
      </c>
      <c r="E460" s="1" t="s">
        <v>95</v>
      </c>
      <c r="F460" s="1">
        <v>754</v>
      </c>
      <c r="G460" s="1">
        <v>197</v>
      </c>
      <c r="H460" s="1">
        <v>257</v>
      </c>
      <c r="I460" s="1">
        <v>6786</v>
      </c>
      <c r="J460" s="1">
        <v>6221</v>
      </c>
      <c r="K460" s="1">
        <v>212</v>
      </c>
      <c r="L460" s="1" t="s">
        <v>26</v>
      </c>
      <c r="M460" s="1" t="s">
        <v>358</v>
      </c>
      <c r="N460" s="8" t="s">
        <v>359</v>
      </c>
    </row>
    <row r="461" spans="1:14" x14ac:dyDescent="0.3">
      <c r="A461" s="6" t="s">
        <v>207</v>
      </c>
      <c r="B461" s="1" t="s">
        <v>28</v>
      </c>
      <c r="C461" s="7">
        <v>45574</v>
      </c>
      <c r="D461" s="1" t="s">
        <v>36</v>
      </c>
      <c r="E461" s="1" t="s">
        <v>65</v>
      </c>
      <c r="F461" s="1">
        <v>985</v>
      </c>
      <c r="G461" s="1">
        <v>932</v>
      </c>
      <c r="H461" s="1">
        <v>287</v>
      </c>
      <c r="I461" s="1">
        <v>6895</v>
      </c>
      <c r="J461" s="1">
        <v>6757</v>
      </c>
      <c r="K461" s="1">
        <v>64</v>
      </c>
      <c r="L461" s="1" t="s">
        <v>32</v>
      </c>
      <c r="M461" s="1" t="s">
        <v>11</v>
      </c>
      <c r="N461" s="8" t="s">
        <v>48</v>
      </c>
    </row>
    <row r="462" spans="1:14" x14ac:dyDescent="0.3">
      <c r="A462" s="6" t="s">
        <v>207</v>
      </c>
      <c r="B462" s="1" t="s">
        <v>28</v>
      </c>
      <c r="C462" s="7">
        <v>45574</v>
      </c>
      <c r="D462" s="1" t="s">
        <v>36</v>
      </c>
      <c r="E462" s="1" t="s">
        <v>65</v>
      </c>
      <c r="F462" s="1">
        <v>985</v>
      </c>
      <c r="G462" s="1">
        <v>932</v>
      </c>
      <c r="H462" s="1">
        <v>287</v>
      </c>
      <c r="I462" s="1">
        <v>6895</v>
      </c>
      <c r="J462" s="1">
        <v>6757</v>
      </c>
      <c r="K462" s="1">
        <v>64</v>
      </c>
      <c r="L462" s="1" t="s">
        <v>32</v>
      </c>
      <c r="M462" s="1" t="s">
        <v>357</v>
      </c>
      <c r="N462" s="8" t="s">
        <v>359</v>
      </c>
    </row>
    <row r="463" spans="1:14" x14ac:dyDescent="0.3">
      <c r="A463" s="6" t="s">
        <v>207</v>
      </c>
      <c r="B463" s="1" t="s">
        <v>28</v>
      </c>
      <c r="C463" s="7">
        <v>45574</v>
      </c>
      <c r="D463" s="1" t="s">
        <v>36</v>
      </c>
      <c r="E463" s="1" t="s">
        <v>65</v>
      </c>
      <c r="F463" s="1">
        <v>985</v>
      </c>
      <c r="G463" s="1">
        <v>932</v>
      </c>
      <c r="H463" s="1">
        <v>287</v>
      </c>
      <c r="I463" s="1">
        <v>6895</v>
      </c>
      <c r="J463" s="1">
        <v>6757</v>
      </c>
      <c r="K463" s="1">
        <v>64</v>
      </c>
      <c r="L463" s="1" t="s">
        <v>32</v>
      </c>
      <c r="M463" s="1" t="s">
        <v>358</v>
      </c>
      <c r="N463" s="8" t="s">
        <v>359</v>
      </c>
    </row>
    <row r="464" spans="1:14" x14ac:dyDescent="0.3">
      <c r="A464" s="6" t="s">
        <v>208</v>
      </c>
      <c r="B464" s="1" t="s">
        <v>23</v>
      </c>
      <c r="C464" s="7">
        <v>45647</v>
      </c>
      <c r="D464" s="1" t="s">
        <v>41</v>
      </c>
      <c r="E464" s="1" t="s">
        <v>42</v>
      </c>
      <c r="F464" s="1">
        <v>2283</v>
      </c>
      <c r="G464" s="1">
        <v>210</v>
      </c>
      <c r="H464" s="1">
        <v>130</v>
      </c>
      <c r="I464" s="1">
        <v>22830</v>
      </c>
      <c r="J464" s="1">
        <v>22617</v>
      </c>
      <c r="K464" s="1">
        <v>143</v>
      </c>
      <c r="L464" s="1" t="s">
        <v>21</v>
      </c>
      <c r="M464" s="1" t="s">
        <v>11</v>
      </c>
      <c r="N464" s="8" t="s">
        <v>48</v>
      </c>
    </row>
    <row r="465" spans="1:14" x14ac:dyDescent="0.3">
      <c r="A465" s="6" t="s">
        <v>208</v>
      </c>
      <c r="B465" s="1" t="s">
        <v>23</v>
      </c>
      <c r="C465" s="7">
        <v>45647</v>
      </c>
      <c r="D465" s="1" t="s">
        <v>41</v>
      </c>
      <c r="E465" s="1" t="s">
        <v>42</v>
      </c>
      <c r="F465" s="1">
        <v>2283</v>
      </c>
      <c r="G465" s="1">
        <v>210</v>
      </c>
      <c r="H465" s="1">
        <v>130</v>
      </c>
      <c r="I465" s="1">
        <v>22830</v>
      </c>
      <c r="J465" s="1">
        <v>22617</v>
      </c>
      <c r="K465" s="1">
        <v>143</v>
      </c>
      <c r="L465" s="1" t="s">
        <v>21</v>
      </c>
      <c r="M465" s="1" t="s">
        <v>357</v>
      </c>
      <c r="N465" s="8" t="s">
        <v>359</v>
      </c>
    </row>
    <row r="466" spans="1:14" x14ac:dyDescent="0.3">
      <c r="A466" s="6" t="s">
        <v>208</v>
      </c>
      <c r="B466" s="1" t="s">
        <v>23</v>
      </c>
      <c r="C466" s="7">
        <v>45647</v>
      </c>
      <c r="D466" s="1" t="s">
        <v>41</v>
      </c>
      <c r="E466" s="1" t="s">
        <v>42</v>
      </c>
      <c r="F466" s="1">
        <v>2283</v>
      </c>
      <c r="G466" s="1">
        <v>210</v>
      </c>
      <c r="H466" s="1">
        <v>130</v>
      </c>
      <c r="I466" s="1">
        <v>22830</v>
      </c>
      <c r="J466" s="1">
        <v>22617</v>
      </c>
      <c r="K466" s="1">
        <v>143</v>
      </c>
      <c r="L466" s="1" t="s">
        <v>21</v>
      </c>
      <c r="M466" s="1" t="s">
        <v>358</v>
      </c>
      <c r="N466" s="8" t="s">
        <v>359</v>
      </c>
    </row>
    <row r="467" spans="1:14" x14ac:dyDescent="0.3">
      <c r="A467" s="6" t="s">
        <v>209</v>
      </c>
      <c r="B467" s="1" t="s">
        <v>35</v>
      </c>
      <c r="C467" s="7">
        <v>45587</v>
      </c>
      <c r="D467" s="1" t="s">
        <v>36</v>
      </c>
      <c r="E467" s="1" t="s">
        <v>37</v>
      </c>
      <c r="F467" s="1">
        <v>3352</v>
      </c>
      <c r="G467" s="1">
        <v>941</v>
      </c>
      <c r="H467" s="1">
        <v>482</v>
      </c>
      <c r="I467" s="1">
        <v>43576</v>
      </c>
      <c r="J467" s="1">
        <v>43338</v>
      </c>
      <c r="K467" s="1">
        <v>240</v>
      </c>
      <c r="L467" s="1" t="s">
        <v>21</v>
      </c>
      <c r="M467" s="1" t="s">
        <v>11</v>
      </c>
      <c r="N467" s="8" t="s">
        <v>48</v>
      </c>
    </row>
    <row r="468" spans="1:14" x14ac:dyDescent="0.3">
      <c r="A468" s="6" t="s">
        <v>209</v>
      </c>
      <c r="B468" s="1" t="s">
        <v>35</v>
      </c>
      <c r="C468" s="7">
        <v>45587</v>
      </c>
      <c r="D468" s="1" t="s">
        <v>36</v>
      </c>
      <c r="E468" s="1" t="s">
        <v>37</v>
      </c>
      <c r="F468" s="1">
        <v>3352</v>
      </c>
      <c r="G468" s="1">
        <v>941</v>
      </c>
      <c r="H468" s="1">
        <v>482</v>
      </c>
      <c r="I468" s="1">
        <v>43576</v>
      </c>
      <c r="J468" s="1">
        <v>43338</v>
      </c>
      <c r="K468" s="1">
        <v>240</v>
      </c>
      <c r="L468" s="1" t="s">
        <v>21</v>
      </c>
      <c r="M468" s="1" t="s">
        <v>357</v>
      </c>
      <c r="N468" s="8" t="s">
        <v>359</v>
      </c>
    </row>
    <row r="469" spans="1:14" x14ac:dyDescent="0.3">
      <c r="A469" s="6" t="s">
        <v>209</v>
      </c>
      <c r="B469" s="1" t="s">
        <v>35</v>
      </c>
      <c r="C469" s="7">
        <v>45587</v>
      </c>
      <c r="D469" s="1" t="s">
        <v>36</v>
      </c>
      <c r="E469" s="1" t="s">
        <v>37</v>
      </c>
      <c r="F469" s="1">
        <v>3352</v>
      </c>
      <c r="G469" s="1">
        <v>941</v>
      </c>
      <c r="H469" s="1">
        <v>482</v>
      </c>
      <c r="I469" s="1">
        <v>43576</v>
      </c>
      <c r="J469" s="1">
        <v>43338</v>
      </c>
      <c r="K469" s="1">
        <v>240</v>
      </c>
      <c r="L469" s="1" t="s">
        <v>21</v>
      </c>
      <c r="M469" s="1" t="s">
        <v>358</v>
      </c>
      <c r="N469" s="8" t="s">
        <v>359</v>
      </c>
    </row>
    <row r="470" spans="1:14" x14ac:dyDescent="0.3">
      <c r="A470" s="6" t="s">
        <v>210</v>
      </c>
      <c r="B470" s="1" t="s">
        <v>23</v>
      </c>
      <c r="C470" s="7">
        <v>45496</v>
      </c>
      <c r="D470" s="1" t="s">
        <v>29</v>
      </c>
      <c r="E470" s="1" t="s">
        <v>101</v>
      </c>
      <c r="F470" s="1">
        <v>4775</v>
      </c>
      <c r="G470" s="1">
        <v>173</v>
      </c>
      <c r="H470" s="1">
        <v>206</v>
      </c>
      <c r="I470" s="1">
        <v>47750</v>
      </c>
      <c r="J470" s="1">
        <v>47544</v>
      </c>
      <c r="K470" s="1">
        <v>187</v>
      </c>
      <c r="L470" s="1" t="s">
        <v>21</v>
      </c>
      <c r="M470" s="1" t="s">
        <v>11</v>
      </c>
      <c r="N470" s="8" t="s">
        <v>48</v>
      </c>
    </row>
    <row r="471" spans="1:14" x14ac:dyDescent="0.3">
      <c r="A471" s="6" t="s">
        <v>210</v>
      </c>
      <c r="B471" s="1" t="s">
        <v>23</v>
      </c>
      <c r="C471" s="7">
        <v>45496</v>
      </c>
      <c r="D471" s="1" t="s">
        <v>29</v>
      </c>
      <c r="E471" s="1" t="s">
        <v>101</v>
      </c>
      <c r="F471" s="1">
        <v>4775</v>
      </c>
      <c r="G471" s="1">
        <v>173</v>
      </c>
      <c r="H471" s="1">
        <v>206</v>
      </c>
      <c r="I471" s="1">
        <v>47750</v>
      </c>
      <c r="J471" s="1">
        <v>47544</v>
      </c>
      <c r="K471" s="1">
        <v>187</v>
      </c>
      <c r="L471" s="1" t="s">
        <v>21</v>
      </c>
      <c r="M471" s="1" t="s">
        <v>357</v>
      </c>
      <c r="N471" s="8" t="s">
        <v>359</v>
      </c>
    </row>
    <row r="472" spans="1:14" x14ac:dyDescent="0.3">
      <c r="A472" s="6" t="s">
        <v>210</v>
      </c>
      <c r="B472" s="1" t="s">
        <v>23</v>
      </c>
      <c r="C472" s="7">
        <v>45496</v>
      </c>
      <c r="D472" s="1" t="s">
        <v>29</v>
      </c>
      <c r="E472" s="1" t="s">
        <v>101</v>
      </c>
      <c r="F472" s="1">
        <v>4775</v>
      </c>
      <c r="G472" s="1">
        <v>173</v>
      </c>
      <c r="H472" s="1">
        <v>206</v>
      </c>
      <c r="I472" s="1">
        <v>47750</v>
      </c>
      <c r="J472" s="1">
        <v>47544</v>
      </c>
      <c r="K472" s="1">
        <v>187</v>
      </c>
      <c r="L472" s="1" t="s">
        <v>21</v>
      </c>
      <c r="M472" s="1" t="s">
        <v>358</v>
      </c>
      <c r="N472" s="8" t="s">
        <v>359</v>
      </c>
    </row>
    <row r="473" spans="1:14" x14ac:dyDescent="0.3">
      <c r="A473" s="6" t="s">
        <v>211</v>
      </c>
      <c r="B473" s="1" t="s">
        <v>28</v>
      </c>
      <c r="C473" s="7">
        <v>45515</v>
      </c>
      <c r="D473" s="1" t="s">
        <v>29</v>
      </c>
      <c r="E473" s="1" t="s">
        <v>30</v>
      </c>
      <c r="F473" s="1">
        <v>1762</v>
      </c>
      <c r="G473" s="1">
        <v>405</v>
      </c>
      <c r="H473" s="1">
        <v>423</v>
      </c>
      <c r="I473" s="1">
        <v>22906</v>
      </c>
      <c r="J473" s="1">
        <v>21925</v>
      </c>
      <c r="K473" s="1">
        <v>25</v>
      </c>
      <c r="L473" s="1" t="s">
        <v>17</v>
      </c>
      <c r="M473" s="1" t="s">
        <v>11</v>
      </c>
      <c r="N473" s="8" t="s">
        <v>25</v>
      </c>
    </row>
    <row r="474" spans="1:14" x14ac:dyDescent="0.3">
      <c r="A474" s="6" t="s">
        <v>211</v>
      </c>
      <c r="B474" s="1" t="s">
        <v>28</v>
      </c>
      <c r="C474" s="7">
        <v>45515</v>
      </c>
      <c r="D474" s="1" t="s">
        <v>29</v>
      </c>
      <c r="E474" s="1" t="s">
        <v>30</v>
      </c>
      <c r="F474" s="1">
        <v>1762</v>
      </c>
      <c r="G474" s="1">
        <v>405</v>
      </c>
      <c r="H474" s="1">
        <v>423</v>
      </c>
      <c r="I474" s="1">
        <v>22906</v>
      </c>
      <c r="J474" s="1">
        <v>21925</v>
      </c>
      <c r="K474" s="1">
        <v>25</v>
      </c>
      <c r="L474" s="1" t="s">
        <v>17</v>
      </c>
      <c r="M474" s="1" t="s">
        <v>357</v>
      </c>
      <c r="N474" s="8" t="s">
        <v>359</v>
      </c>
    </row>
    <row r="475" spans="1:14" x14ac:dyDescent="0.3">
      <c r="A475" s="6" t="s">
        <v>211</v>
      </c>
      <c r="B475" s="1" t="s">
        <v>28</v>
      </c>
      <c r="C475" s="7">
        <v>45515</v>
      </c>
      <c r="D475" s="1" t="s">
        <v>29</v>
      </c>
      <c r="E475" s="1" t="s">
        <v>30</v>
      </c>
      <c r="F475" s="1">
        <v>1762</v>
      </c>
      <c r="G475" s="1">
        <v>405</v>
      </c>
      <c r="H475" s="1">
        <v>423</v>
      </c>
      <c r="I475" s="1">
        <v>22906</v>
      </c>
      <c r="J475" s="1">
        <v>21925</v>
      </c>
      <c r="K475" s="1">
        <v>25</v>
      </c>
      <c r="L475" s="1" t="s">
        <v>17</v>
      </c>
      <c r="M475" s="1" t="s">
        <v>358</v>
      </c>
      <c r="N475" s="8" t="s">
        <v>359</v>
      </c>
    </row>
    <row r="476" spans="1:14" x14ac:dyDescent="0.3">
      <c r="A476" s="6" t="s">
        <v>212</v>
      </c>
      <c r="B476" s="1" t="s">
        <v>35</v>
      </c>
      <c r="C476" s="7">
        <v>45621</v>
      </c>
      <c r="D476" s="1" t="s">
        <v>29</v>
      </c>
      <c r="E476" s="1" t="s">
        <v>54</v>
      </c>
      <c r="F476" s="1">
        <v>2120</v>
      </c>
      <c r="G476" s="1">
        <v>158</v>
      </c>
      <c r="H476" s="1">
        <v>488</v>
      </c>
      <c r="I476" s="1">
        <v>12720</v>
      </c>
      <c r="J476" s="1">
        <v>12085</v>
      </c>
      <c r="K476" s="1">
        <v>17</v>
      </c>
      <c r="L476" s="1" t="s">
        <v>21</v>
      </c>
      <c r="M476" s="1" t="s">
        <v>11</v>
      </c>
      <c r="N476" s="8" t="s">
        <v>48</v>
      </c>
    </row>
    <row r="477" spans="1:14" x14ac:dyDescent="0.3">
      <c r="A477" s="6" t="s">
        <v>212</v>
      </c>
      <c r="B477" s="1" t="s">
        <v>35</v>
      </c>
      <c r="C477" s="7">
        <v>45621</v>
      </c>
      <c r="D477" s="1" t="s">
        <v>29</v>
      </c>
      <c r="E477" s="1" t="s">
        <v>54</v>
      </c>
      <c r="F477" s="1">
        <v>2120</v>
      </c>
      <c r="G477" s="1">
        <v>158</v>
      </c>
      <c r="H477" s="1">
        <v>488</v>
      </c>
      <c r="I477" s="1">
        <v>12720</v>
      </c>
      <c r="J477" s="1">
        <v>12085</v>
      </c>
      <c r="K477" s="1">
        <v>17</v>
      </c>
      <c r="L477" s="1" t="s">
        <v>21</v>
      </c>
      <c r="M477" s="1" t="s">
        <v>357</v>
      </c>
      <c r="N477" s="8" t="s">
        <v>359</v>
      </c>
    </row>
    <row r="478" spans="1:14" x14ac:dyDescent="0.3">
      <c r="A478" s="6" t="s">
        <v>212</v>
      </c>
      <c r="B478" s="1" t="s">
        <v>35</v>
      </c>
      <c r="C478" s="7">
        <v>45621</v>
      </c>
      <c r="D478" s="1" t="s">
        <v>29</v>
      </c>
      <c r="E478" s="1" t="s">
        <v>54</v>
      </c>
      <c r="F478" s="1">
        <v>2120</v>
      </c>
      <c r="G478" s="1">
        <v>158</v>
      </c>
      <c r="H478" s="1">
        <v>488</v>
      </c>
      <c r="I478" s="1">
        <v>12720</v>
      </c>
      <c r="J478" s="1">
        <v>12085</v>
      </c>
      <c r="K478" s="1">
        <v>17</v>
      </c>
      <c r="L478" s="1" t="s">
        <v>21</v>
      </c>
      <c r="M478" s="1" t="s">
        <v>358</v>
      </c>
      <c r="N478" s="8" t="s">
        <v>359</v>
      </c>
    </row>
    <row r="479" spans="1:14" x14ac:dyDescent="0.3">
      <c r="A479" s="6" t="s">
        <v>213</v>
      </c>
      <c r="B479" s="1" t="s">
        <v>14</v>
      </c>
      <c r="C479" s="7">
        <v>45528</v>
      </c>
      <c r="D479" s="1" t="s">
        <v>56</v>
      </c>
      <c r="E479" s="1" t="s">
        <v>95</v>
      </c>
      <c r="F479" s="1">
        <v>1082</v>
      </c>
      <c r="G479" s="1">
        <v>209</v>
      </c>
      <c r="H479" s="1">
        <v>484</v>
      </c>
      <c r="I479" s="1">
        <v>19476</v>
      </c>
      <c r="J479" s="1">
        <v>18654</v>
      </c>
      <c r="K479" s="1">
        <v>20</v>
      </c>
      <c r="L479" s="1" t="s">
        <v>360</v>
      </c>
      <c r="M479" s="1" t="s">
        <v>11</v>
      </c>
      <c r="N479" s="8" t="s">
        <v>25</v>
      </c>
    </row>
    <row r="480" spans="1:14" x14ac:dyDescent="0.3">
      <c r="A480" s="6" t="s">
        <v>213</v>
      </c>
      <c r="B480" s="1" t="s">
        <v>14</v>
      </c>
      <c r="C480" s="7">
        <v>45528</v>
      </c>
      <c r="D480" s="1" t="s">
        <v>56</v>
      </c>
      <c r="E480" s="1" t="s">
        <v>95</v>
      </c>
      <c r="F480" s="1">
        <v>1082</v>
      </c>
      <c r="G480" s="1">
        <v>209</v>
      </c>
      <c r="H480" s="1">
        <v>484</v>
      </c>
      <c r="I480" s="1">
        <v>19476</v>
      </c>
      <c r="J480" s="1">
        <v>18654</v>
      </c>
      <c r="K480" s="1">
        <v>20</v>
      </c>
      <c r="L480" s="1" t="s">
        <v>360</v>
      </c>
      <c r="M480" s="1" t="s">
        <v>357</v>
      </c>
      <c r="N480" s="8" t="s">
        <v>359</v>
      </c>
    </row>
    <row r="481" spans="1:14" x14ac:dyDescent="0.3">
      <c r="A481" s="6" t="s">
        <v>213</v>
      </c>
      <c r="B481" s="1" t="s">
        <v>14</v>
      </c>
      <c r="C481" s="7">
        <v>45528</v>
      </c>
      <c r="D481" s="1" t="s">
        <v>56</v>
      </c>
      <c r="E481" s="1" t="s">
        <v>95</v>
      </c>
      <c r="F481" s="1">
        <v>1082</v>
      </c>
      <c r="G481" s="1">
        <v>209</v>
      </c>
      <c r="H481" s="1">
        <v>484</v>
      </c>
      <c r="I481" s="1">
        <v>19476</v>
      </c>
      <c r="J481" s="1">
        <v>18654</v>
      </c>
      <c r="K481" s="1">
        <v>20</v>
      </c>
      <c r="L481" s="1" t="s">
        <v>360</v>
      </c>
      <c r="M481" s="1" t="s">
        <v>358</v>
      </c>
      <c r="N481" s="8" t="s">
        <v>359</v>
      </c>
    </row>
    <row r="482" spans="1:14" x14ac:dyDescent="0.3">
      <c r="A482" s="6" t="s">
        <v>214</v>
      </c>
      <c r="B482" s="1" t="s">
        <v>14</v>
      </c>
      <c r="C482" s="7">
        <v>45707</v>
      </c>
      <c r="D482" s="1" t="s">
        <v>19</v>
      </c>
      <c r="E482" s="1" t="s">
        <v>20</v>
      </c>
      <c r="F482" s="1">
        <v>4671</v>
      </c>
      <c r="G482" s="1">
        <v>876</v>
      </c>
      <c r="H482" s="1">
        <v>366</v>
      </c>
      <c r="I482" s="1">
        <v>51381</v>
      </c>
      <c r="J482" s="1">
        <v>50565</v>
      </c>
      <c r="K482" s="1">
        <v>245</v>
      </c>
      <c r="L482" s="1" t="s">
        <v>32</v>
      </c>
      <c r="M482" s="1" t="s">
        <v>11</v>
      </c>
      <c r="N482" s="8" t="s">
        <v>25</v>
      </c>
    </row>
    <row r="483" spans="1:14" x14ac:dyDescent="0.3">
      <c r="A483" s="6" t="s">
        <v>214</v>
      </c>
      <c r="B483" s="1" t="s">
        <v>14</v>
      </c>
      <c r="C483" s="7">
        <v>45707</v>
      </c>
      <c r="D483" s="1" t="s">
        <v>19</v>
      </c>
      <c r="E483" s="1" t="s">
        <v>20</v>
      </c>
      <c r="F483" s="1">
        <v>4671</v>
      </c>
      <c r="G483" s="1">
        <v>876</v>
      </c>
      <c r="H483" s="1">
        <v>366</v>
      </c>
      <c r="I483" s="1">
        <v>51381</v>
      </c>
      <c r="J483" s="1">
        <v>50565</v>
      </c>
      <c r="K483" s="1">
        <v>245</v>
      </c>
      <c r="L483" s="1" t="s">
        <v>32</v>
      </c>
      <c r="M483" s="1" t="s">
        <v>357</v>
      </c>
      <c r="N483" s="8" t="s">
        <v>359</v>
      </c>
    </row>
    <row r="484" spans="1:14" x14ac:dyDescent="0.3">
      <c r="A484" s="6" t="s">
        <v>214</v>
      </c>
      <c r="B484" s="1" t="s">
        <v>14</v>
      </c>
      <c r="C484" s="7">
        <v>45707</v>
      </c>
      <c r="D484" s="1" t="s">
        <v>19</v>
      </c>
      <c r="E484" s="1" t="s">
        <v>20</v>
      </c>
      <c r="F484" s="1">
        <v>4671</v>
      </c>
      <c r="G484" s="1">
        <v>876</v>
      </c>
      <c r="H484" s="1">
        <v>366</v>
      </c>
      <c r="I484" s="1">
        <v>51381</v>
      </c>
      <c r="J484" s="1">
        <v>50565</v>
      </c>
      <c r="K484" s="1">
        <v>245</v>
      </c>
      <c r="L484" s="1" t="s">
        <v>32</v>
      </c>
      <c r="M484" s="1" t="s">
        <v>358</v>
      </c>
      <c r="N484" s="8" t="s">
        <v>359</v>
      </c>
    </row>
    <row r="485" spans="1:14" x14ac:dyDescent="0.3">
      <c r="A485" s="6" t="s">
        <v>215</v>
      </c>
      <c r="B485" s="1" t="s">
        <v>35</v>
      </c>
      <c r="C485" s="7">
        <v>45748</v>
      </c>
      <c r="D485" s="1" t="s">
        <v>29</v>
      </c>
      <c r="E485" s="1" t="s">
        <v>54</v>
      </c>
      <c r="F485" s="1">
        <v>3430</v>
      </c>
      <c r="G485" s="1">
        <v>566</v>
      </c>
      <c r="H485" s="1">
        <v>164</v>
      </c>
      <c r="I485" s="1">
        <v>48020</v>
      </c>
      <c r="J485" s="1">
        <v>47305</v>
      </c>
      <c r="K485" s="1">
        <v>120</v>
      </c>
      <c r="L485" s="1" t="s">
        <v>360</v>
      </c>
      <c r="M485" s="1" t="s">
        <v>11</v>
      </c>
      <c r="N485" s="8" t="s">
        <v>48</v>
      </c>
    </row>
    <row r="486" spans="1:14" x14ac:dyDescent="0.3">
      <c r="A486" s="6" t="s">
        <v>215</v>
      </c>
      <c r="B486" s="1" t="s">
        <v>35</v>
      </c>
      <c r="C486" s="7">
        <v>45748</v>
      </c>
      <c r="D486" s="1" t="s">
        <v>29</v>
      </c>
      <c r="E486" s="1" t="s">
        <v>54</v>
      </c>
      <c r="F486" s="1">
        <v>3430</v>
      </c>
      <c r="G486" s="1">
        <v>566</v>
      </c>
      <c r="H486" s="1">
        <v>164</v>
      </c>
      <c r="I486" s="1">
        <v>48020</v>
      </c>
      <c r="J486" s="1">
        <v>47305</v>
      </c>
      <c r="K486" s="1">
        <v>120</v>
      </c>
      <c r="L486" s="1" t="s">
        <v>360</v>
      </c>
      <c r="M486" s="1" t="s">
        <v>357</v>
      </c>
      <c r="N486" s="8" t="s">
        <v>359</v>
      </c>
    </row>
    <row r="487" spans="1:14" x14ac:dyDescent="0.3">
      <c r="A487" s="6" t="s">
        <v>215</v>
      </c>
      <c r="B487" s="1" t="s">
        <v>35</v>
      </c>
      <c r="C487" s="7">
        <v>45748</v>
      </c>
      <c r="D487" s="1" t="s">
        <v>29</v>
      </c>
      <c r="E487" s="1" t="s">
        <v>54</v>
      </c>
      <c r="F487" s="1">
        <v>3430</v>
      </c>
      <c r="G487" s="1">
        <v>566</v>
      </c>
      <c r="H487" s="1">
        <v>164</v>
      </c>
      <c r="I487" s="1">
        <v>48020</v>
      </c>
      <c r="J487" s="1">
        <v>47305</v>
      </c>
      <c r="K487" s="1">
        <v>120</v>
      </c>
      <c r="L487" s="1" t="s">
        <v>360</v>
      </c>
      <c r="M487" s="1" t="s">
        <v>358</v>
      </c>
      <c r="N487" s="8" t="s">
        <v>359</v>
      </c>
    </row>
    <row r="488" spans="1:14" x14ac:dyDescent="0.3">
      <c r="A488" s="6" t="s">
        <v>216</v>
      </c>
      <c r="B488" s="1" t="s">
        <v>28</v>
      </c>
      <c r="C488" s="7">
        <v>45755</v>
      </c>
      <c r="D488" s="1" t="s">
        <v>41</v>
      </c>
      <c r="E488" s="1" t="s">
        <v>134</v>
      </c>
      <c r="F488" s="1">
        <v>4501</v>
      </c>
      <c r="G488" s="1">
        <v>375</v>
      </c>
      <c r="H488" s="1">
        <v>323</v>
      </c>
      <c r="I488" s="1">
        <v>22505</v>
      </c>
      <c r="J488" s="1">
        <v>21836</v>
      </c>
      <c r="K488" s="1">
        <v>132</v>
      </c>
      <c r="L488" s="1" t="s">
        <v>21</v>
      </c>
      <c r="M488" s="1" t="s">
        <v>11</v>
      </c>
      <c r="N488" s="8" t="s">
        <v>25</v>
      </c>
    </row>
    <row r="489" spans="1:14" x14ac:dyDescent="0.3">
      <c r="A489" s="6" t="s">
        <v>216</v>
      </c>
      <c r="B489" s="1" t="s">
        <v>28</v>
      </c>
      <c r="C489" s="7">
        <v>45755</v>
      </c>
      <c r="D489" s="1" t="s">
        <v>41</v>
      </c>
      <c r="E489" s="1" t="s">
        <v>134</v>
      </c>
      <c r="F489" s="1">
        <v>4501</v>
      </c>
      <c r="G489" s="1">
        <v>375</v>
      </c>
      <c r="H489" s="1">
        <v>323</v>
      </c>
      <c r="I489" s="1">
        <v>22505</v>
      </c>
      <c r="J489" s="1">
        <v>21836</v>
      </c>
      <c r="K489" s="1">
        <v>132</v>
      </c>
      <c r="L489" s="1" t="s">
        <v>21</v>
      </c>
      <c r="M489" s="1" t="s">
        <v>357</v>
      </c>
      <c r="N489" s="8" t="s">
        <v>359</v>
      </c>
    </row>
    <row r="490" spans="1:14" x14ac:dyDescent="0.3">
      <c r="A490" s="6" t="s">
        <v>216</v>
      </c>
      <c r="B490" s="1" t="s">
        <v>28</v>
      </c>
      <c r="C490" s="7">
        <v>45755</v>
      </c>
      <c r="D490" s="1" t="s">
        <v>41</v>
      </c>
      <c r="E490" s="1" t="s">
        <v>134</v>
      </c>
      <c r="F490" s="1">
        <v>4501</v>
      </c>
      <c r="G490" s="1">
        <v>375</v>
      </c>
      <c r="H490" s="1">
        <v>323</v>
      </c>
      <c r="I490" s="1">
        <v>22505</v>
      </c>
      <c r="J490" s="1">
        <v>21836</v>
      </c>
      <c r="K490" s="1">
        <v>132</v>
      </c>
      <c r="L490" s="1" t="s">
        <v>21</v>
      </c>
      <c r="M490" s="1" t="s">
        <v>358</v>
      </c>
      <c r="N490" s="8" t="s">
        <v>359</v>
      </c>
    </row>
    <row r="491" spans="1:14" x14ac:dyDescent="0.3">
      <c r="A491" s="6" t="s">
        <v>217</v>
      </c>
      <c r="B491" s="1" t="s">
        <v>23</v>
      </c>
      <c r="C491" s="7">
        <v>45715</v>
      </c>
      <c r="D491" s="1" t="s">
        <v>19</v>
      </c>
      <c r="E491" s="1" t="s">
        <v>73</v>
      </c>
      <c r="F491" s="1">
        <v>4934</v>
      </c>
      <c r="G491" s="1">
        <v>971</v>
      </c>
      <c r="H491" s="1">
        <v>156</v>
      </c>
      <c r="I491" s="1">
        <v>39472</v>
      </c>
      <c r="J491" s="1">
        <v>39025</v>
      </c>
      <c r="K491" s="1">
        <v>169</v>
      </c>
      <c r="L491" s="1" t="s">
        <v>32</v>
      </c>
      <c r="M491" s="1" t="s">
        <v>11</v>
      </c>
      <c r="N491" s="8" t="s">
        <v>25</v>
      </c>
    </row>
    <row r="492" spans="1:14" x14ac:dyDescent="0.3">
      <c r="A492" s="6" t="s">
        <v>217</v>
      </c>
      <c r="B492" s="1" t="s">
        <v>23</v>
      </c>
      <c r="C492" s="7">
        <v>45715</v>
      </c>
      <c r="D492" s="1" t="s">
        <v>19</v>
      </c>
      <c r="E492" s="1" t="s">
        <v>73</v>
      </c>
      <c r="F492" s="1">
        <v>4934</v>
      </c>
      <c r="G492" s="1">
        <v>971</v>
      </c>
      <c r="H492" s="1">
        <v>156</v>
      </c>
      <c r="I492" s="1">
        <v>39472</v>
      </c>
      <c r="J492" s="1">
        <v>39025</v>
      </c>
      <c r="K492" s="1">
        <v>169</v>
      </c>
      <c r="L492" s="1" t="s">
        <v>32</v>
      </c>
      <c r="M492" s="1" t="s">
        <v>357</v>
      </c>
      <c r="N492" s="8" t="s">
        <v>354</v>
      </c>
    </row>
    <row r="493" spans="1:14" x14ac:dyDescent="0.3">
      <c r="A493" s="6" t="s">
        <v>217</v>
      </c>
      <c r="B493" s="1" t="s">
        <v>23</v>
      </c>
      <c r="C493" s="7">
        <v>45715</v>
      </c>
      <c r="D493" s="1" t="s">
        <v>19</v>
      </c>
      <c r="E493" s="1" t="s">
        <v>73</v>
      </c>
      <c r="F493" s="1">
        <v>4934</v>
      </c>
      <c r="G493" s="1">
        <v>971</v>
      </c>
      <c r="H493" s="1">
        <v>156</v>
      </c>
      <c r="I493" s="1">
        <v>39472</v>
      </c>
      <c r="J493" s="1">
        <v>39025</v>
      </c>
      <c r="K493" s="1">
        <v>169</v>
      </c>
      <c r="L493" s="1" t="s">
        <v>32</v>
      </c>
      <c r="M493" s="1" t="s">
        <v>358</v>
      </c>
      <c r="N493" s="8" t="s">
        <v>359</v>
      </c>
    </row>
    <row r="494" spans="1:14" x14ac:dyDescent="0.3">
      <c r="A494" s="6" t="s">
        <v>218</v>
      </c>
      <c r="B494" s="1" t="s">
        <v>14</v>
      </c>
      <c r="C494" s="7">
        <v>45637</v>
      </c>
      <c r="D494" s="1" t="s">
        <v>19</v>
      </c>
      <c r="E494" s="1" t="s">
        <v>20</v>
      </c>
      <c r="F494" s="1">
        <v>3239</v>
      </c>
      <c r="G494" s="1">
        <v>43</v>
      </c>
      <c r="H494" s="1">
        <v>211</v>
      </c>
      <c r="I494" s="1">
        <v>22673</v>
      </c>
      <c r="J494" s="1">
        <v>22171</v>
      </c>
      <c r="K494" s="1">
        <v>230</v>
      </c>
      <c r="L494" s="1" t="s">
        <v>21</v>
      </c>
      <c r="M494" s="1" t="s">
        <v>11</v>
      </c>
      <c r="N494" s="8" t="s">
        <v>25</v>
      </c>
    </row>
    <row r="495" spans="1:14" x14ac:dyDescent="0.3">
      <c r="A495" s="6" t="s">
        <v>218</v>
      </c>
      <c r="B495" s="1" t="s">
        <v>14</v>
      </c>
      <c r="C495" s="7">
        <v>45637</v>
      </c>
      <c r="D495" s="1" t="s">
        <v>19</v>
      </c>
      <c r="E495" s="1" t="s">
        <v>20</v>
      </c>
      <c r="F495" s="1">
        <v>3239</v>
      </c>
      <c r="G495" s="1">
        <v>43</v>
      </c>
      <c r="H495" s="1">
        <v>211</v>
      </c>
      <c r="I495" s="1">
        <v>22673</v>
      </c>
      <c r="J495" s="1">
        <v>22171</v>
      </c>
      <c r="K495" s="1">
        <v>230</v>
      </c>
      <c r="L495" s="1" t="s">
        <v>21</v>
      </c>
      <c r="M495" s="1" t="s">
        <v>357</v>
      </c>
      <c r="N495" s="8" t="s">
        <v>359</v>
      </c>
    </row>
    <row r="496" spans="1:14" x14ac:dyDescent="0.3">
      <c r="A496" s="6" t="s">
        <v>218</v>
      </c>
      <c r="B496" s="1" t="s">
        <v>14</v>
      </c>
      <c r="C496" s="7">
        <v>45637</v>
      </c>
      <c r="D496" s="1" t="s">
        <v>19</v>
      </c>
      <c r="E496" s="1" t="s">
        <v>20</v>
      </c>
      <c r="F496" s="1">
        <v>3239</v>
      </c>
      <c r="G496" s="1">
        <v>43</v>
      </c>
      <c r="H496" s="1">
        <v>211</v>
      </c>
      <c r="I496" s="1">
        <v>22673</v>
      </c>
      <c r="J496" s="1">
        <v>22171</v>
      </c>
      <c r="K496" s="1">
        <v>230</v>
      </c>
      <c r="L496" s="1" t="s">
        <v>21</v>
      </c>
      <c r="M496" s="1" t="s">
        <v>358</v>
      </c>
      <c r="N496" s="8" t="s">
        <v>359</v>
      </c>
    </row>
    <row r="497" spans="1:14" x14ac:dyDescent="0.3">
      <c r="A497" s="6" t="s">
        <v>219</v>
      </c>
      <c r="B497" s="1" t="s">
        <v>14</v>
      </c>
      <c r="C497" s="7">
        <v>45704</v>
      </c>
      <c r="D497" s="1" t="s">
        <v>15</v>
      </c>
      <c r="E497" s="1" t="s">
        <v>16</v>
      </c>
      <c r="F497" s="1">
        <v>1076</v>
      </c>
      <c r="G497" s="1">
        <v>313</v>
      </c>
      <c r="H497" s="1">
        <v>306</v>
      </c>
      <c r="I497" s="1">
        <v>11836</v>
      </c>
      <c r="J497" s="1">
        <v>11596</v>
      </c>
      <c r="K497" s="1">
        <v>104</v>
      </c>
      <c r="L497" s="1" t="s">
        <v>17</v>
      </c>
      <c r="M497" s="1" t="s">
        <v>11</v>
      </c>
      <c r="N497" s="8" t="s">
        <v>48</v>
      </c>
    </row>
    <row r="498" spans="1:14" x14ac:dyDescent="0.3">
      <c r="A498" s="6" t="s">
        <v>219</v>
      </c>
      <c r="B498" s="1" t="s">
        <v>14</v>
      </c>
      <c r="C498" s="7">
        <v>45704</v>
      </c>
      <c r="D498" s="1" t="s">
        <v>15</v>
      </c>
      <c r="E498" s="1" t="s">
        <v>16</v>
      </c>
      <c r="F498" s="1">
        <v>1076</v>
      </c>
      <c r="G498" s="1">
        <v>313</v>
      </c>
      <c r="H498" s="1">
        <v>306</v>
      </c>
      <c r="I498" s="1">
        <v>11836</v>
      </c>
      <c r="J498" s="1">
        <v>11596</v>
      </c>
      <c r="K498" s="1">
        <v>104</v>
      </c>
      <c r="L498" s="1" t="s">
        <v>17</v>
      </c>
      <c r="M498" s="1" t="s">
        <v>357</v>
      </c>
      <c r="N498" s="8" t="s">
        <v>359</v>
      </c>
    </row>
    <row r="499" spans="1:14" x14ac:dyDescent="0.3">
      <c r="A499" s="6" t="s">
        <v>219</v>
      </c>
      <c r="B499" s="1" t="s">
        <v>14</v>
      </c>
      <c r="C499" s="7">
        <v>45704</v>
      </c>
      <c r="D499" s="1" t="s">
        <v>15</v>
      </c>
      <c r="E499" s="1" t="s">
        <v>16</v>
      </c>
      <c r="F499" s="1">
        <v>1076</v>
      </c>
      <c r="G499" s="1">
        <v>313</v>
      </c>
      <c r="H499" s="1">
        <v>306</v>
      </c>
      <c r="I499" s="1">
        <v>11836</v>
      </c>
      <c r="J499" s="1">
        <v>11596</v>
      </c>
      <c r="K499" s="1">
        <v>104</v>
      </c>
      <c r="L499" s="1" t="s">
        <v>17</v>
      </c>
      <c r="M499" s="1" t="s">
        <v>358</v>
      </c>
      <c r="N499" s="8" t="s">
        <v>359</v>
      </c>
    </row>
    <row r="500" spans="1:14" x14ac:dyDescent="0.3">
      <c r="A500" s="6" t="s">
        <v>220</v>
      </c>
      <c r="B500" s="1" t="s">
        <v>28</v>
      </c>
      <c r="C500" s="7">
        <v>45624</v>
      </c>
      <c r="D500" s="1" t="s">
        <v>19</v>
      </c>
      <c r="E500" s="1" t="s">
        <v>78</v>
      </c>
      <c r="F500" s="1">
        <v>4771</v>
      </c>
      <c r="G500" s="1">
        <v>818</v>
      </c>
      <c r="H500" s="1">
        <v>56</v>
      </c>
      <c r="I500" s="1">
        <v>57252</v>
      </c>
      <c r="J500" s="1">
        <v>56378</v>
      </c>
      <c r="K500" s="1">
        <v>150</v>
      </c>
      <c r="L500" s="1" t="s">
        <v>360</v>
      </c>
      <c r="M500" s="1" t="s">
        <v>11</v>
      </c>
      <c r="N500" s="8" t="s">
        <v>48</v>
      </c>
    </row>
    <row r="501" spans="1:14" x14ac:dyDescent="0.3">
      <c r="A501" s="6" t="s">
        <v>220</v>
      </c>
      <c r="B501" s="1" t="s">
        <v>28</v>
      </c>
      <c r="C501" s="7">
        <v>45624</v>
      </c>
      <c r="D501" s="1" t="s">
        <v>19</v>
      </c>
      <c r="E501" s="1" t="s">
        <v>78</v>
      </c>
      <c r="F501" s="1">
        <v>4771</v>
      </c>
      <c r="G501" s="1">
        <v>818</v>
      </c>
      <c r="H501" s="1">
        <v>56</v>
      </c>
      <c r="I501" s="1">
        <v>57252</v>
      </c>
      <c r="J501" s="1">
        <v>56378</v>
      </c>
      <c r="K501" s="1">
        <v>150</v>
      </c>
      <c r="L501" s="1" t="s">
        <v>360</v>
      </c>
      <c r="M501" s="1" t="s">
        <v>357</v>
      </c>
      <c r="N501" s="8" t="s">
        <v>359</v>
      </c>
    </row>
    <row r="502" spans="1:14" x14ac:dyDescent="0.3">
      <c r="A502" s="6" t="s">
        <v>220</v>
      </c>
      <c r="B502" s="1" t="s">
        <v>28</v>
      </c>
      <c r="C502" s="7">
        <v>45624</v>
      </c>
      <c r="D502" s="1" t="s">
        <v>19</v>
      </c>
      <c r="E502" s="1" t="s">
        <v>78</v>
      </c>
      <c r="F502" s="1">
        <v>4771</v>
      </c>
      <c r="G502" s="1">
        <v>818</v>
      </c>
      <c r="H502" s="1">
        <v>56</v>
      </c>
      <c r="I502" s="1">
        <v>57252</v>
      </c>
      <c r="J502" s="1">
        <v>56378</v>
      </c>
      <c r="K502" s="1">
        <v>150</v>
      </c>
      <c r="L502" s="1" t="s">
        <v>360</v>
      </c>
      <c r="M502" s="1" t="s">
        <v>358</v>
      </c>
      <c r="N502" s="8" t="s">
        <v>359</v>
      </c>
    </row>
    <row r="503" spans="1:14" x14ac:dyDescent="0.3">
      <c r="A503" s="6" t="s">
        <v>221</v>
      </c>
      <c r="B503" s="1" t="s">
        <v>35</v>
      </c>
      <c r="C503" s="7">
        <v>45608</v>
      </c>
      <c r="D503" s="1" t="s">
        <v>19</v>
      </c>
      <c r="E503" s="1" t="s">
        <v>44</v>
      </c>
      <c r="F503" s="1">
        <v>2418</v>
      </c>
      <c r="G503" s="1">
        <v>754</v>
      </c>
      <c r="H503" s="1">
        <v>54</v>
      </c>
      <c r="I503" s="1">
        <v>43524</v>
      </c>
      <c r="J503" s="1">
        <v>42743</v>
      </c>
      <c r="K503" s="1">
        <v>182</v>
      </c>
      <c r="L503" s="1" t="s">
        <v>17</v>
      </c>
      <c r="M503" s="1" t="s">
        <v>11</v>
      </c>
      <c r="N503" s="8" t="s">
        <v>31</v>
      </c>
    </row>
    <row r="504" spans="1:14" x14ac:dyDescent="0.3">
      <c r="A504" s="6" t="s">
        <v>221</v>
      </c>
      <c r="B504" s="1" t="s">
        <v>35</v>
      </c>
      <c r="C504" s="7">
        <v>45608</v>
      </c>
      <c r="D504" s="1" t="s">
        <v>19</v>
      </c>
      <c r="E504" s="1" t="s">
        <v>44</v>
      </c>
      <c r="F504" s="1">
        <v>2418</v>
      </c>
      <c r="G504" s="1">
        <v>754</v>
      </c>
      <c r="H504" s="1">
        <v>54</v>
      </c>
      <c r="I504" s="1">
        <v>43524</v>
      </c>
      <c r="J504" s="1">
        <v>42743</v>
      </c>
      <c r="K504" s="1">
        <v>182</v>
      </c>
      <c r="L504" s="1" t="s">
        <v>17</v>
      </c>
      <c r="M504" s="1" t="s">
        <v>357</v>
      </c>
      <c r="N504" s="8" t="s">
        <v>359</v>
      </c>
    </row>
    <row r="505" spans="1:14" x14ac:dyDescent="0.3">
      <c r="A505" s="6" t="s">
        <v>221</v>
      </c>
      <c r="B505" s="1" t="s">
        <v>35</v>
      </c>
      <c r="C505" s="7">
        <v>45608</v>
      </c>
      <c r="D505" s="1" t="s">
        <v>19</v>
      </c>
      <c r="E505" s="1" t="s">
        <v>44</v>
      </c>
      <c r="F505" s="1">
        <v>2418</v>
      </c>
      <c r="G505" s="1">
        <v>754</v>
      </c>
      <c r="H505" s="1">
        <v>54</v>
      </c>
      <c r="I505" s="1">
        <v>43524</v>
      </c>
      <c r="J505" s="1">
        <v>42743</v>
      </c>
      <c r="K505" s="1">
        <v>182</v>
      </c>
      <c r="L505" s="1" t="s">
        <v>17</v>
      </c>
      <c r="M505" s="1" t="s">
        <v>358</v>
      </c>
      <c r="N505" s="8" t="s">
        <v>359</v>
      </c>
    </row>
    <row r="506" spans="1:14" x14ac:dyDescent="0.3">
      <c r="A506" s="6" t="s">
        <v>222</v>
      </c>
      <c r="B506" s="1" t="s">
        <v>23</v>
      </c>
      <c r="C506" s="7">
        <v>45629</v>
      </c>
      <c r="D506" s="1" t="s">
        <v>56</v>
      </c>
      <c r="E506" s="1" t="s">
        <v>136</v>
      </c>
      <c r="F506" s="1">
        <v>3809</v>
      </c>
      <c r="G506" s="1">
        <v>273</v>
      </c>
      <c r="H506" s="1">
        <v>200</v>
      </c>
      <c r="I506" s="1">
        <v>34281</v>
      </c>
      <c r="J506" s="1">
        <v>33534</v>
      </c>
      <c r="K506" s="1">
        <v>83</v>
      </c>
      <c r="L506" s="1" t="s">
        <v>17</v>
      </c>
      <c r="M506" s="1" t="s">
        <v>11</v>
      </c>
      <c r="N506" s="8" t="s">
        <v>31</v>
      </c>
    </row>
    <row r="507" spans="1:14" x14ac:dyDescent="0.3">
      <c r="A507" s="6" t="s">
        <v>222</v>
      </c>
      <c r="B507" s="1" t="s">
        <v>23</v>
      </c>
      <c r="C507" s="7">
        <v>45629</v>
      </c>
      <c r="D507" s="1" t="s">
        <v>56</v>
      </c>
      <c r="E507" s="1" t="s">
        <v>136</v>
      </c>
      <c r="F507" s="1">
        <v>3809</v>
      </c>
      <c r="G507" s="1">
        <v>273</v>
      </c>
      <c r="H507" s="1">
        <v>200</v>
      </c>
      <c r="I507" s="1">
        <v>34281</v>
      </c>
      <c r="J507" s="1">
        <v>33534</v>
      </c>
      <c r="K507" s="1">
        <v>83</v>
      </c>
      <c r="L507" s="1" t="s">
        <v>17</v>
      </c>
      <c r="M507" s="1" t="s">
        <v>357</v>
      </c>
      <c r="N507" s="8" t="s">
        <v>359</v>
      </c>
    </row>
    <row r="508" spans="1:14" x14ac:dyDescent="0.3">
      <c r="A508" s="6" t="s">
        <v>222</v>
      </c>
      <c r="B508" s="1" t="s">
        <v>23</v>
      </c>
      <c r="C508" s="7">
        <v>45629</v>
      </c>
      <c r="D508" s="1" t="s">
        <v>56</v>
      </c>
      <c r="E508" s="1" t="s">
        <v>136</v>
      </c>
      <c r="F508" s="1">
        <v>3809</v>
      </c>
      <c r="G508" s="1">
        <v>273</v>
      </c>
      <c r="H508" s="1">
        <v>200</v>
      </c>
      <c r="I508" s="1">
        <v>34281</v>
      </c>
      <c r="J508" s="1">
        <v>33534</v>
      </c>
      <c r="K508" s="1">
        <v>83</v>
      </c>
      <c r="L508" s="1" t="s">
        <v>17</v>
      </c>
      <c r="M508" s="1" t="s">
        <v>358</v>
      </c>
      <c r="N508" s="8" t="s">
        <v>359</v>
      </c>
    </row>
    <row r="509" spans="1:14" x14ac:dyDescent="0.3">
      <c r="A509" s="6" t="s">
        <v>223</v>
      </c>
      <c r="B509" s="1" t="s">
        <v>14</v>
      </c>
      <c r="C509" s="7">
        <v>45775</v>
      </c>
      <c r="D509" s="1" t="s">
        <v>19</v>
      </c>
      <c r="E509" s="1" t="s">
        <v>20</v>
      </c>
      <c r="F509" s="1">
        <v>3577</v>
      </c>
      <c r="G509" s="1">
        <v>596</v>
      </c>
      <c r="H509" s="1">
        <v>493</v>
      </c>
      <c r="I509" s="1">
        <v>67963</v>
      </c>
      <c r="J509" s="1">
        <v>67839</v>
      </c>
      <c r="K509" s="1">
        <v>53</v>
      </c>
      <c r="L509" s="1" t="s">
        <v>26</v>
      </c>
      <c r="M509" s="1" t="s">
        <v>11</v>
      </c>
      <c r="N509" s="8" t="s">
        <v>25</v>
      </c>
    </row>
    <row r="510" spans="1:14" x14ac:dyDescent="0.3">
      <c r="A510" s="6" t="s">
        <v>223</v>
      </c>
      <c r="B510" s="1" t="s">
        <v>14</v>
      </c>
      <c r="C510" s="7">
        <v>45775</v>
      </c>
      <c r="D510" s="1" t="s">
        <v>19</v>
      </c>
      <c r="E510" s="1" t="s">
        <v>20</v>
      </c>
      <c r="F510" s="1">
        <v>3577</v>
      </c>
      <c r="G510" s="1">
        <v>596</v>
      </c>
      <c r="H510" s="1">
        <v>493</v>
      </c>
      <c r="I510" s="1">
        <v>67963</v>
      </c>
      <c r="J510" s="1">
        <v>67839</v>
      </c>
      <c r="K510" s="1">
        <v>53</v>
      </c>
      <c r="L510" s="1" t="s">
        <v>26</v>
      </c>
      <c r="M510" s="1" t="s">
        <v>357</v>
      </c>
      <c r="N510" s="8" t="s">
        <v>359</v>
      </c>
    </row>
    <row r="511" spans="1:14" x14ac:dyDescent="0.3">
      <c r="A511" s="6" t="s">
        <v>223</v>
      </c>
      <c r="B511" s="1" t="s">
        <v>14</v>
      </c>
      <c r="C511" s="7">
        <v>45775</v>
      </c>
      <c r="D511" s="1" t="s">
        <v>19</v>
      </c>
      <c r="E511" s="1" t="s">
        <v>20</v>
      </c>
      <c r="F511" s="1">
        <v>3577</v>
      </c>
      <c r="G511" s="1">
        <v>596</v>
      </c>
      <c r="H511" s="1">
        <v>493</v>
      </c>
      <c r="I511" s="1">
        <v>67963</v>
      </c>
      <c r="J511" s="1">
        <v>67839</v>
      </c>
      <c r="K511" s="1">
        <v>53</v>
      </c>
      <c r="L511" s="1" t="s">
        <v>26</v>
      </c>
      <c r="M511" s="1" t="s">
        <v>358</v>
      </c>
      <c r="N511" s="8" t="s">
        <v>359</v>
      </c>
    </row>
    <row r="512" spans="1:14" x14ac:dyDescent="0.3">
      <c r="A512" s="6" t="s">
        <v>224</v>
      </c>
      <c r="B512" s="1" t="s">
        <v>23</v>
      </c>
      <c r="C512" s="7">
        <v>45657</v>
      </c>
      <c r="D512" s="1" t="s">
        <v>56</v>
      </c>
      <c r="E512" s="1" t="s">
        <v>136</v>
      </c>
      <c r="F512" s="1">
        <v>1018</v>
      </c>
      <c r="G512" s="1">
        <v>447</v>
      </c>
      <c r="H512" s="1">
        <v>332</v>
      </c>
      <c r="I512" s="1">
        <v>18324</v>
      </c>
      <c r="J512" s="1">
        <v>18164</v>
      </c>
      <c r="K512" s="1">
        <v>38</v>
      </c>
      <c r="L512" s="1" t="s">
        <v>21</v>
      </c>
      <c r="M512" s="1" t="s">
        <v>11</v>
      </c>
      <c r="N512" s="8" t="s">
        <v>48</v>
      </c>
    </row>
    <row r="513" spans="1:14" x14ac:dyDescent="0.3">
      <c r="A513" s="6" t="s">
        <v>224</v>
      </c>
      <c r="B513" s="1" t="s">
        <v>23</v>
      </c>
      <c r="C513" s="7">
        <v>45657</v>
      </c>
      <c r="D513" s="1" t="s">
        <v>56</v>
      </c>
      <c r="E513" s="1" t="s">
        <v>136</v>
      </c>
      <c r="F513" s="1">
        <v>1018</v>
      </c>
      <c r="G513" s="1">
        <v>447</v>
      </c>
      <c r="H513" s="1">
        <v>332</v>
      </c>
      <c r="I513" s="1">
        <v>18324</v>
      </c>
      <c r="J513" s="1">
        <v>18164</v>
      </c>
      <c r="K513" s="1">
        <v>38</v>
      </c>
      <c r="L513" s="1" t="s">
        <v>21</v>
      </c>
      <c r="M513" s="1" t="s">
        <v>357</v>
      </c>
      <c r="N513" s="8" t="s">
        <v>359</v>
      </c>
    </row>
    <row r="514" spans="1:14" x14ac:dyDescent="0.3">
      <c r="A514" s="6" t="s">
        <v>224</v>
      </c>
      <c r="B514" s="1" t="s">
        <v>23</v>
      </c>
      <c r="C514" s="7">
        <v>45657</v>
      </c>
      <c r="D514" s="1" t="s">
        <v>56</v>
      </c>
      <c r="E514" s="1" t="s">
        <v>136</v>
      </c>
      <c r="F514" s="1">
        <v>1018</v>
      </c>
      <c r="G514" s="1">
        <v>447</v>
      </c>
      <c r="H514" s="1">
        <v>332</v>
      </c>
      <c r="I514" s="1">
        <v>18324</v>
      </c>
      <c r="J514" s="1">
        <v>18164</v>
      </c>
      <c r="K514" s="1">
        <v>38</v>
      </c>
      <c r="L514" s="1" t="s">
        <v>21</v>
      </c>
      <c r="M514" s="1" t="s">
        <v>358</v>
      </c>
      <c r="N514" s="8" t="s">
        <v>359</v>
      </c>
    </row>
    <row r="515" spans="1:14" x14ac:dyDescent="0.3">
      <c r="A515" s="6" t="s">
        <v>225</v>
      </c>
      <c r="B515" s="1" t="s">
        <v>35</v>
      </c>
      <c r="C515" s="7">
        <v>45518</v>
      </c>
      <c r="D515" s="1" t="s">
        <v>36</v>
      </c>
      <c r="E515" s="1" t="s">
        <v>37</v>
      </c>
      <c r="F515" s="1">
        <v>3073</v>
      </c>
      <c r="G515" s="1">
        <v>553</v>
      </c>
      <c r="H515" s="1">
        <v>174</v>
      </c>
      <c r="I515" s="1">
        <v>52241</v>
      </c>
      <c r="J515" s="1">
        <v>51605</v>
      </c>
      <c r="K515" s="1">
        <v>246</v>
      </c>
      <c r="L515" s="1" t="s">
        <v>26</v>
      </c>
      <c r="M515" s="1" t="s">
        <v>11</v>
      </c>
      <c r="N515" s="8" t="s">
        <v>31</v>
      </c>
    </row>
    <row r="516" spans="1:14" x14ac:dyDescent="0.3">
      <c r="A516" s="6" t="s">
        <v>225</v>
      </c>
      <c r="B516" s="1" t="s">
        <v>35</v>
      </c>
      <c r="C516" s="7">
        <v>45518</v>
      </c>
      <c r="D516" s="1" t="s">
        <v>36</v>
      </c>
      <c r="E516" s="1" t="s">
        <v>37</v>
      </c>
      <c r="F516" s="1">
        <v>3073</v>
      </c>
      <c r="G516" s="1">
        <v>553</v>
      </c>
      <c r="H516" s="1">
        <v>174</v>
      </c>
      <c r="I516" s="1">
        <v>52241</v>
      </c>
      <c r="J516" s="1">
        <v>51605</v>
      </c>
      <c r="K516" s="1">
        <v>246</v>
      </c>
      <c r="L516" s="1" t="s">
        <v>26</v>
      </c>
      <c r="M516" s="1" t="s">
        <v>357</v>
      </c>
      <c r="N516" s="8" t="s">
        <v>359</v>
      </c>
    </row>
    <row r="517" spans="1:14" x14ac:dyDescent="0.3">
      <c r="A517" s="6" t="s">
        <v>225</v>
      </c>
      <c r="B517" s="1" t="s">
        <v>35</v>
      </c>
      <c r="C517" s="7">
        <v>45518</v>
      </c>
      <c r="D517" s="1" t="s">
        <v>36</v>
      </c>
      <c r="E517" s="1" t="s">
        <v>37</v>
      </c>
      <c r="F517" s="1">
        <v>3073</v>
      </c>
      <c r="G517" s="1">
        <v>553</v>
      </c>
      <c r="H517" s="1">
        <v>174</v>
      </c>
      <c r="I517" s="1">
        <v>52241</v>
      </c>
      <c r="J517" s="1">
        <v>51605</v>
      </c>
      <c r="K517" s="1">
        <v>246</v>
      </c>
      <c r="L517" s="1" t="s">
        <v>26</v>
      </c>
      <c r="M517" s="1" t="s">
        <v>358</v>
      </c>
      <c r="N517" s="8" t="s">
        <v>359</v>
      </c>
    </row>
    <row r="518" spans="1:14" x14ac:dyDescent="0.3">
      <c r="A518" s="6" t="s">
        <v>226</v>
      </c>
      <c r="B518" s="1" t="s">
        <v>14</v>
      </c>
      <c r="C518" s="7">
        <v>45631</v>
      </c>
      <c r="D518" s="1" t="s">
        <v>56</v>
      </c>
      <c r="E518" s="1" t="s">
        <v>95</v>
      </c>
      <c r="F518" s="1">
        <v>1330</v>
      </c>
      <c r="G518" s="1">
        <v>925</v>
      </c>
      <c r="H518" s="1">
        <v>35</v>
      </c>
      <c r="I518" s="1">
        <v>15960</v>
      </c>
      <c r="J518" s="1">
        <v>15379</v>
      </c>
      <c r="K518" s="1">
        <v>229</v>
      </c>
      <c r="L518" s="1" t="s">
        <v>26</v>
      </c>
      <c r="M518" s="1" t="s">
        <v>11</v>
      </c>
      <c r="N518" s="8" t="s">
        <v>48</v>
      </c>
    </row>
    <row r="519" spans="1:14" x14ac:dyDescent="0.3">
      <c r="A519" s="6" t="s">
        <v>226</v>
      </c>
      <c r="B519" s="1" t="s">
        <v>14</v>
      </c>
      <c r="C519" s="7">
        <v>45631</v>
      </c>
      <c r="D519" s="1" t="s">
        <v>56</v>
      </c>
      <c r="E519" s="1" t="s">
        <v>95</v>
      </c>
      <c r="F519" s="1">
        <v>1330</v>
      </c>
      <c r="G519" s="1">
        <v>925</v>
      </c>
      <c r="H519" s="1">
        <v>35</v>
      </c>
      <c r="I519" s="1">
        <v>15960</v>
      </c>
      <c r="J519" s="1">
        <v>15379</v>
      </c>
      <c r="K519" s="1">
        <v>229</v>
      </c>
      <c r="L519" s="1" t="s">
        <v>26</v>
      </c>
      <c r="M519" s="1" t="s">
        <v>357</v>
      </c>
      <c r="N519" s="8" t="s">
        <v>359</v>
      </c>
    </row>
    <row r="520" spans="1:14" x14ac:dyDescent="0.3">
      <c r="A520" s="6" t="s">
        <v>226</v>
      </c>
      <c r="B520" s="1" t="s">
        <v>14</v>
      </c>
      <c r="C520" s="7">
        <v>45631</v>
      </c>
      <c r="D520" s="1" t="s">
        <v>56</v>
      </c>
      <c r="E520" s="1" t="s">
        <v>95</v>
      </c>
      <c r="F520" s="1">
        <v>1330</v>
      </c>
      <c r="G520" s="1">
        <v>925</v>
      </c>
      <c r="H520" s="1">
        <v>35</v>
      </c>
      <c r="I520" s="1">
        <v>15960</v>
      </c>
      <c r="J520" s="1">
        <v>15379</v>
      </c>
      <c r="K520" s="1">
        <v>229</v>
      </c>
      <c r="L520" s="1" t="s">
        <v>26</v>
      </c>
      <c r="M520" s="1" t="s">
        <v>358</v>
      </c>
      <c r="N520" s="8" t="s">
        <v>359</v>
      </c>
    </row>
    <row r="521" spans="1:14" x14ac:dyDescent="0.3">
      <c r="A521" s="6" t="s">
        <v>227</v>
      </c>
      <c r="B521" s="1" t="s">
        <v>35</v>
      </c>
      <c r="C521" s="7">
        <v>45465</v>
      </c>
      <c r="D521" s="1" t="s">
        <v>19</v>
      </c>
      <c r="E521" s="1" t="s">
        <v>44</v>
      </c>
      <c r="F521" s="1">
        <v>3828</v>
      </c>
      <c r="G521" s="1">
        <v>148</v>
      </c>
      <c r="H521" s="1">
        <v>253</v>
      </c>
      <c r="I521" s="1">
        <v>30624</v>
      </c>
      <c r="J521" s="1">
        <v>30229</v>
      </c>
      <c r="K521" s="1">
        <v>235</v>
      </c>
      <c r="L521" s="1" t="s">
        <v>360</v>
      </c>
      <c r="M521" s="1" t="s">
        <v>11</v>
      </c>
      <c r="N521" s="8" t="s">
        <v>31</v>
      </c>
    </row>
    <row r="522" spans="1:14" x14ac:dyDescent="0.3">
      <c r="A522" s="6" t="s">
        <v>227</v>
      </c>
      <c r="B522" s="1" t="s">
        <v>35</v>
      </c>
      <c r="C522" s="7">
        <v>45465</v>
      </c>
      <c r="D522" s="1" t="s">
        <v>19</v>
      </c>
      <c r="E522" s="1" t="s">
        <v>44</v>
      </c>
      <c r="F522" s="1">
        <v>3828</v>
      </c>
      <c r="G522" s="1">
        <v>148</v>
      </c>
      <c r="H522" s="1">
        <v>253</v>
      </c>
      <c r="I522" s="1">
        <v>30624</v>
      </c>
      <c r="J522" s="1">
        <v>30229</v>
      </c>
      <c r="K522" s="1">
        <v>235</v>
      </c>
      <c r="L522" s="1" t="s">
        <v>360</v>
      </c>
      <c r="M522" s="1" t="s">
        <v>357</v>
      </c>
      <c r="N522" s="8" t="s">
        <v>359</v>
      </c>
    </row>
    <row r="523" spans="1:14" x14ac:dyDescent="0.3">
      <c r="A523" s="6" t="s">
        <v>227</v>
      </c>
      <c r="B523" s="1" t="s">
        <v>35</v>
      </c>
      <c r="C523" s="7">
        <v>45465</v>
      </c>
      <c r="D523" s="1" t="s">
        <v>19</v>
      </c>
      <c r="E523" s="1" t="s">
        <v>44</v>
      </c>
      <c r="F523" s="1">
        <v>3828</v>
      </c>
      <c r="G523" s="1">
        <v>148</v>
      </c>
      <c r="H523" s="1">
        <v>253</v>
      </c>
      <c r="I523" s="1">
        <v>30624</v>
      </c>
      <c r="J523" s="1">
        <v>30229</v>
      </c>
      <c r="K523" s="1">
        <v>235</v>
      </c>
      <c r="L523" s="1" t="s">
        <v>360</v>
      </c>
      <c r="M523" s="1" t="s">
        <v>358</v>
      </c>
      <c r="N523" s="8" t="s">
        <v>359</v>
      </c>
    </row>
    <row r="524" spans="1:14" x14ac:dyDescent="0.3">
      <c r="A524" s="6" t="s">
        <v>228</v>
      </c>
      <c r="B524" s="1" t="s">
        <v>28</v>
      </c>
      <c r="C524" s="7">
        <v>45674</v>
      </c>
      <c r="D524" s="1" t="s">
        <v>15</v>
      </c>
      <c r="E524" s="1" t="s">
        <v>61</v>
      </c>
      <c r="F524" s="1">
        <v>142</v>
      </c>
      <c r="G524" s="1">
        <v>784</v>
      </c>
      <c r="H524" s="1">
        <v>183</v>
      </c>
      <c r="I524" s="1">
        <v>1704</v>
      </c>
      <c r="J524" s="1">
        <v>995</v>
      </c>
      <c r="K524" s="1">
        <v>154</v>
      </c>
      <c r="L524" s="1" t="s">
        <v>32</v>
      </c>
      <c r="M524" s="1" t="s">
        <v>11</v>
      </c>
      <c r="N524" s="8" t="s">
        <v>48</v>
      </c>
    </row>
    <row r="525" spans="1:14" x14ac:dyDescent="0.3">
      <c r="A525" s="6" t="s">
        <v>228</v>
      </c>
      <c r="B525" s="1" t="s">
        <v>28</v>
      </c>
      <c r="C525" s="7">
        <v>45674</v>
      </c>
      <c r="D525" s="1" t="s">
        <v>15</v>
      </c>
      <c r="E525" s="1" t="s">
        <v>61</v>
      </c>
      <c r="F525" s="1">
        <v>142</v>
      </c>
      <c r="G525" s="1">
        <v>784</v>
      </c>
      <c r="H525" s="1">
        <v>183</v>
      </c>
      <c r="I525" s="1">
        <v>1704</v>
      </c>
      <c r="J525" s="1">
        <v>995</v>
      </c>
      <c r="K525" s="1">
        <v>154</v>
      </c>
      <c r="L525" s="1" t="s">
        <v>32</v>
      </c>
      <c r="M525" s="1" t="s">
        <v>357</v>
      </c>
      <c r="N525" s="8" t="s">
        <v>359</v>
      </c>
    </row>
    <row r="526" spans="1:14" x14ac:dyDescent="0.3">
      <c r="A526" s="6" t="s">
        <v>228</v>
      </c>
      <c r="B526" s="1" t="s">
        <v>28</v>
      </c>
      <c r="C526" s="7">
        <v>45674</v>
      </c>
      <c r="D526" s="1" t="s">
        <v>15</v>
      </c>
      <c r="E526" s="1" t="s">
        <v>61</v>
      </c>
      <c r="F526" s="1">
        <v>142</v>
      </c>
      <c r="G526" s="1">
        <v>784</v>
      </c>
      <c r="H526" s="1">
        <v>183</v>
      </c>
      <c r="I526" s="1">
        <v>1704</v>
      </c>
      <c r="J526" s="1">
        <v>995</v>
      </c>
      <c r="K526" s="1">
        <v>154</v>
      </c>
      <c r="L526" s="1" t="s">
        <v>32</v>
      </c>
      <c r="M526" s="1" t="s">
        <v>358</v>
      </c>
      <c r="N526" s="8" t="s">
        <v>359</v>
      </c>
    </row>
    <row r="527" spans="1:14" x14ac:dyDescent="0.3">
      <c r="A527" s="6" t="s">
        <v>229</v>
      </c>
      <c r="B527" s="1" t="s">
        <v>35</v>
      </c>
      <c r="C527" s="7">
        <v>45463</v>
      </c>
      <c r="D527" s="1" t="s">
        <v>56</v>
      </c>
      <c r="E527" s="1" t="s">
        <v>57</v>
      </c>
      <c r="F527" s="1">
        <v>3798</v>
      </c>
      <c r="G527" s="1">
        <v>31</v>
      </c>
      <c r="H527" s="1">
        <v>279</v>
      </c>
      <c r="I527" s="1">
        <v>75960</v>
      </c>
      <c r="J527" s="1">
        <v>75813</v>
      </c>
      <c r="K527" s="1">
        <v>266</v>
      </c>
      <c r="L527" s="1" t="s">
        <v>17</v>
      </c>
      <c r="M527" s="1" t="s">
        <v>11</v>
      </c>
      <c r="N527" s="8" t="s">
        <v>25</v>
      </c>
    </row>
    <row r="528" spans="1:14" x14ac:dyDescent="0.3">
      <c r="A528" s="6" t="s">
        <v>229</v>
      </c>
      <c r="B528" s="1" t="s">
        <v>35</v>
      </c>
      <c r="C528" s="7">
        <v>45463</v>
      </c>
      <c r="D528" s="1" t="s">
        <v>56</v>
      </c>
      <c r="E528" s="1" t="s">
        <v>57</v>
      </c>
      <c r="F528" s="1">
        <v>3798</v>
      </c>
      <c r="G528" s="1">
        <v>31</v>
      </c>
      <c r="H528" s="1">
        <v>279</v>
      </c>
      <c r="I528" s="1">
        <v>75960</v>
      </c>
      <c r="J528" s="1">
        <v>75813</v>
      </c>
      <c r="K528" s="1">
        <v>266</v>
      </c>
      <c r="L528" s="1" t="s">
        <v>17</v>
      </c>
      <c r="M528" s="1" t="s">
        <v>357</v>
      </c>
      <c r="N528" s="8" t="s">
        <v>359</v>
      </c>
    </row>
    <row r="529" spans="1:14" x14ac:dyDescent="0.3">
      <c r="A529" s="6" t="s">
        <v>229</v>
      </c>
      <c r="B529" s="1" t="s">
        <v>35</v>
      </c>
      <c r="C529" s="7">
        <v>45463</v>
      </c>
      <c r="D529" s="1" t="s">
        <v>56</v>
      </c>
      <c r="E529" s="1" t="s">
        <v>57</v>
      </c>
      <c r="F529" s="1">
        <v>3798</v>
      </c>
      <c r="G529" s="1">
        <v>31</v>
      </c>
      <c r="H529" s="1">
        <v>279</v>
      </c>
      <c r="I529" s="1">
        <v>75960</v>
      </c>
      <c r="J529" s="1">
        <v>75813</v>
      </c>
      <c r="K529" s="1">
        <v>266</v>
      </c>
      <c r="L529" s="1" t="s">
        <v>17</v>
      </c>
      <c r="M529" s="1" t="s">
        <v>358</v>
      </c>
      <c r="N529" s="8" t="s">
        <v>359</v>
      </c>
    </row>
    <row r="530" spans="1:14" x14ac:dyDescent="0.3">
      <c r="A530" s="6" t="s">
        <v>230</v>
      </c>
      <c r="B530" s="1" t="s">
        <v>28</v>
      </c>
      <c r="C530" s="7">
        <v>45483</v>
      </c>
      <c r="D530" s="1" t="s">
        <v>36</v>
      </c>
      <c r="E530" s="1" t="s">
        <v>65</v>
      </c>
      <c r="F530" s="1">
        <v>3099</v>
      </c>
      <c r="G530" s="1">
        <v>694</v>
      </c>
      <c r="H530" s="1">
        <v>171</v>
      </c>
      <c r="I530" s="1">
        <v>43386</v>
      </c>
      <c r="J530" s="1">
        <v>42921</v>
      </c>
      <c r="K530" s="1">
        <v>52</v>
      </c>
      <c r="L530" s="1" t="s">
        <v>26</v>
      </c>
      <c r="M530" s="1" t="s">
        <v>11</v>
      </c>
      <c r="N530" s="8" t="s">
        <v>25</v>
      </c>
    </row>
    <row r="531" spans="1:14" x14ac:dyDescent="0.3">
      <c r="A531" s="6" t="s">
        <v>230</v>
      </c>
      <c r="B531" s="1" t="s">
        <v>28</v>
      </c>
      <c r="C531" s="7">
        <v>45483</v>
      </c>
      <c r="D531" s="1" t="s">
        <v>36</v>
      </c>
      <c r="E531" s="1" t="s">
        <v>65</v>
      </c>
      <c r="F531" s="1">
        <v>3099</v>
      </c>
      <c r="G531" s="1">
        <v>694</v>
      </c>
      <c r="H531" s="1">
        <v>171</v>
      </c>
      <c r="I531" s="1">
        <v>43386</v>
      </c>
      <c r="J531" s="1">
        <v>42921</v>
      </c>
      <c r="K531" s="1">
        <v>52</v>
      </c>
      <c r="L531" s="1" t="s">
        <v>26</v>
      </c>
      <c r="M531" s="1" t="s">
        <v>357</v>
      </c>
      <c r="N531" s="8" t="s">
        <v>359</v>
      </c>
    </row>
    <row r="532" spans="1:14" x14ac:dyDescent="0.3">
      <c r="A532" s="6" t="s">
        <v>230</v>
      </c>
      <c r="B532" s="1" t="s">
        <v>28</v>
      </c>
      <c r="C532" s="7">
        <v>45483</v>
      </c>
      <c r="D532" s="1" t="s">
        <v>36</v>
      </c>
      <c r="E532" s="1" t="s">
        <v>65</v>
      </c>
      <c r="F532" s="1">
        <v>3099</v>
      </c>
      <c r="G532" s="1">
        <v>694</v>
      </c>
      <c r="H532" s="1">
        <v>171</v>
      </c>
      <c r="I532" s="1">
        <v>43386</v>
      </c>
      <c r="J532" s="1">
        <v>42921</v>
      </c>
      <c r="K532" s="1">
        <v>52</v>
      </c>
      <c r="L532" s="1" t="s">
        <v>26</v>
      </c>
      <c r="M532" s="1" t="s">
        <v>358</v>
      </c>
      <c r="N532" s="8" t="s">
        <v>359</v>
      </c>
    </row>
    <row r="533" spans="1:14" x14ac:dyDescent="0.3">
      <c r="A533" s="6" t="s">
        <v>231</v>
      </c>
      <c r="B533" s="1" t="s">
        <v>28</v>
      </c>
      <c r="C533" s="7">
        <v>45603</v>
      </c>
      <c r="D533" s="1" t="s">
        <v>56</v>
      </c>
      <c r="E533" s="1" t="s">
        <v>63</v>
      </c>
      <c r="F533" s="1">
        <v>129</v>
      </c>
      <c r="G533" s="1">
        <v>643</v>
      </c>
      <c r="H533" s="1">
        <v>136</v>
      </c>
      <c r="I533" s="1">
        <v>1290</v>
      </c>
      <c r="J533" s="1">
        <v>839</v>
      </c>
      <c r="K533" s="1">
        <v>238</v>
      </c>
      <c r="L533" s="1" t="s">
        <v>32</v>
      </c>
      <c r="M533" s="1" t="s">
        <v>11</v>
      </c>
      <c r="N533" s="8" t="s">
        <v>25</v>
      </c>
    </row>
    <row r="534" spans="1:14" x14ac:dyDescent="0.3">
      <c r="A534" s="6" t="s">
        <v>231</v>
      </c>
      <c r="B534" s="1" t="s">
        <v>28</v>
      </c>
      <c r="C534" s="7">
        <v>45603</v>
      </c>
      <c r="D534" s="1" t="s">
        <v>56</v>
      </c>
      <c r="E534" s="1" t="s">
        <v>63</v>
      </c>
      <c r="F534" s="1">
        <v>129</v>
      </c>
      <c r="G534" s="1">
        <v>643</v>
      </c>
      <c r="H534" s="1">
        <v>136</v>
      </c>
      <c r="I534" s="1">
        <v>1290</v>
      </c>
      <c r="J534" s="1">
        <v>839</v>
      </c>
      <c r="K534" s="1">
        <v>238</v>
      </c>
      <c r="L534" s="1" t="s">
        <v>32</v>
      </c>
      <c r="M534" s="1" t="s">
        <v>357</v>
      </c>
      <c r="N534" s="8" t="s">
        <v>359</v>
      </c>
    </row>
    <row r="535" spans="1:14" x14ac:dyDescent="0.3">
      <c r="A535" s="6" t="s">
        <v>231</v>
      </c>
      <c r="B535" s="1" t="s">
        <v>28</v>
      </c>
      <c r="C535" s="7">
        <v>45603</v>
      </c>
      <c r="D535" s="1" t="s">
        <v>56</v>
      </c>
      <c r="E535" s="1" t="s">
        <v>63</v>
      </c>
      <c r="F535" s="1">
        <v>129</v>
      </c>
      <c r="G535" s="1">
        <v>643</v>
      </c>
      <c r="H535" s="1">
        <v>136</v>
      </c>
      <c r="I535" s="1">
        <v>1290</v>
      </c>
      <c r="J535" s="1">
        <v>839</v>
      </c>
      <c r="K535" s="1">
        <v>238</v>
      </c>
      <c r="L535" s="1" t="s">
        <v>32</v>
      </c>
      <c r="M535" s="1" t="s">
        <v>358</v>
      </c>
      <c r="N535" s="8" t="s">
        <v>359</v>
      </c>
    </row>
    <row r="536" spans="1:14" x14ac:dyDescent="0.3">
      <c r="A536" s="6" t="s">
        <v>232</v>
      </c>
      <c r="B536" s="1" t="s">
        <v>35</v>
      </c>
      <c r="C536" s="7">
        <v>45488</v>
      </c>
      <c r="D536" s="1" t="s">
        <v>36</v>
      </c>
      <c r="E536" s="1" t="s">
        <v>37</v>
      </c>
      <c r="F536" s="1">
        <v>3796</v>
      </c>
      <c r="G536" s="1">
        <v>667</v>
      </c>
      <c r="H536" s="1">
        <v>395</v>
      </c>
      <c r="I536" s="1">
        <v>64532</v>
      </c>
      <c r="J536" s="1">
        <v>63550</v>
      </c>
      <c r="K536" s="1">
        <v>292</v>
      </c>
      <c r="L536" s="1" t="s">
        <v>360</v>
      </c>
      <c r="M536" s="1" t="s">
        <v>11</v>
      </c>
      <c r="N536" s="8" t="s">
        <v>25</v>
      </c>
    </row>
    <row r="537" spans="1:14" x14ac:dyDescent="0.3">
      <c r="A537" s="6" t="s">
        <v>232</v>
      </c>
      <c r="B537" s="1" t="s">
        <v>35</v>
      </c>
      <c r="C537" s="7">
        <v>45488</v>
      </c>
      <c r="D537" s="1" t="s">
        <v>36</v>
      </c>
      <c r="E537" s="1" t="s">
        <v>37</v>
      </c>
      <c r="F537" s="1">
        <v>3796</v>
      </c>
      <c r="G537" s="1">
        <v>667</v>
      </c>
      <c r="H537" s="1">
        <v>395</v>
      </c>
      <c r="I537" s="1">
        <v>64532</v>
      </c>
      <c r="J537" s="1">
        <v>63550</v>
      </c>
      <c r="K537" s="1">
        <v>292</v>
      </c>
      <c r="L537" s="1" t="s">
        <v>360</v>
      </c>
      <c r="M537" s="1" t="s">
        <v>357</v>
      </c>
      <c r="N537" s="8" t="s">
        <v>359</v>
      </c>
    </row>
    <row r="538" spans="1:14" x14ac:dyDescent="0.3">
      <c r="A538" s="6" t="s">
        <v>232</v>
      </c>
      <c r="B538" s="1" t="s">
        <v>35</v>
      </c>
      <c r="C538" s="7">
        <v>45488</v>
      </c>
      <c r="D538" s="1" t="s">
        <v>36</v>
      </c>
      <c r="E538" s="1" t="s">
        <v>37</v>
      </c>
      <c r="F538" s="1">
        <v>3796</v>
      </c>
      <c r="G538" s="1">
        <v>667</v>
      </c>
      <c r="H538" s="1">
        <v>395</v>
      </c>
      <c r="I538" s="1">
        <v>64532</v>
      </c>
      <c r="J538" s="1">
        <v>63550</v>
      </c>
      <c r="K538" s="1">
        <v>292</v>
      </c>
      <c r="L538" s="1" t="s">
        <v>360</v>
      </c>
      <c r="M538" s="1" t="s">
        <v>358</v>
      </c>
      <c r="N538" s="8" t="s">
        <v>359</v>
      </c>
    </row>
    <row r="539" spans="1:14" x14ac:dyDescent="0.3">
      <c r="A539" s="6" t="s">
        <v>233</v>
      </c>
      <c r="B539" s="1" t="s">
        <v>23</v>
      </c>
      <c r="C539" s="7">
        <v>45629</v>
      </c>
      <c r="D539" s="1" t="s">
        <v>19</v>
      </c>
      <c r="E539" s="1" t="s">
        <v>73</v>
      </c>
      <c r="F539" s="1">
        <v>3711</v>
      </c>
      <c r="G539" s="1">
        <v>352</v>
      </c>
      <c r="H539" s="1">
        <v>290</v>
      </c>
      <c r="I539" s="1">
        <v>48243</v>
      </c>
      <c r="J539" s="1">
        <v>47579</v>
      </c>
      <c r="K539" s="1">
        <v>11</v>
      </c>
      <c r="L539" s="1" t="s">
        <v>17</v>
      </c>
      <c r="M539" s="1" t="s">
        <v>11</v>
      </c>
      <c r="N539" s="8" t="s">
        <v>25</v>
      </c>
    </row>
    <row r="540" spans="1:14" x14ac:dyDescent="0.3">
      <c r="A540" s="6" t="s">
        <v>233</v>
      </c>
      <c r="B540" s="1" t="s">
        <v>23</v>
      </c>
      <c r="C540" s="7">
        <v>45629</v>
      </c>
      <c r="D540" s="1" t="s">
        <v>19</v>
      </c>
      <c r="E540" s="1" t="s">
        <v>73</v>
      </c>
      <c r="F540" s="1">
        <v>3711</v>
      </c>
      <c r="G540" s="1">
        <v>352</v>
      </c>
      <c r="H540" s="1">
        <v>290</v>
      </c>
      <c r="I540" s="1">
        <v>48243</v>
      </c>
      <c r="J540" s="1">
        <v>47579</v>
      </c>
      <c r="K540" s="1">
        <v>11</v>
      </c>
      <c r="L540" s="1" t="s">
        <v>17</v>
      </c>
      <c r="M540" s="1" t="s">
        <v>357</v>
      </c>
      <c r="N540" s="8" t="s">
        <v>359</v>
      </c>
    </row>
    <row r="541" spans="1:14" x14ac:dyDescent="0.3">
      <c r="A541" s="6" t="s">
        <v>233</v>
      </c>
      <c r="B541" s="1" t="s">
        <v>23</v>
      </c>
      <c r="C541" s="7">
        <v>45629</v>
      </c>
      <c r="D541" s="1" t="s">
        <v>19</v>
      </c>
      <c r="E541" s="1" t="s">
        <v>73</v>
      </c>
      <c r="F541" s="1">
        <v>3711</v>
      </c>
      <c r="G541" s="1">
        <v>352</v>
      </c>
      <c r="H541" s="1">
        <v>290</v>
      </c>
      <c r="I541" s="1">
        <v>48243</v>
      </c>
      <c r="J541" s="1">
        <v>47579</v>
      </c>
      <c r="K541" s="1">
        <v>11</v>
      </c>
      <c r="L541" s="1" t="s">
        <v>17</v>
      </c>
      <c r="M541" s="1" t="s">
        <v>358</v>
      </c>
      <c r="N541" s="8" t="s">
        <v>359</v>
      </c>
    </row>
    <row r="542" spans="1:14" x14ac:dyDescent="0.3">
      <c r="A542" s="6" t="s">
        <v>234</v>
      </c>
      <c r="B542" s="1" t="s">
        <v>23</v>
      </c>
      <c r="C542" s="7">
        <v>45737</v>
      </c>
      <c r="D542" s="1" t="s">
        <v>41</v>
      </c>
      <c r="E542" s="1" t="s">
        <v>42</v>
      </c>
      <c r="F542" s="1">
        <v>606</v>
      </c>
      <c r="G542" s="1">
        <v>789</v>
      </c>
      <c r="H542" s="1">
        <v>470</v>
      </c>
      <c r="I542" s="1">
        <v>7878</v>
      </c>
      <c r="J542" s="1">
        <v>7389</v>
      </c>
      <c r="K542" s="1">
        <v>239</v>
      </c>
      <c r="L542" s="1" t="s">
        <v>26</v>
      </c>
      <c r="M542" s="1" t="s">
        <v>11</v>
      </c>
      <c r="N542" s="8" t="s">
        <v>31</v>
      </c>
    </row>
    <row r="543" spans="1:14" x14ac:dyDescent="0.3">
      <c r="A543" s="6" t="s">
        <v>234</v>
      </c>
      <c r="B543" s="1" t="s">
        <v>23</v>
      </c>
      <c r="C543" s="7">
        <v>45737</v>
      </c>
      <c r="D543" s="1" t="s">
        <v>41</v>
      </c>
      <c r="E543" s="1" t="s">
        <v>42</v>
      </c>
      <c r="F543" s="1">
        <v>606</v>
      </c>
      <c r="G543" s="1">
        <v>789</v>
      </c>
      <c r="H543" s="1">
        <v>470</v>
      </c>
      <c r="I543" s="1">
        <v>7878</v>
      </c>
      <c r="J543" s="1">
        <v>7389</v>
      </c>
      <c r="K543" s="1">
        <v>239</v>
      </c>
      <c r="L543" s="1" t="s">
        <v>26</v>
      </c>
      <c r="M543" s="1" t="s">
        <v>357</v>
      </c>
      <c r="N543" s="8" t="s">
        <v>359</v>
      </c>
    </row>
    <row r="544" spans="1:14" x14ac:dyDescent="0.3">
      <c r="A544" s="6" t="s">
        <v>234</v>
      </c>
      <c r="B544" s="1" t="s">
        <v>23</v>
      </c>
      <c r="C544" s="7">
        <v>45737</v>
      </c>
      <c r="D544" s="1" t="s">
        <v>41</v>
      </c>
      <c r="E544" s="1" t="s">
        <v>42</v>
      </c>
      <c r="F544" s="1">
        <v>606</v>
      </c>
      <c r="G544" s="1">
        <v>789</v>
      </c>
      <c r="H544" s="1">
        <v>470</v>
      </c>
      <c r="I544" s="1">
        <v>7878</v>
      </c>
      <c r="J544" s="1">
        <v>7389</v>
      </c>
      <c r="K544" s="1">
        <v>239</v>
      </c>
      <c r="L544" s="1" t="s">
        <v>26</v>
      </c>
      <c r="M544" s="1" t="s">
        <v>358</v>
      </c>
      <c r="N544" s="8" t="s">
        <v>359</v>
      </c>
    </row>
    <row r="545" spans="1:14" x14ac:dyDescent="0.3">
      <c r="A545" s="6" t="s">
        <v>235</v>
      </c>
      <c r="B545" s="1" t="s">
        <v>35</v>
      </c>
      <c r="C545" s="7">
        <v>45504</v>
      </c>
      <c r="D545" s="1" t="s">
        <v>41</v>
      </c>
      <c r="E545" s="1" t="s">
        <v>46</v>
      </c>
      <c r="F545" s="1">
        <v>4689</v>
      </c>
      <c r="G545" s="1">
        <v>134</v>
      </c>
      <c r="H545" s="1">
        <v>403</v>
      </c>
      <c r="I545" s="1">
        <v>51579</v>
      </c>
      <c r="J545" s="1">
        <v>50924</v>
      </c>
      <c r="K545" s="1">
        <v>173</v>
      </c>
      <c r="L545" s="1" t="s">
        <v>32</v>
      </c>
      <c r="M545" s="1" t="s">
        <v>11</v>
      </c>
      <c r="N545" s="8" t="s">
        <v>25</v>
      </c>
    </row>
    <row r="546" spans="1:14" x14ac:dyDescent="0.3">
      <c r="A546" s="6" t="s">
        <v>235</v>
      </c>
      <c r="B546" s="1" t="s">
        <v>35</v>
      </c>
      <c r="C546" s="7">
        <v>45504</v>
      </c>
      <c r="D546" s="1" t="s">
        <v>41</v>
      </c>
      <c r="E546" s="1" t="s">
        <v>46</v>
      </c>
      <c r="F546" s="1">
        <v>4689</v>
      </c>
      <c r="G546" s="1">
        <v>134</v>
      </c>
      <c r="H546" s="1">
        <v>403</v>
      </c>
      <c r="I546" s="1">
        <v>51579</v>
      </c>
      <c r="J546" s="1">
        <v>50924</v>
      </c>
      <c r="K546" s="1">
        <v>173</v>
      </c>
      <c r="L546" s="1" t="s">
        <v>32</v>
      </c>
      <c r="M546" s="1" t="s">
        <v>357</v>
      </c>
      <c r="N546" s="8" t="s">
        <v>359</v>
      </c>
    </row>
    <row r="547" spans="1:14" x14ac:dyDescent="0.3">
      <c r="A547" s="6" t="s">
        <v>235</v>
      </c>
      <c r="B547" s="1" t="s">
        <v>35</v>
      </c>
      <c r="C547" s="7">
        <v>45504</v>
      </c>
      <c r="D547" s="1" t="s">
        <v>41</v>
      </c>
      <c r="E547" s="1" t="s">
        <v>46</v>
      </c>
      <c r="F547" s="1">
        <v>4689</v>
      </c>
      <c r="G547" s="1">
        <v>134</v>
      </c>
      <c r="H547" s="1">
        <v>403</v>
      </c>
      <c r="I547" s="1">
        <v>51579</v>
      </c>
      <c r="J547" s="1">
        <v>50924</v>
      </c>
      <c r="K547" s="1">
        <v>173</v>
      </c>
      <c r="L547" s="1" t="s">
        <v>32</v>
      </c>
      <c r="M547" s="1" t="s">
        <v>358</v>
      </c>
      <c r="N547" s="8" t="s">
        <v>359</v>
      </c>
    </row>
    <row r="548" spans="1:14" x14ac:dyDescent="0.3">
      <c r="A548" s="6" t="s">
        <v>236</v>
      </c>
      <c r="B548" s="1" t="s">
        <v>28</v>
      </c>
      <c r="C548" s="7">
        <v>45643</v>
      </c>
      <c r="D548" s="1" t="s">
        <v>29</v>
      </c>
      <c r="E548" s="1" t="s">
        <v>30</v>
      </c>
      <c r="F548" s="1">
        <v>360</v>
      </c>
      <c r="G548" s="1">
        <v>590</v>
      </c>
      <c r="H548" s="1">
        <v>393</v>
      </c>
      <c r="I548" s="1">
        <v>4680</v>
      </c>
      <c r="J548" s="1">
        <v>4322</v>
      </c>
      <c r="K548" s="1">
        <v>208</v>
      </c>
      <c r="L548" s="1" t="s">
        <v>21</v>
      </c>
      <c r="M548" s="1" t="s">
        <v>11</v>
      </c>
      <c r="N548" s="8" t="s">
        <v>48</v>
      </c>
    </row>
    <row r="549" spans="1:14" x14ac:dyDescent="0.3">
      <c r="A549" s="6" t="s">
        <v>236</v>
      </c>
      <c r="B549" s="1" t="s">
        <v>28</v>
      </c>
      <c r="C549" s="7">
        <v>45643</v>
      </c>
      <c r="D549" s="1" t="s">
        <v>29</v>
      </c>
      <c r="E549" s="1" t="s">
        <v>30</v>
      </c>
      <c r="F549" s="1">
        <v>360</v>
      </c>
      <c r="G549" s="1">
        <v>590</v>
      </c>
      <c r="H549" s="1">
        <v>393</v>
      </c>
      <c r="I549" s="1">
        <v>4680</v>
      </c>
      <c r="J549" s="1">
        <v>4322</v>
      </c>
      <c r="K549" s="1">
        <v>208</v>
      </c>
      <c r="L549" s="1" t="s">
        <v>21</v>
      </c>
      <c r="M549" s="1" t="s">
        <v>357</v>
      </c>
      <c r="N549" s="8" t="s">
        <v>359</v>
      </c>
    </row>
    <row r="550" spans="1:14" x14ac:dyDescent="0.3">
      <c r="A550" s="6" t="s">
        <v>236</v>
      </c>
      <c r="B550" s="1" t="s">
        <v>28</v>
      </c>
      <c r="C550" s="7">
        <v>45643</v>
      </c>
      <c r="D550" s="1" t="s">
        <v>29</v>
      </c>
      <c r="E550" s="1" t="s">
        <v>30</v>
      </c>
      <c r="F550" s="1">
        <v>360</v>
      </c>
      <c r="G550" s="1">
        <v>590</v>
      </c>
      <c r="H550" s="1">
        <v>393</v>
      </c>
      <c r="I550" s="1">
        <v>4680</v>
      </c>
      <c r="J550" s="1">
        <v>4322</v>
      </c>
      <c r="K550" s="1">
        <v>208</v>
      </c>
      <c r="L550" s="1" t="s">
        <v>21</v>
      </c>
      <c r="M550" s="1" t="s">
        <v>358</v>
      </c>
      <c r="N550" s="8" t="s">
        <v>359</v>
      </c>
    </row>
    <row r="551" spans="1:14" x14ac:dyDescent="0.3">
      <c r="A551" s="6" t="s">
        <v>237</v>
      </c>
      <c r="B551" s="1" t="s">
        <v>14</v>
      </c>
      <c r="C551" s="7">
        <v>45501</v>
      </c>
      <c r="D551" s="1" t="s">
        <v>41</v>
      </c>
      <c r="E551" s="1" t="s">
        <v>88</v>
      </c>
      <c r="F551" s="1">
        <v>3215</v>
      </c>
      <c r="G551" s="1">
        <v>960</v>
      </c>
      <c r="H551" s="1">
        <v>202</v>
      </c>
      <c r="I551" s="1">
        <v>32150</v>
      </c>
      <c r="J551" s="1">
        <v>31404</v>
      </c>
      <c r="K551" s="1">
        <v>251</v>
      </c>
      <c r="L551" s="1" t="s">
        <v>17</v>
      </c>
      <c r="M551" s="1" t="s">
        <v>11</v>
      </c>
      <c r="N551" s="8" t="s">
        <v>31</v>
      </c>
    </row>
    <row r="552" spans="1:14" x14ac:dyDescent="0.3">
      <c r="A552" s="6" t="s">
        <v>237</v>
      </c>
      <c r="B552" s="1" t="s">
        <v>14</v>
      </c>
      <c r="C552" s="7">
        <v>45501</v>
      </c>
      <c r="D552" s="1" t="s">
        <v>41</v>
      </c>
      <c r="E552" s="1" t="s">
        <v>88</v>
      </c>
      <c r="F552" s="1">
        <v>3215</v>
      </c>
      <c r="G552" s="1">
        <v>960</v>
      </c>
      <c r="H552" s="1">
        <v>202</v>
      </c>
      <c r="I552" s="1">
        <v>32150</v>
      </c>
      <c r="J552" s="1">
        <v>31404</v>
      </c>
      <c r="K552" s="1">
        <v>251</v>
      </c>
      <c r="L552" s="1" t="s">
        <v>17</v>
      </c>
      <c r="M552" s="1" t="s">
        <v>357</v>
      </c>
      <c r="N552" s="8" t="s">
        <v>359</v>
      </c>
    </row>
    <row r="553" spans="1:14" x14ac:dyDescent="0.3">
      <c r="A553" s="6" t="s">
        <v>237</v>
      </c>
      <c r="B553" s="1" t="s">
        <v>14</v>
      </c>
      <c r="C553" s="7">
        <v>45501</v>
      </c>
      <c r="D553" s="1" t="s">
        <v>41</v>
      </c>
      <c r="E553" s="1" t="s">
        <v>88</v>
      </c>
      <c r="F553" s="1">
        <v>3215</v>
      </c>
      <c r="G553" s="1">
        <v>960</v>
      </c>
      <c r="H553" s="1">
        <v>202</v>
      </c>
      <c r="I553" s="1">
        <v>32150</v>
      </c>
      <c r="J553" s="1">
        <v>31404</v>
      </c>
      <c r="K553" s="1">
        <v>251</v>
      </c>
      <c r="L553" s="1" t="s">
        <v>17</v>
      </c>
      <c r="M553" s="1" t="s">
        <v>358</v>
      </c>
      <c r="N553" s="8" t="s">
        <v>359</v>
      </c>
    </row>
    <row r="554" spans="1:14" x14ac:dyDescent="0.3">
      <c r="A554" s="6" t="s">
        <v>238</v>
      </c>
      <c r="B554" s="1" t="s">
        <v>28</v>
      </c>
      <c r="C554" s="7">
        <v>45668</v>
      </c>
      <c r="D554" s="1" t="s">
        <v>36</v>
      </c>
      <c r="E554" s="1" t="s">
        <v>65</v>
      </c>
      <c r="F554" s="1">
        <v>4523</v>
      </c>
      <c r="G554" s="1">
        <v>61</v>
      </c>
      <c r="H554" s="1">
        <v>157</v>
      </c>
      <c r="I554" s="1">
        <v>49753</v>
      </c>
      <c r="J554" s="1">
        <v>49329</v>
      </c>
      <c r="K554" s="1">
        <v>71</v>
      </c>
      <c r="L554" s="1" t="s">
        <v>360</v>
      </c>
      <c r="M554" s="1" t="s">
        <v>11</v>
      </c>
      <c r="N554" s="8" t="s">
        <v>31</v>
      </c>
    </row>
    <row r="555" spans="1:14" x14ac:dyDescent="0.3">
      <c r="A555" s="6" t="s">
        <v>238</v>
      </c>
      <c r="B555" s="1" t="s">
        <v>28</v>
      </c>
      <c r="C555" s="7">
        <v>45668</v>
      </c>
      <c r="D555" s="1" t="s">
        <v>36</v>
      </c>
      <c r="E555" s="1" t="s">
        <v>65</v>
      </c>
      <c r="F555" s="1">
        <v>4523</v>
      </c>
      <c r="G555" s="1">
        <v>61</v>
      </c>
      <c r="H555" s="1">
        <v>157</v>
      </c>
      <c r="I555" s="1">
        <v>49753</v>
      </c>
      <c r="J555" s="1">
        <v>49329</v>
      </c>
      <c r="K555" s="1">
        <v>71</v>
      </c>
      <c r="L555" s="1" t="s">
        <v>360</v>
      </c>
      <c r="M555" s="1" t="s">
        <v>357</v>
      </c>
      <c r="N555" s="8" t="s">
        <v>359</v>
      </c>
    </row>
    <row r="556" spans="1:14" x14ac:dyDescent="0.3">
      <c r="A556" s="6" t="s">
        <v>238</v>
      </c>
      <c r="B556" s="1" t="s">
        <v>28</v>
      </c>
      <c r="C556" s="7">
        <v>45668</v>
      </c>
      <c r="D556" s="1" t="s">
        <v>36</v>
      </c>
      <c r="E556" s="1" t="s">
        <v>65</v>
      </c>
      <c r="F556" s="1">
        <v>4523</v>
      </c>
      <c r="G556" s="1">
        <v>61</v>
      </c>
      <c r="H556" s="1">
        <v>157</v>
      </c>
      <c r="I556" s="1">
        <v>49753</v>
      </c>
      <c r="J556" s="1">
        <v>49329</v>
      </c>
      <c r="K556" s="1">
        <v>71</v>
      </c>
      <c r="L556" s="1" t="s">
        <v>360</v>
      </c>
      <c r="M556" s="1" t="s">
        <v>358</v>
      </c>
      <c r="N556" s="8" t="s">
        <v>359</v>
      </c>
    </row>
    <row r="557" spans="1:14" x14ac:dyDescent="0.3">
      <c r="A557" s="6" t="s">
        <v>239</v>
      </c>
      <c r="B557" s="1" t="s">
        <v>35</v>
      </c>
      <c r="C557" s="7">
        <v>45528</v>
      </c>
      <c r="D557" s="1" t="s">
        <v>36</v>
      </c>
      <c r="E557" s="1" t="s">
        <v>37</v>
      </c>
      <c r="F557" s="1">
        <v>4292</v>
      </c>
      <c r="G557" s="1">
        <v>51</v>
      </c>
      <c r="H557" s="1">
        <v>392</v>
      </c>
      <c r="I557" s="1">
        <v>55796</v>
      </c>
      <c r="J557" s="1">
        <v>54826</v>
      </c>
      <c r="K557" s="1">
        <v>264</v>
      </c>
      <c r="L557" s="1" t="s">
        <v>26</v>
      </c>
      <c r="M557" s="1" t="s">
        <v>11</v>
      </c>
      <c r="N557" s="8" t="s">
        <v>31</v>
      </c>
    </row>
    <row r="558" spans="1:14" x14ac:dyDescent="0.3">
      <c r="A558" s="6" t="s">
        <v>239</v>
      </c>
      <c r="B558" s="1" t="s">
        <v>35</v>
      </c>
      <c r="C558" s="7">
        <v>45528</v>
      </c>
      <c r="D558" s="1" t="s">
        <v>36</v>
      </c>
      <c r="E558" s="1" t="s">
        <v>37</v>
      </c>
      <c r="F558" s="1">
        <v>4292</v>
      </c>
      <c r="G558" s="1">
        <v>51</v>
      </c>
      <c r="H558" s="1">
        <v>392</v>
      </c>
      <c r="I558" s="1">
        <v>55796</v>
      </c>
      <c r="J558" s="1">
        <v>54826</v>
      </c>
      <c r="K558" s="1">
        <v>264</v>
      </c>
      <c r="L558" s="1" t="s">
        <v>26</v>
      </c>
      <c r="M558" s="1" t="s">
        <v>357</v>
      </c>
      <c r="N558" s="8" t="s">
        <v>359</v>
      </c>
    </row>
    <row r="559" spans="1:14" x14ac:dyDescent="0.3">
      <c r="A559" s="6" t="s">
        <v>239</v>
      </c>
      <c r="B559" s="1" t="s">
        <v>35</v>
      </c>
      <c r="C559" s="7">
        <v>45528</v>
      </c>
      <c r="D559" s="1" t="s">
        <v>36</v>
      </c>
      <c r="E559" s="1" t="s">
        <v>37</v>
      </c>
      <c r="F559" s="1">
        <v>4292</v>
      </c>
      <c r="G559" s="1">
        <v>51</v>
      </c>
      <c r="H559" s="1">
        <v>392</v>
      </c>
      <c r="I559" s="1">
        <v>55796</v>
      </c>
      <c r="J559" s="1">
        <v>54826</v>
      </c>
      <c r="K559" s="1">
        <v>264</v>
      </c>
      <c r="L559" s="1" t="s">
        <v>26</v>
      </c>
      <c r="M559" s="1" t="s">
        <v>358</v>
      </c>
      <c r="N559" s="8" t="s">
        <v>359</v>
      </c>
    </row>
    <row r="560" spans="1:14" x14ac:dyDescent="0.3">
      <c r="A560" s="6" t="s">
        <v>240</v>
      </c>
      <c r="B560" s="1" t="s">
        <v>14</v>
      </c>
      <c r="C560" s="7">
        <v>45648</v>
      </c>
      <c r="D560" s="1" t="s">
        <v>15</v>
      </c>
      <c r="E560" s="1" t="s">
        <v>16</v>
      </c>
      <c r="F560" s="1">
        <v>1644</v>
      </c>
      <c r="G560" s="1">
        <v>546</v>
      </c>
      <c r="H560" s="1">
        <v>150</v>
      </c>
      <c r="I560" s="1">
        <v>27948</v>
      </c>
      <c r="J560" s="1">
        <v>27184</v>
      </c>
      <c r="K560" s="1">
        <v>300</v>
      </c>
      <c r="L560" s="1" t="s">
        <v>26</v>
      </c>
      <c r="M560" s="1" t="s">
        <v>11</v>
      </c>
      <c r="N560" s="8" t="s">
        <v>31</v>
      </c>
    </row>
    <row r="561" spans="1:14" x14ac:dyDescent="0.3">
      <c r="A561" s="6" t="s">
        <v>240</v>
      </c>
      <c r="B561" s="1" t="s">
        <v>14</v>
      </c>
      <c r="C561" s="7">
        <v>45648</v>
      </c>
      <c r="D561" s="1" t="s">
        <v>15</v>
      </c>
      <c r="E561" s="1" t="s">
        <v>16</v>
      </c>
      <c r="F561" s="1">
        <v>1644</v>
      </c>
      <c r="G561" s="1">
        <v>546</v>
      </c>
      <c r="H561" s="1">
        <v>150</v>
      </c>
      <c r="I561" s="1">
        <v>27948</v>
      </c>
      <c r="J561" s="1">
        <v>27184</v>
      </c>
      <c r="K561" s="1">
        <v>300</v>
      </c>
      <c r="L561" s="1" t="s">
        <v>26</v>
      </c>
      <c r="M561" s="1" t="s">
        <v>357</v>
      </c>
      <c r="N561" s="8" t="s">
        <v>359</v>
      </c>
    </row>
    <row r="562" spans="1:14" x14ac:dyDescent="0.3">
      <c r="A562" s="6" t="s">
        <v>240</v>
      </c>
      <c r="B562" s="1" t="s">
        <v>14</v>
      </c>
      <c r="C562" s="7">
        <v>45648</v>
      </c>
      <c r="D562" s="1" t="s">
        <v>15</v>
      </c>
      <c r="E562" s="1" t="s">
        <v>16</v>
      </c>
      <c r="F562" s="1">
        <v>1644</v>
      </c>
      <c r="G562" s="1">
        <v>546</v>
      </c>
      <c r="H562" s="1">
        <v>150</v>
      </c>
      <c r="I562" s="1">
        <v>27948</v>
      </c>
      <c r="J562" s="1">
        <v>27184</v>
      </c>
      <c r="K562" s="1">
        <v>300</v>
      </c>
      <c r="L562" s="1" t="s">
        <v>26</v>
      </c>
      <c r="M562" s="1" t="s">
        <v>358</v>
      </c>
      <c r="N562" s="8" t="s">
        <v>359</v>
      </c>
    </row>
    <row r="563" spans="1:14" x14ac:dyDescent="0.3">
      <c r="A563" s="6" t="s">
        <v>241</v>
      </c>
      <c r="B563" s="1" t="s">
        <v>23</v>
      </c>
      <c r="C563" s="7">
        <v>45449</v>
      </c>
      <c r="D563" s="1" t="s">
        <v>15</v>
      </c>
      <c r="E563" s="1" t="s">
        <v>24</v>
      </c>
      <c r="F563" s="1">
        <v>2728</v>
      </c>
      <c r="G563" s="1">
        <v>533</v>
      </c>
      <c r="H563" s="1">
        <v>215</v>
      </c>
      <c r="I563" s="1">
        <v>40920</v>
      </c>
      <c r="J563" s="1">
        <v>40816</v>
      </c>
      <c r="K563" s="1">
        <v>137</v>
      </c>
      <c r="L563" s="1" t="s">
        <v>21</v>
      </c>
      <c r="M563" s="1" t="s">
        <v>11</v>
      </c>
      <c r="N563" s="8" t="s">
        <v>48</v>
      </c>
    </row>
    <row r="564" spans="1:14" x14ac:dyDescent="0.3">
      <c r="A564" s="6" t="s">
        <v>241</v>
      </c>
      <c r="B564" s="1" t="s">
        <v>23</v>
      </c>
      <c r="C564" s="7">
        <v>45449</v>
      </c>
      <c r="D564" s="1" t="s">
        <v>15</v>
      </c>
      <c r="E564" s="1" t="s">
        <v>24</v>
      </c>
      <c r="F564" s="1">
        <v>2728</v>
      </c>
      <c r="G564" s="1">
        <v>533</v>
      </c>
      <c r="H564" s="1">
        <v>215</v>
      </c>
      <c r="I564" s="1">
        <v>40920</v>
      </c>
      <c r="J564" s="1">
        <v>40816</v>
      </c>
      <c r="K564" s="1">
        <v>137</v>
      </c>
      <c r="L564" s="1" t="s">
        <v>21</v>
      </c>
      <c r="M564" s="1" t="s">
        <v>357</v>
      </c>
      <c r="N564" s="8" t="s">
        <v>359</v>
      </c>
    </row>
    <row r="565" spans="1:14" x14ac:dyDescent="0.3">
      <c r="A565" s="6" t="s">
        <v>241</v>
      </c>
      <c r="B565" s="1" t="s">
        <v>23</v>
      </c>
      <c r="C565" s="7">
        <v>45449</v>
      </c>
      <c r="D565" s="1" t="s">
        <v>15</v>
      </c>
      <c r="E565" s="1" t="s">
        <v>24</v>
      </c>
      <c r="F565" s="1">
        <v>2728</v>
      </c>
      <c r="G565" s="1">
        <v>533</v>
      </c>
      <c r="H565" s="1">
        <v>215</v>
      </c>
      <c r="I565" s="1">
        <v>40920</v>
      </c>
      <c r="J565" s="1">
        <v>40816</v>
      </c>
      <c r="K565" s="1">
        <v>137</v>
      </c>
      <c r="L565" s="1" t="s">
        <v>21</v>
      </c>
      <c r="M565" s="1" t="s">
        <v>358</v>
      </c>
      <c r="N565" s="8" t="s">
        <v>359</v>
      </c>
    </row>
    <row r="566" spans="1:14" x14ac:dyDescent="0.3">
      <c r="A566" s="6" t="s">
        <v>242</v>
      </c>
      <c r="B566" s="1" t="s">
        <v>35</v>
      </c>
      <c r="C566" s="7">
        <v>45740</v>
      </c>
      <c r="D566" s="1" t="s">
        <v>15</v>
      </c>
      <c r="E566" s="1" t="s">
        <v>50</v>
      </c>
      <c r="F566" s="1">
        <v>3360</v>
      </c>
      <c r="G566" s="1">
        <v>525</v>
      </c>
      <c r="H566" s="1">
        <v>500</v>
      </c>
      <c r="I566" s="1">
        <v>60480</v>
      </c>
      <c r="J566" s="1">
        <v>59610</v>
      </c>
      <c r="K566" s="1">
        <v>192</v>
      </c>
      <c r="L566" s="1" t="s">
        <v>17</v>
      </c>
      <c r="M566" s="1" t="s">
        <v>11</v>
      </c>
      <c r="N566" s="8" t="s">
        <v>25</v>
      </c>
    </row>
    <row r="567" spans="1:14" x14ac:dyDescent="0.3">
      <c r="A567" s="6" t="s">
        <v>242</v>
      </c>
      <c r="B567" s="1" t="s">
        <v>35</v>
      </c>
      <c r="C567" s="7">
        <v>45740</v>
      </c>
      <c r="D567" s="1" t="s">
        <v>15</v>
      </c>
      <c r="E567" s="1" t="s">
        <v>50</v>
      </c>
      <c r="F567" s="1">
        <v>3360</v>
      </c>
      <c r="G567" s="1">
        <v>525</v>
      </c>
      <c r="H567" s="1">
        <v>500</v>
      </c>
      <c r="I567" s="1">
        <v>60480</v>
      </c>
      <c r="J567" s="1">
        <v>59610</v>
      </c>
      <c r="K567" s="1">
        <v>192</v>
      </c>
      <c r="L567" s="1" t="s">
        <v>17</v>
      </c>
      <c r="M567" s="1" t="s">
        <v>357</v>
      </c>
      <c r="N567" s="8" t="s">
        <v>359</v>
      </c>
    </row>
    <row r="568" spans="1:14" x14ac:dyDescent="0.3">
      <c r="A568" s="6" t="s">
        <v>242</v>
      </c>
      <c r="B568" s="1" t="s">
        <v>35</v>
      </c>
      <c r="C568" s="7">
        <v>45740</v>
      </c>
      <c r="D568" s="1" t="s">
        <v>15</v>
      </c>
      <c r="E568" s="1" t="s">
        <v>50</v>
      </c>
      <c r="F568" s="1">
        <v>3360</v>
      </c>
      <c r="G568" s="1">
        <v>525</v>
      </c>
      <c r="H568" s="1">
        <v>500</v>
      </c>
      <c r="I568" s="1">
        <v>60480</v>
      </c>
      <c r="J568" s="1">
        <v>59610</v>
      </c>
      <c r="K568" s="1">
        <v>192</v>
      </c>
      <c r="L568" s="1" t="s">
        <v>17</v>
      </c>
      <c r="M568" s="1" t="s">
        <v>358</v>
      </c>
      <c r="N568" s="8" t="s">
        <v>359</v>
      </c>
    </row>
    <row r="569" spans="1:14" x14ac:dyDescent="0.3">
      <c r="A569" s="6" t="s">
        <v>243</v>
      </c>
      <c r="B569" s="1" t="s">
        <v>23</v>
      </c>
      <c r="C569" s="7">
        <v>45569</v>
      </c>
      <c r="D569" s="1" t="s">
        <v>19</v>
      </c>
      <c r="E569" s="1" t="s">
        <v>73</v>
      </c>
      <c r="F569" s="1">
        <v>1963</v>
      </c>
      <c r="G569" s="1">
        <v>213</v>
      </c>
      <c r="H569" s="1">
        <v>19</v>
      </c>
      <c r="I569" s="1">
        <v>39260</v>
      </c>
      <c r="J569" s="1">
        <v>38771</v>
      </c>
      <c r="K569" s="1">
        <v>145</v>
      </c>
      <c r="L569" s="1" t="s">
        <v>360</v>
      </c>
      <c r="M569" s="1" t="s">
        <v>11</v>
      </c>
      <c r="N569" s="8" t="s">
        <v>48</v>
      </c>
    </row>
    <row r="570" spans="1:14" x14ac:dyDescent="0.3">
      <c r="A570" s="6" t="s">
        <v>243</v>
      </c>
      <c r="B570" s="1" t="s">
        <v>23</v>
      </c>
      <c r="C570" s="7">
        <v>45569</v>
      </c>
      <c r="D570" s="1" t="s">
        <v>19</v>
      </c>
      <c r="E570" s="1" t="s">
        <v>73</v>
      </c>
      <c r="F570" s="1">
        <v>1963</v>
      </c>
      <c r="G570" s="1">
        <v>213</v>
      </c>
      <c r="H570" s="1">
        <v>19</v>
      </c>
      <c r="I570" s="1">
        <v>39260</v>
      </c>
      <c r="J570" s="1">
        <v>38771</v>
      </c>
      <c r="K570" s="1">
        <v>145</v>
      </c>
      <c r="L570" s="1" t="s">
        <v>360</v>
      </c>
      <c r="M570" s="1" t="s">
        <v>357</v>
      </c>
      <c r="N570" s="8" t="s">
        <v>359</v>
      </c>
    </row>
    <row r="571" spans="1:14" x14ac:dyDescent="0.3">
      <c r="A571" s="6" t="s">
        <v>243</v>
      </c>
      <c r="B571" s="1" t="s">
        <v>23</v>
      </c>
      <c r="C571" s="7">
        <v>45569</v>
      </c>
      <c r="D571" s="1" t="s">
        <v>19</v>
      </c>
      <c r="E571" s="1" t="s">
        <v>73</v>
      </c>
      <c r="F571" s="1">
        <v>1963</v>
      </c>
      <c r="G571" s="1">
        <v>213</v>
      </c>
      <c r="H571" s="1">
        <v>19</v>
      </c>
      <c r="I571" s="1">
        <v>39260</v>
      </c>
      <c r="J571" s="1">
        <v>38771</v>
      </c>
      <c r="K571" s="1">
        <v>145</v>
      </c>
      <c r="L571" s="1" t="s">
        <v>360</v>
      </c>
      <c r="M571" s="1" t="s">
        <v>358</v>
      </c>
      <c r="N571" s="8" t="s">
        <v>359</v>
      </c>
    </row>
    <row r="572" spans="1:14" x14ac:dyDescent="0.3">
      <c r="A572" s="6" t="s">
        <v>244</v>
      </c>
      <c r="B572" s="1" t="s">
        <v>23</v>
      </c>
      <c r="C572" s="7">
        <v>45629</v>
      </c>
      <c r="D572" s="1" t="s">
        <v>29</v>
      </c>
      <c r="E572" s="1" t="s">
        <v>101</v>
      </c>
      <c r="F572" s="1">
        <v>4285</v>
      </c>
      <c r="G572" s="1">
        <v>886</v>
      </c>
      <c r="H572" s="1">
        <v>376</v>
      </c>
      <c r="I572" s="1">
        <v>55705</v>
      </c>
      <c r="J572" s="1">
        <v>55556</v>
      </c>
      <c r="K572" s="1">
        <v>51</v>
      </c>
      <c r="L572" s="1" t="s">
        <v>26</v>
      </c>
      <c r="M572" s="1" t="s">
        <v>11</v>
      </c>
      <c r="N572" s="8" t="s">
        <v>48</v>
      </c>
    </row>
    <row r="573" spans="1:14" x14ac:dyDescent="0.3">
      <c r="A573" s="6" t="s">
        <v>244</v>
      </c>
      <c r="B573" s="1" t="s">
        <v>23</v>
      </c>
      <c r="C573" s="7">
        <v>45629</v>
      </c>
      <c r="D573" s="1" t="s">
        <v>29</v>
      </c>
      <c r="E573" s="1" t="s">
        <v>101</v>
      </c>
      <c r="F573" s="1">
        <v>4285</v>
      </c>
      <c r="G573" s="1">
        <v>886</v>
      </c>
      <c r="H573" s="1">
        <v>376</v>
      </c>
      <c r="I573" s="1">
        <v>55705</v>
      </c>
      <c r="J573" s="1">
        <v>55556</v>
      </c>
      <c r="K573" s="1">
        <v>51</v>
      </c>
      <c r="L573" s="1" t="s">
        <v>26</v>
      </c>
      <c r="M573" s="1" t="s">
        <v>357</v>
      </c>
      <c r="N573" s="8" t="s">
        <v>359</v>
      </c>
    </row>
    <row r="574" spans="1:14" x14ac:dyDescent="0.3">
      <c r="A574" s="6" t="s">
        <v>244</v>
      </c>
      <c r="B574" s="1" t="s">
        <v>23</v>
      </c>
      <c r="C574" s="7">
        <v>45629</v>
      </c>
      <c r="D574" s="1" t="s">
        <v>29</v>
      </c>
      <c r="E574" s="1" t="s">
        <v>101</v>
      </c>
      <c r="F574" s="1">
        <v>4285</v>
      </c>
      <c r="G574" s="1">
        <v>886</v>
      </c>
      <c r="H574" s="1">
        <v>376</v>
      </c>
      <c r="I574" s="1">
        <v>55705</v>
      </c>
      <c r="J574" s="1">
        <v>55556</v>
      </c>
      <c r="K574" s="1">
        <v>51</v>
      </c>
      <c r="L574" s="1" t="s">
        <v>26</v>
      </c>
      <c r="M574" s="1" t="s">
        <v>358</v>
      </c>
      <c r="N574" s="8" t="s">
        <v>359</v>
      </c>
    </row>
    <row r="575" spans="1:14" x14ac:dyDescent="0.3">
      <c r="A575" s="6" t="s">
        <v>245</v>
      </c>
      <c r="B575" s="1" t="s">
        <v>28</v>
      </c>
      <c r="C575" s="7">
        <v>45625</v>
      </c>
      <c r="D575" s="1" t="s">
        <v>56</v>
      </c>
      <c r="E575" s="1" t="s">
        <v>63</v>
      </c>
      <c r="F575" s="1">
        <v>1176</v>
      </c>
      <c r="G575" s="1">
        <v>464</v>
      </c>
      <c r="H575" s="1">
        <v>394</v>
      </c>
      <c r="I575" s="1">
        <v>14112</v>
      </c>
      <c r="J575" s="1">
        <v>13588</v>
      </c>
      <c r="K575" s="1">
        <v>272</v>
      </c>
      <c r="L575" s="1" t="s">
        <v>360</v>
      </c>
      <c r="M575" s="1" t="s">
        <v>11</v>
      </c>
      <c r="N575" s="8" t="s">
        <v>31</v>
      </c>
    </row>
    <row r="576" spans="1:14" x14ac:dyDescent="0.3">
      <c r="A576" s="6" t="s">
        <v>245</v>
      </c>
      <c r="B576" s="1" t="s">
        <v>28</v>
      </c>
      <c r="C576" s="7">
        <v>45625</v>
      </c>
      <c r="D576" s="1" t="s">
        <v>56</v>
      </c>
      <c r="E576" s="1" t="s">
        <v>63</v>
      </c>
      <c r="F576" s="1">
        <v>1176</v>
      </c>
      <c r="G576" s="1">
        <v>464</v>
      </c>
      <c r="H576" s="1">
        <v>394</v>
      </c>
      <c r="I576" s="1">
        <v>14112</v>
      </c>
      <c r="J576" s="1">
        <v>13588</v>
      </c>
      <c r="K576" s="1">
        <v>272</v>
      </c>
      <c r="L576" s="1" t="s">
        <v>360</v>
      </c>
      <c r="M576" s="1" t="s">
        <v>357</v>
      </c>
      <c r="N576" s="8" t="s">
        <v>359</v>
      </c>
    </row>
    <row r="577" spans="1:14" x14ac:dyDescent="0.3">
      <c r="A577" s="6" t="s">
        <v>245</v>
      </c>
      <c r="B577" s="1" t="s">
        <v>28</v>
      </c>
      <c r="C577" s="7">
        <v>45625</v>
      </c>
      <c r="D577" s="1" t="s">
        <v>56</v>
      </c>
      <c r="E577" s="1" t="s">
        <v>63</v>
      </c>
      <c r="F577" s="1">
        <v>1176</v>
      </c>
      <c r="G577" s="1">
        <v>464</v>
      </c>
      <c r="H577" s="1">
        <v>394</v>
      </c>
      <c r="I577" s="1">
        <v>14112</v>
      </c>
      <c r="J577" s="1">
        <v>13588</v>
      </c>
      <c r="K577" s="1">
        <v>272</v>
      </c>
      <c r="L577" s="1" t="s">
        <v>360</v>
      </c>
      <c r="M577" s="1" t="s">
        <v>358</v>
      </c>
      <c r="N577" s="8" t="s">
        <v>359</v>
      </c>
    </row>
    <row r="578" spans="1:14" x14ac:dyDescent="0.3">
      <c r="A578" s="6" t="s">
        <v>246</v>
      </c>
      <c r="B578" s="1" t="s">
        <v>14</v>
      </c>
      <c r="C578" s="7">
        <v>45546</v>
      </c>
      <c r="D578" s="1" t="s">
        <v>41</v>
      </c>
      <c r="E578" s="1" t="s">
        <v>88</v>
      </c>
      <c r="F578" s="1">
        <v>4858</v>
      </c>
      <c r="G578" s="1">
        <v>317</v>
      </c>
      <c r="H578" s="1">
        <v>129</v>
      </c>
      <c r="I578" s="1">
        <v>53438</v>
      </c>
      <c r="J578" s="1">
        <v>52687</v>
      </c>
      <c r="K578" s="1">
        <v>223</v>
      </c>
      <c r="L578" s="1" t="s">
        <v>26</v>
      </c>
      <c r="M578" s="1" t="s">
        <v>11</v>
      </c>
      <c r="N578" s="8" t="s">
        <v>31</v>
      </c>
    </row>
    <row r="579" spans="1:14" x14ac:dyDescent="0.3">
      <c r="A579" s="6" t="s">
        <v>246</v>
      </c>
      <c r="B579" s="1" t="s">
        <v>14</v>
      </c>
      <c r="C579" s="7">
        <v>45546</v>
      </c>
      <c r="D579" s="1" t="s">
        <v>41</v>
      </c>
      <c r="E579" s="1" t="s">
        <v>88</v>
      </c>
      <c r="F579" s="1">
        <v>4858</v>
      </c>
      <c r="G579" s="1">
        <v>317</v>
      </c>
      <c r="H579" s="1">
        <v>129</v>
      </c>
      <c r="I579" s="1">
        <v>53438</v>
      </c>
      <c r="J579" s="1">
        <v>52687</v>
      </c>
      <c r="K579" s="1">
        <v>223</v>
      </c>
      <c r="L579" s="1" t="s">
        <v>26</v>
      </c>
      <c r="M579" s="1" t="s">
        <v>357</v>
      </c>
      <c r="N579" s="8" t="s">
        <v>359</v>
      </c>
    </row>
    <row r="580" spans="1:14" x14ac:dyDescent="0.3">
      <c r="A580" s="6" t="s">
        <v>246</v>
      </c>
      <c r="B580" s="1" t="s">
        <v>14</v>
      </c>
      <c r="C580" s="7">
        <v>45546</v>
      </c>
      <c r="D580" s="1" t="s">
        <v>41</v>
      </c>
      <c r="E580" s="1" t="s">
        <v>88</v>
      </c>
      <c r="F580" s="1">
        <v>4858</v>
      </c>
      <c r="G580" s="1">
        <v>317</v>
      </c>
      <c r="H580" s="1">
        <v>129</v>
      </c>
      <c r="I580" s="1">
        <v>53438</v>
      </c>
      <c r="J580" s="1">
        <v>52687</v>
      </c>
      <c r="K580" s="1">
        <v>223</v>
      </c>
      <c r="L580" s="1" t="s">
        <v>26</v>
      </c>
      <c r="M580" s="1" t="s">
        <v>358</v>
      </c>
      <c r="N580" s="8" t="s">
        <v>359</v>
      </c>
    </row>
    <row r="581" spans="1:14" x14ac:dyDescent="0.3">
      <c r="A581" s="6" t="s">
        <v>247</v>
      </c>
      <c r="B581" s="1" t="s">
        <v>23</v>
      </c>
      <c r="C581" s="7">
        <v>45567</v>
      </c>
      <c r="D581" s="1" t="s">
        <v>29</v>
      </c>
      <c r="E581" s="1" t="s">
        <v>101</v>
      </c>
      <c r="F581" s="1">
        <v>4350</v>
      </c>
      <c r="G581" s="1">
        <v>771</v>
      </c>
      <c r="H581" s="1">
        <v>7</v>
      </c>
      <c r="I581" s="1">
        <v>60900</v>
      </c>
      <c r="J581" s="1">
        <v>60592</v>
      </c>
      <c r="K581" s="1">
        <v>195</v>
      </c>
      <c r="L581" s="1" t="s">
        <v>17</v>
      </c>
      <c r="M581" s="1" t="s">
        <v>11</v>
      </c>
      <c r="N581" s="8" t="s">
        <v>31</v>
      </c>
    </row>
    <row r="582" spans="1:14" x14ac:dyDescent="0.3">
      <c r="A582" s="6" t="s">
        <v>247</v>
      </c>
      <c r="B582" s="1" t="s">
        <v>23</v>
      </c>
      <c r="C582" s="7">
        <v>45567</v>
      </c>
      <c r="D582" s="1" t="s">
        <v>29</v>
      </c>
      <c r="E582" s="1" t="s">
        <v>101</v>
      </c>
      <c r="F582" s="1">
        <v>4350</v>
      </c>
      <c r="G582" s="1">
        <v>771</v>
      </c>
      <c r="H582" s="1">
        <v>7</v>
      </c>
      <c r="I582" s="1">
        <v>60900</v>
      </c>
      <c r="J582" s="1">
        <v>60592</v>
      </c>
      <c r="K582" s="1">
        <v>195</v>
      </c>
      <c r="L582" s="1" t="s">
        <v>17</v>
      </c>
      <c r="M582" s="1" t="s">
        <v>357</v>
      </c>
      <c r="N582" s="8" t="s">
        <v>359</v>
      </c>
    </row>
    <row r="583" spans="1:14" x14ac:dyDescent="0.3">
      <c r="A583" s="6" t="s">
        <v>247</v>
      </c>
      <c r="B583" s="1" t="s">
        <v>23</v>
      </c>
      <c r="C583" s="7">
        <v>45567</v>
      </c>
      <c r="D583" s="1" t="s">
        <v>29</v>
      </c>
      <c r="E583" s="1" t="s">
        <v>101</v>
      </c>
      <c r="F583" s="1">
        <v>4350</v>
      </c>
      <c r="G583" s="1">
        <v>771</v>
      </c>
      <c r="H583" s="1">
        <v>7</v>
      </c>
      <c r="I583" s="1">
        <v>60900</v>
      </c>
      <c r="J583" s="1">
        <v>60592</v>
      </c>
      <c r="K583" s="1">
        <v>195</v>
      </c>
      <c r="L583" s="1" t="s">
        <v>17</v>
      </c>
      <c r="M583" s="1" t="s">
        <v>358</v>
      </c>
      <c r="N583" s="8" t="s">
        <v>359</v>
      </c>
    </row>
    <row r="584" spans="1:14" x14ac:dyDescent="0.3">
      <c r="A584" s="6" t="s">
        <v>248</v>
      </c>
      <c r="B584" s="1" t="s">
        <v>28</v>
      </c>
      <c r="C584" s="7">
        <v>45519</v>
      </c>
      <c r="D584" s="1" t="s">
        <v>36</v>
      </c>
      <c r="E584" s="1" t="s">
        <v>65</v>
      </c>
      <c r="F584" s="1">
        <v>914</v>
      </c>
      <c r="G584" s="1">
        <v>464</v>
      </c>
      <c r="H584" s="1">
        <v>246</v>
      </c>
      <c r="I584" s="1">
        <v>11882</v>
      </c>
      <c r="J584" s="1">
        <v>11500</v>
      </c>
      <c r="K584" s="1">
        <v>282</v>
      </c>
      <c r="L584" s="1" t="s">
        <v>32</v>
      </c>
      <c r="M584" s="1" t="s">
        <v>11</v>
      </c>
      <c r="N584" s="8" t="s">
        <v>48</v>
      </c>
    </row>
    <row r="585" spans="1:14" x14ac:dyDescent="0.3">
      <c r="A585" s="6" t="s">
        <v>248</v>
      </c>
      <c r="B585" s="1" t="s">
        <v>28</v>
      </c>
      <c r="C585" s="7">
        <v>45519</v>
      </c>
      <c r="D585" s="1" t="s">
        <v>36</v>
      </c>
      <c r="E585" s="1" t="s">
        <v>65</v>
      </c>
      <c r="F585" s="1">
        <v>914</v>
      </c>
      <c r="G585" s="1">
        <v>464</v>
      </c>
      <c r="H585" s="1">
        <v>246</v>
      </c>
      <c r="I585" s="1">
        <v>11882</v>
      </c>
      <c r="J585" s="1">
        <v>11500</v>
      </c>
      <c r="K585" s="1">
        <v>282</v>
      </c>
      <c r="L585" s="1" t="s">
        <v>32</v>
      </c>
      <c r="M585" s="1" t="s">
        <v>357</v>
      </c>
      <c r="N585" s="8" t="s">
        <v>25</v>
      </c>
    </row>
    <row r="586" spans="1:14" x14ac:dyDescent="0.3">
      <c r="A586" s="6" t="s">
        <v>248</v>
      </c>
      <c r="B586" s="1" t="s">
        <v>28</v>
      </c>
      <c r="C586" s="7">
        <v>45519</v>
      </c>
      <c r="D586" s="1" t="s">
        <v>36</v>
      </c>
      <c r="E586" s="1" t="s">
        <v>65</v>
      </c>
      <c r="F586" s="1">
        <v>914</v>
      </c>
      <c r="G586" s="1">
        <v>464</v>
      </c>
      <c r="H586" s="1">
        <v>246</v>
      </c>
      <c r="I586" s="1">
        <v>11882</v>
      </c>
      <c r="J586" s="1">
        <v>11500</v>
      </c>
      <c r="K586" s="1">
        <v>282</v>
      </c>
      <c r="L586" s="1" t="s">
        <v>32</v>
      </c>
      <c r="M586" s="1" t="s">
        <v>358</v>
      </c>
      <c r="N586" s="8" t="s">
        <v>354</v>
      </c>
    </row>
    <row r="587" spans="1:14" x14ac:dyDescent="0.3">
      <c r="A587" s="6" t="s">
        <v>249</v>
      </c>
      <c r="B587" s="1" t="s">
        <v>28</v>
      </c>
      <c r="C587" s="7">
        <v>45645</v>
      </c>
      <c r="D587" s="1" t="s">
        <v>19</v>
      </c>
      <c r="E587" s="1" t="s">
        <v>78</v>
      </c>
      <c r="F587" s="1">
        <v>1813</v>
      </c>
      <c r="G587" s="1">
        <v>623</v>
      </c>
      <c r="H587" s="1">
        <v>72</v>
      </c>
      <c r="I587" s="1">
        <v>19943</v>
      </c>
      <c r="J587" s="1">
        <v>18959</v>
      </c>
      <c r="K587" s="1">
        <v>85</v>
      </c>
      <c r="L587" s="1" t="s">
        <v>26</v>
      </c>
      <c r="M587" s="1" t="s">
        <v>11</v>
      </c>
      <c r="N587" s="8" t="s">
        <v>31</v>
      </c>
    </row>
    <row r="588" spans="1:14" x14ac:dyDescent="0.3">
      <c r="A588" s="6" t="s">
        <v>249</v>
      </c>
      <c r="B588" s="1" t="s">
        <v>28</v>
      </c>
      <c r="C588" s="7">
        <v>45645</v>
      </c>
      <c r="D588" s="1" t="s">
        <v>19</v>
      </c>
      <c r="E588" s="1" t="s">
        <v>78</v>
      </c>
      <c r="F588" s="1">
        <v>1813</v>
      </c>
      <c r="G588" s="1">
        <v>623</v>
      </c>
      <c r="H588" s="1">
        <v>72</v>
      </c>
      <c r="I588" s="1">
        <v>19943</v>
      </c>
      <c r="J588" s="1">
        <v>18959</v>
      </c>
      <c r="K588" s="1">
        <v>85</v>
      </c>
      <c r="L588" s="1" t="s">
        <v>26</v>
      </c>
      <c r="M588" s="1" t="s">
        <v>357</v>
      </c>
      <c r="N588" s="8" t="s">
        <v>359</v>
      </c>
    </row>
    <row r="589" spans="1:14" x14ac:dyDescent="0.3">
      <c r="A589" s="6" t="s">
        <v>249</v>
      </c>
      <c r="B589" s="1" t="s">
        <v>28</v>
      </c>
      <c r="C589" s="7">
        <v>45645</v>
      </c>
      <c r="D589" s="1" t="s">
        <v>19</v>
      </c>
      <c r="E589" s="1" t="s">
        <v>78</v>
      </c>
      <c r="F589" s="1">
        <v>1813</v>
      </c>
      <c r="G589" s="1">
        <v>623</v>
      </c>
      <c r="H589" s="1">
        <v>72</v>
      </c>
      <c r="I589" s="1">
        <v>19943</v>
      </c>
      <c r="J589" s="1">
        <v>18959</v>
      </c>
      <c r="K589" s="1">
        <v>85</v>
      </c>
      <c r="L589" s="1" t="s">
        <v>26</v>
      </c>
      <c r="M589" s="1" t="s">
        <v>358</v>
      </c>
      <c r="N589" s="8" t="s">
        <v>359</v>
      </c>
    </row>
    <row r="590" spans="1:14" x14ac:dyDescent="0.3">
      <c r="A590" s="6" t="s">
        <v>250</v>
      </c>
      <c r="B590" s="1" t="s">
        <v>14</v>
      </c>
      <c r="C590" s="7">
        <v>45587</v>
      </c>
      <c r="D590" s="1" t="s">
        <v>15</v>
      </c>
      <c r="E590" s="1" t="s">
        <v>16</v>
      </c>
      <c r="F590" s="1">
        <v>4782</v>
      </c>
      <c r="G590" s="1">
        <v>721</v>
      </c>
      <c r="H590" s="1">
        <v>82</v>
      </c>
      <c r="I590" s="1">
        <v>86076</v>
      </c>
      <c r="J590" s="1">
        <v>85339</v>
      </c>
      <c r="K590" s="1">
        <v>19</v>
      </c>
      <c r="L590" s="1" t="s">
        <v>17</v>
      </c>
      <c r="M590" s="1" t="s">
        <v>11</v>
      </c>
      <c r="N590" s="8" t="s">
        <v>31</v>
      </c>
    </row>
    <row r="591" spans="1:14" x14ac:dyDescent="0.3">
      <c r="A591" s="6" t="s">
        <v>250</v>
      </c>
      <c r="B591" s="1" t="s">
        <v>14</v>
      </c>
      <c r="C591" s="7">
        <v>45587</v>
      </c>
      <c r="D591" s="1" t="s">
        <v>15</v>
      </c>
      <c r="E591" s="1" t="s">
        <v>16</v>
      </c>
      <c r="F591" s="1">
        <v>4782</v>
      </c>
      <c r="G591" s="1">
        <v>721</v>
      </c>
      <c r="H591" s="1">
        <v>82</v>
      </c>
      <c r="I591" s="1">
        <v>86076</v>
      </c>
      <c r="J591" s="1">
        <v>85339</v>
      </c>
      <c r="K591" s="1">
        <v>19</v>
      </c>
      <c r="L591" s="1" t="s">
        <v>17</v>
      </c>
      <c r="M591" s="1" t="s">
        <v>357</v>
      </c>
      <c r="N591" s="8" t="s">
        <v>359</v>
      </c>
    </row>
    <row r="592" spans="1:14" x14ac:dyDescent="0.3">
      <c r="A592" s="6" t="s">
        <v>250</v>
      </c>
      <c r="B592" s="1" t="s">
        <v>14</v>
      </c>
      <c r="C592" s="7">
        <v>45587</v>
      </c>
      <c r="D592" s="1" t="s">
        <v>15</v>
      </c>
      <c r="E592" s="1" t="s">
        <v>16</v>
      </c>
      <c r="F592" s="1">
        <v>4782</v>
      </c>
      <c r="G592" s="1">
        <v>721</v>
      </c>
      <c r="H592" s="1">
        <v>82</v>
      </c>
      <c r="I592" s="1">
        <v>86076</v>
      </c>
      <c r="J592" s="1">
        <v>85339</v>
      </c>
      <c r="K592" s="1">
        <v>19</v>
      </c>
      <c r="L592" s="1" t="s">
        <v>17</v>
      </c>
      <c r="M592" s="1" t="s">
        <v>358</v>
      </c>
      <c r="N592" s="8" t="s">
        <v>359</v>
      </c>
    </row>
    <row r="593" spans="1:14" x14ac:dyDescent="0.3">
      <c r="A593" s="6" t="s">
        <v>251</v>
      </c>
      <c r="B593" s="1" t="s">
        <v>14</v>
      </c>
      <c r="C593" s="7">
        <v>45549</v>
      </c>
      <c r="D593" s="1" t="s">
        <v>41</v>
      </c>
      <c r="E593" s="1" t="s">
        <v>88</v>
      </c>
      <c r="F593" s="1">
        <v>1048</v>
      </c>
      <c r="G593" s="1">
        <v>374</v>
      </c>
      <c r="H593" s="1">
        <v>450</v>
      </c>
      <c r="I593" s="1">
        <v>9432</v>
      </c>
      <c r="J593" s="1">
        <v>8882</v>
      </c>
      <c r="K593" s="1">
        <v>158</v>
      </c>
      <c r="L593" s="1" t="s">
        <v>26</v>
      </c>
      <c r="M593" s="1" t="s">
        <v>11</v>
      </c>
      <c r="N593" s="8" t="s">
        <v>25</v>
      </c>
    </row>
    <row r="594" spans="1:14" x14ac:dyDescent="0.3">
      <c r="A594" s="6" t="s">
        <v>251</v>
      </c>
      <c r="B594" s="1" t="s">
        <v>14</v>
      </c>
      <c r="C594" s="7">
        <v>45549</v>
      </c>
      <c r="D594" s="1" t="s">
        <v>41</v>
      </c>
      <c r="E594" s="1" t="s">
        <v>88</v>
      </c>
      <c r="F594" s="1">
        <v>1048</v>
      </c>
      <c r="G594" s="1">
        <v>374</v>
      </c>
      <c r="H594" s="1">
        <v>450</v>
      </c>
      <c r="I594" s="1">
        <v>9432</v>
      </c>
      <c r="J594" s="1">
        <v>8882</v>
      </c>
      <c r="K594" s="1">
        <v>158</v>
      </c>
      <c r="L594" s="1" t="s">
        <v>26</v>
      </c>
      <c r="M594" s="1" t="s">
        <v>357</v>
      </c>
      <c r="N594" s="8" t="s">
        <v>359</v>
      </c>
    </row>
    <row r="595" spans="1:14" x14ac:dyDescent="0.3">
      <c r="A595" s="6" t="s">
        <v>251</v>
      </c>
      <c r="B595" s="1" t="s">
        <v>14</v>
      </c>
      <c r="C595" s="7">
        <v>45549</v>
      </c>
      <c r="D595" s="1" t="s">
        <v>41</v>
      </c>
      <c r="E595" s="1" t="s">
        <v>88</v>
      </c>
      <c r="F595" s="1">
        <v>1048</v>
      </c>
      <c r="G595" s="1">
        <v>374</v>
      </c>
      <c r="H595" s="1">
        <v>450</v>
      </c>
      <c r="I595" s="1">
        <v>9432</v>
      </c>
      <c r="J595" s="1">
        <v>8882</v>
      </c>
      <c r="K595" s="1">
        <v>158</v>
      </c>
      <c r="L595" s="1" t="s">
        <v>26</v>
      </c>
      <c r="M595" s="1" t="s">
        <v>358</v>
      </c>
      <c r="N595" s="8" t="s">
        <v>359</v>
      </c>
    </row>
    <row r="596" spans="1:14" x14ac:dyDescent="0.3">
      <c r="A596" s="6" t="s">
        <v>252</v>
      </c>
      <c r="B596" s="1" t="s">
        <v>23</v>
      </c>
      <c r="C596" s="7">
        <v>45626</v>
      </c>
      <c r="D596" s="1" t="s">
        <v>36</v>
      </c>
      <c r="E596" s="1" t="s">
        <v>52</v>
      </c>
      <c r="F596" s="1">
        <v>2509</v>
      </c>
      <c r="G596" s="1">
        <v>324</v>
      </c>
      <c r="H596" s="1">
        <v>171</v>
      </c>
      <c r="I596" s="1">
        <v>35126</v>
      </c>
      <c r="J596" s="1">
        <v>34685</v>
      </c>
      <c r="K596" s="1">
        <v>277</v>
      </c>
      <c r="L596" s="1" t="s">
        <v>21</v>
      </c>
      <c r="M596" s="1" t="s">
        <v>11</v>
      </c>
      <c r="N596" s="8" t="s">
        <v>25</v>
      </c>
    </row>
    <row r="597" spans="1:14" x14ac:dyDescent="0.3">
      <c r="A597" s="6" t="s">
        <v>252</v>
      </c>
      <c r="B597" s="1" t="s">
        <v>23</v>
      </c>
      <c r="C597" s="7">
        <v>45626</v>
      </c>
      <c r="D597" s="1" t="s">
        <v>36</v>
      </c>
      <c r="E597" s="1" t="s">
        <v>52</v>
      </c>
      <c r="F597" s="1">
        <v>2509</v>
      </c>
      <c r="G597" s="1">
        <v>324</v>
      </c>
      <c r="H597" s="1">
        <v>171</v>
      </c>
      <c r="I597" s="1">
        <v>35126</v>
      </c>
      <c r="J597" s="1">
        <v>34685</v>
      </c>
      <c r="K597" s="1">
        <v>277</v>
      </c>
      <c r="L597" s="1" t="s">
        <v>21</v>
      </c>
      <c r="M597" s="1" t="s">
        <v>357</v>
      </c>
      <c r="N597" s="8" t="s">
        <v>359</v>
      </c>
    </row>
    <row r="598" spans="1:14" x14ac:dyDescent="0.3">
      <c r="A598" s="6" t="s">
        <v>252</v>
      </c>
      <c r="B598" s="1" t="s">
        <v>23</v>
      </c>
      <c r="C598" s="7">
        <v>45626</v>
      </c>
      <c r="D598" s="1" t="s">
        <v>36</v>
      </c>
      <c r="E598" s="1" t="s">
        <v>52</v>
      </c>
      <c r="F598" s="1">
        <v>2509</v>
      </c>
      <c r="G598" s="1">
        <v>324</v>
      </c>
      <c r="H598" s="1">
        <v>171</v>
      </c>
      <c r="I598" s="1">
        <v>35126</v>
      </c>
      <c r="J598" s="1">
        <v>34685</v>
      </c>
      <c r="K598" s="1">
        <v>277</v>
      </c>
      <c r="L598" s="1" t="s">
        <v>21</v>
      </c>
      <c r="M598" s="1" t="s">
        <v>358</v>
      </c>
      <c r="N598" s="8" t="s">
        <v>359</v>
      </c>
    </row>
    <row r="599" spans="1:14" x14ac:dyDescent="0.3">
      <c r="A599" s="6" t="s">
        <v>253</v>
      </c>
      <c r="B599" s="1" t="s">
        <v>35</v>
      </c>
      <c r="C599" s="7">
        <v>45754</v>
      </c>
      <c r="D599" s="1" t="s">
        <v>15</v>
      </c>
      <c r="E599" s="1" t="s">
        <v>50</v>
      </c>
      <c r="F599" s="1">
        <v>3718</v>
      </c>
      <c r="G599" s="1">
        <v>385</v>
      </c>
      <c r="H599" s="1">
        <v>310</v>
      </c>
      <c r="I599" s="1">
        <v>70642</v>
      </c>
      <c r="J599" s="1">
        <v>69749</v>
      </c>
      <c r="K599" s="1">
        <v>233</v>
      </c>
      <c r="L599" s="1" t="s">
        <v>21</v>
      </c>
      <c r="M599" s="1" t="s">
        <v>11</v>
      </c>
      <c r="N599" s="8" t="s">
        <v>25</v>
      </c>
    </row>
    <row r="600" spans="1:14" x14ac:dyDescent="0.3">
      <c r="A600" s="6" t="s">
        <v>253</v>
      </c>
      <c r="B600" s="1" t="s">
        <v>35</v>
      </c>
      <c r="C600" s="7">
        <v>45754</v>
      </c>
      <c r="D600" s="1" t="s">
        <v>15</v>
      </c>
      <c r="E600" s="1" t="s">
        <v>50</v>
      </c>
      <c r="F600" s="1">
        <v>3718</v>
      </c>
      <c r="G600" s="1">
        <v>385</v>
      </c>
      <c r="H600" s="1">
        <v>310</v>
      </c>
      <c r="I600" s="1">
        <v>70642</v>
      </c>
      <c r="J600" s="1">
        <v>69749</v>
      </c>
      <c r="K600" s="1">
        <v>233</v>
      </c>
      <c r="L600" s="1" t="s">
        <v>21</v>
      </c>
      <c r="M600" s="1" t="s">
        <v>357</v>
      </c>
      <c r="N600" s="8" t="s">
        <v>359</v>
      </c>
    </row>
    <row r="601" spans="1:14" x14ac:dyDescent="0.3">
      <c r="A601" s="6" t="s">
        <v>253</v>
      </c>
      <c r="B601" s="1" t="s">
        <v>35</v>
      </c>
      <c r="C601" s="7">
        <v>45754</v>
      </c>
      <c r="D601" s="1" t="s">
        <v>15</v>
      </c>
      <c r="E601" s="1" t="s">
        <v>50</v>
      </c>
      <c r="F601" s="1">
        <v>3718</v>
      </c>
      <c r="G601" s="1">
        <v>385</v>
      </c>
      <c r="H601" s="1">
        <v>310</v>
      </c>
      <c r="I601" s="1">
        <v>70642</v>
      </c>
      <c r="J601" s="1">
        <v>69749</v>
      </c>
      <c r="K601" s="1">
        <v>233</v>
      </c>
      <c r="L601" s="1" t="s">
        <v>21</v>
      </c>
      <c r="M601" s="1" t="s">
        <v>358</v>
      </c>
      <c r="N601" s="8" t="s">
        <v>359</v>
      </c>
    </row>
    <row r="602" spans="1:14" x14ac:dyDescent="0.3">
      <c r="A602" s="6" t="s">
        <v>254</v>
      </c>
      <c r="B602" s="1" t="s">
        <v>14</v>
      </c>
      <c r="C602" s="7">
        <v>45672</v>
      </c>
      <c r="D602" s="1" t="s">
        <v>15</v>
      </c>
      <c r="E602" s="1" t="s">
        <v>16</v>
      </c>
      <c r="F602" s="1">
        <v>802</v>
      </c>
      <c r="G602" s="1">
        <v>262</v>
      </c>
      <c r="H602" s="1">
        <v>244</v>
      </c>
      <c r="I602" s="1">
        <v>14436</v>
      </c>
      <c r="J602" s="1">
        <v>14280</v>
      </c>
      <c r="K602" s="1">
        <v>49</v>
      </c>
      <c r="L602" s="1" t="s">
        <v>17</v>
      </c>
      <c r="M602" s="1" t="s">
        <v>11</v>
      </c>
      <c r="N602" s="8" t="s">
        <v>31</v>
      </c>
    </row>
    <row r="603" spans="1:14" x14ac:dyDescent="0.3">
      <c r="A603" s="6" t="s">
        <v>254</v>
      </c>
      <c r="B603" s="1" t="s">
        <v>14</v>
      </c>
      <c r="C603" s="7">
        <v>45672</v>
      </c>
      <c r="D603" s="1" t="s">
        <v>15</v>
      </c>
      <c r="E603" s="1" t="s">
        <v>16</v>
      </c>
      <c r="F603" s="1">
        <v>802</v>
      </c>
      <c r="G603" s="1">
        <v>262</v>
      </c>
      <c r="H603" s="1">
        <v>244</v>
      </c>
      <c r="I603" s="1">
        <v>14436</v>
      </c>
      <c r="J603" s="1">
        <v>14280</v>
      </c>
      <c r="K603" s="1">
        <v>49</v>
      </c>
      <c r="L603" s="1" t="s">
        <v>17</v>
      </c>
      <c r="M603" s="1" t="s">
        <v>357</v>
      </c>
      <c r="N603" s="8" t="s">
        <v>359</v>
      </c>
    </row>
    <row r="604" spans="1:14" x14ac:dyDescent="0.3">
      <c r="A604" s="6" t="s">
        <v>254</v>
      </c>
      <c r="B604" s="1" t="s">
        <v>14</v>
      </c>
      <c r="C604" s="7">
        <v>45672</v>
      </c>
      <c r="D604" s="1" t="s">
        <v>15</v>
      </c>
      <c r="E604" s="1" t="s">
        <v>16</v>
      </c>
      <c r="F604" s="1">
        <v>802</v>
      </c>
      <c r="G604" s="1">
        <v>262</v>
      </c>
      <c r="H604" s="1">
        <v>244</v>
      </c>
      <c r="I604" s="1">
        <v>14436</v>
      </c>
      <c r="J604" s="1">
        <v>14280</v>
      </c>
      <c r="K604" s="1">
        <v>49</v>
      </c>
      <c r="L604" s="1" t="s">
        <v>17</v>
      </c>
      <c r="M604" s="1" t="s">
        <v>358</v>
      </c>
      <c r="N604" s="8" t="s">
        <v>359</v>
      </c>
    </row>
    <row r="605" spans="1:14" x14ac:dyDescent="0.3">
      <c r="A605" s="6" t="s">
        <v>255</v>
      </c>
      <c r="B605" s="1" t="s">
        <v>35</v>
      </c>
      <c r="C605" s="7">
        <v>45445</v>
      </c>
      <c r="D605" s="1" t="s">
        <v>41</v>
      </c>
      <c r="E605" s="1" t="s">
        <v>46</v>
      </c>
      <c r="F605" s="1">
        <v>1871</v>
      </c>
      <c r="G605" s="1">
        <v>252</v>
      </c>
      <c r="H605" s="1">
        <v>335</v>
      </c>
      <c r="I605" s="1">
        <v>29936</v>
      </c>
      <c r="J605" s="1">
        <v>29576</v>
      </c>
      <c r="K605" s="1">
        <v>288</v>
      </c>
      <c r="L605" s="1" t="s">
        <v>26</v>
      </c>
      <c r="M605" s="1" t="s">
        <v>11</v>
      </c>
      <c r="N605" s="8" t="s">
        <v>31</v>
      </c>
    </row>
    <row r="606" spans="1:14" x14ac:dyDescent="0.3">
      <c r="A606" s="6" t="s">
        <v>255</v>
      </c>
      <c r="B606" s="1" t="s">
        <v>35</v>
      </c>
      <c r="C606" s="7">
        <v>45445</v>
      </c>
      <c r="D606" s="1" t="s">
        <v>41</v>
      </c>
      <c r="E606" s="1" t="s">
        <v>46</v>
      </c>
      <c r="F606" s="1">
        <v>1871</v>
      </c>
      <c r="G606" s="1">
        <v>252</v>
      </c>
      <c r="H606" s="1">
        <v>335</v>
      </c>
      <c r="I606" s="1">
        <v>29936</v>
      </c>
      <c r="J606" s="1">
        <v>29576</v>
      </c>
      <c r="K606" s="1">
        <v>288</v>
      </c>
      <c r="L606" s="1" t="s">
        <v>26</v>
      </c>
      <c r="M606" s="1" t="s">
        <v>357</v>
      </c>
      <c r="N606" s="8" t="s">
        <v>359</v>
      </c>
    </row>
    <row r="607" spans="1:14" x14ac:dyDescent="0.3">
      <c r="A607" s="6" t="s">
        <v>255</v>
      </c>
      <c r="B607" s="1" t="s">
        <v>35</v>
      </c>
      <c r="C607" s="7">
        <v>45445</v>
      </c>
      <c r="D607" s="1" t="s">
        <v>41</v>
      </c>
      <c r="E607" s="1" t="s">
        <v>46</v>
      </c>
      <c r="F607" s="1">
        <v>1871</v>
      </c>
      <c r="G607" s="1">
        <v>252</v>
      </c>
      <c r="H607" s="1">
        <v>335</v>
      </c>
      <c r="I607" s="1">
        <v>29936</v>
      </c>
      <c r="J607" s="1">
        <v>29576</v>
      </c>
      <c r="K607" s="1">
        <v>288</v>
      </c>
      <c r="L607" s="1" t="s">
        <v>26</v>
      </c>
      <c r="M607" s="1" t="s">
        <v>358</v>
      </c>
      <c r="N607" s="8" t="s">
        <v>359</v>
      </c>
    </row>
    <row r="608" spans="1:14" x14ac:dyDescent="0.3">
      <c r="A608" s="6" t="s">
        <v>256</v>
      </c>
      <c r="B608" s="1" t="s">
        <v>28</v>
      </c>
      <c r="C608" s="7">
        <v>45617</v>
      </c>
      <c r="D608" s="1" t="s">
        <v>36</v>
      </c>
      <c r="E608" s="1" t="s">
        <v>65</v>
      </c>
      <c r="F608" s="1">
        <v>3773</v>
      </c>
      <c r="G608" s="1">
        <v>299</v>
      </c>
      <c r="H608" s="1">
        <v>38</v>
      </c>
      <c r="I608" s="1">
        <v>71687</v>
      </c>
      <c r="J608" s="1">
        <v>71447</v>
      </c>
      <c r="K608" s="1">
        <v>286</v>
      </c>
      <c r="L608" s="1" t="s">
        <v>17</v>
      </c>
      <c r="M608" s="1" t="s">
        <v>11</v>
      </c>
      <c r="N608" s="8" t="s">
        <v>48</v>
      </c>
    </row>
    <row r="609" spans="1:14" x14ac:dyDescent="0.3">
      <c r="A609" s="6" t="s">
        <v>256</v>
      </c>
      <c r="B609" s="1" t="s">
        <v>28</v>
      </c>
      <c r="C609" s="7">
        <v>45617</v>
      </c>
      <c r="D609" s="1" t="s">
        <v>36</v>
      </c>
      <c r="E609" s="1" t="s">
        <v>65</v>
      </c>
      <c r="F609" s="1">
        <v>3773</v>
      </c>
      <c r="G609" s="1">
        <v>299</v>
      </c>
      <c r="H609" s="1">
        <v>38</v>
      </c>
      <c r="I609" s="1">
        <v>71687</v>
      </c>
      <c r="J609" s="1">
        <v>71447</v>
      </c>
      <c r="K609" s="1">
        <v>286</v>
      </c>
      <c r="L609" s="1" t="s">
        <v>17</v>
      </c>
      <c r="M609" s="1" t="s">
        <v>357</v>
      </c>
      <c r="N609" s="8" t="s">
        <v>359</v>
      </c>
    </row>
    <row r="610" spans="1:14" x14ac:dyDescent="0.3">
      <c r="A610" s="6" t="s">
        <v>256</v>
      </c>
      <c r="B610" s="1" t="s">
        <v>28</v>
      </c>
      <c r="C610" s="7">
        <v>45617</v>
      </c>
      <c r="D610" s="1" t="s">
        <v>36</v>
      </c>
      <c r="E610" s="1" t="s">
        <v>65</v>
      </c>
      <c r="F610" s="1">
        <v>3773</v>
      </c>
      <c r="G610" s="1">
        <v>299</v>
      </c>
      <c r="H610" s="1">
        <v>38</v>
      </c>
      <c r="I610" s="1">
        <v>71687</v>
      </c>
      <c r="J610" s="1">
        <v>71447</v>
      </c>
      <c r="K610" s="1">
        <v>286</v>
      </c>
      <c r="L610" s="1" t="s">
        <v>17</v>
      </c>
      <c r="M610" s="1" t="s">
        <v>358</v>
      </c>
      <c r="N610" s="8" t="s">
        <v>359</v>
      </c>
    </row>
    <row r="611" spans="1:14" x14ac:dyDescent="0.3">
      <c r="A611" s="6" t="s">
        <v>257</v>
      </c>
      <c r="B611" s="1" t="s">
        <v>28</v>
      </c>
      <c r="C611" s="7">
        <v>45658</v>
      </c>
      <c r="D611" s="1" t="s">
        <v>36</v>
      </c>
      <c r="E611" s="1" t="s">
        <v>65</v>
      </c>
      <c r="F611" s="1">
        <v>2234</v>
      </c>
      <c r="G611" s="1">
        <v>653</v>
      </c>
      <c r="H611" s="1">
        <v>432</v>
      </c>
      <c r="I611" s="1">
        <v>11170</v>
      </c>
      <c r="J611" s="1">
        <v>10569</v>
      </c>
      <c r="K611" s="1">
        <v>198</v>
      </c>
      <c r="L611" s="1" t="s">
        <v>26</v>
      </c>
      <c r="M611" s="1" t="s">
        <v>11</v>
      </c>
      <c r="N611" s="8" t="s">
        <v>48</v>
      </c>
    </row>
    <row r="612" spans="1:14" x14ac:dyDescent="0.3">
      <c r="A612" s="6" t="s">
        <v>257</v>
      </c>
      <c r="B612" s="1" t="s">
        <v>28</v>
      </c>
      <c r="C612" s="7">
        <v>45658</v>
      </c>
      <c r="D612" s="1" t="s">
        <v>36</v>
      </c>
      <c r="E612" s="1" t="s">
        <v>65</v>
      </c>
      <c r="F612" s="1">
        <v>2234</v>
      </c>
      <c r="G612" s="1">
        <v>653</v>
      </c>
      <c r="H612" s="1">
        <v>432</v>
      </c>
      <c r="I612" s="1">
        <v>11170</v>
      </c>
      <c r="J612" s="1">
        <v>10569</v>
      </c>
      <c r="K612" s="1">
        <v>198</v>
      </c>
      <c r="L612" s="1" t="s">
        <v>26</v>
      </c>
      <c r="M612" s="1" t="s">
        <v>357</v>
      </c>
      <c r="N612" s="8" t="s">
        <v>359</v>
      </c>
    </row>
    <row r="613" spans="1:14" x14ac:dyDescent="0.3">
      <c r="A613" s="6" t="s">
        <v>257</v>
      </c>
      <c r="B613" s="1" t="s">
        <v>28</v>
      </c>
      <c r="C613" s="7">
        <v>45658</v>
      </c>
      <c r="D613" s="1" t="s">
        <v>36</v>
      </c>
      <c r="E613" s="1" t="s">
        <v>65</v>
      </c>
      <c r="F613" s="1">
        <v>2234</v>
      </c>
      <c r="G613" s="1">
        <v>653</v>
      </c>
      <c r="H613" s="1">
        <v>432</v>
      </c>
      <c r="I613" s="1">
        <v>11170</v>
      </c>
      <c r="J613" s="1">
        <v>10569</v>
      </c>
      <c r="K613" s="1">
        <v>198</v>
      </c>
      <c r="L613" s="1" t="s">
        <v>26</v>
      </c>
      <c r="M613" s="1" t="s">
        <v>358</v>
      </c>
      <c r="N613" s="8" t="s">
        <v>359</v>
      </c>
    </row>
    <row r="614" spans="1:14" x14ac:dyDescent="0.3">
      <c r="A614" s="6" t="s">
        <v>258</v>
      </c>
      <c r="B614" s="1" t="s">
        <v>14</v>
      </c>
      <c r="C614" s="7">
        <v>45771</v>
      </c>
      <c r="D614" s="1" t="s">
        <v>56</v>
      </c>
      <c r="E614" s="1" t="s">
        <v>95</v>
      </c>
      <c r="F614" s="1">
        <v>3820</v>
      </c>
      <c r="G614" s="1">
        <v>697</v>
      </c>
      <c r="H614" s="1">
        <v>268</v>
      </c>
      <c r="I614" s="1">
        <v>45840</v>
      </c>
      <c r="J614" s="1">
        <v>45631</v>
      </c>
      <c r="K614" s="1">
        <v>171</v>
      </c>
      <c r="L614" s="1" t="s">
        <v>32</v>
      </c>
      <c r="M614" s="1" t="s">
        <v>11</v>
      </c>
      <c r="N614" s="8" t="s">
        <v>25</v>
      </c>
    </row>
    <row r="615" spans="1:14" x14ac:dyDescent="0.3">
      <c r="A615" s="6" t="s">
        <v>258</v>
      </c>
      <c r="B615" s="1" t="s">
        <v>14</v>
      </c>
      <c r="C615" s="7">
        <v>45771</v>
      </c>
      <c r="D615" s="1" t="s">
        <v>56</v>
      </c>
      <c r="E615" s="1" t="s">
        <v>95</v>
      </c>
      <c r="F615" s="1">
        <v>3820</v>
      </c>
      <c r="G615" s="1">
        <v>697</v>
      </c>
      <c r="H615" s="1">
        <v>268</v>
      </c>
      <c r="I615" s="1">
        <v>45840</v>
      </c>
      <c r="J615" s="1">
        <v>45631</v>
      </c>
      <c r="K615" s="1">
        <v>171</v>
      </c>
      <c r="L615" s="1" t="s">
        <v>32</v>
      </c>
      <c r="M615" s="1" t="s">
        <v>357</v>
      </c>
      <c r="N615" s="8" t="s">
        <v>356</v>
      </c>
    </row>
    <row r="616" spans="1:14" x14ac:dyDescent="0.3">
      <c r="A616" s="6" t="s">
        <v>258</v>
      </c>
      <c r="B616" s="1" t="s">
        <v>14</v>
      </c>
      <c r="C616" s="7">
        <v>45771</v>
      </c>
      <c r="D616" s="1" t="s">
        <v>56</v>
      </c>
      <c r="E616" s="1" t="s">
        <v>95</v>
      </c>
      <c r="F616" s="1">
        <v>3820</v>
      </c>
      <c r="G616" s="1">
        <v>697</v>
      </c>
      <c r="H616" s="1">
        <v>268</v>
      </c>
      <c r="I616" s="1">
        <v>45840</v>
      </c>
      <c r="J616" s="1">
        <v>45631</v>
      </c>
      <c r="K616" s="1">
        <v>171</v>
      </c>
      <c r="L616" s="1" t="s">
        <v>32</v>
      </c>
      <c r="M616" s="1" t="s">
        <v>358</v>
      </c>
      <c r="N616" s="8" t="s">
        <v>359</v>
      </c>
    </row>
    <row r="617" spans="1:14" x14ac:dyDescent="0.3">
      <c r="A617" s="6" t="s">
        <v>259</v>
      </c>
      <c r="B617" s="1" t="s">
        <v>14</v>
      </c>
      <c r="C617" s="7">
        <v>45467</v>
      </c>
      <c r="D617" s="1" t="s">
        <v>19</v>
      </c>
      <c r="E617" s="1" t="s">
        <v>20</v>
      </c>
      <c r="F617" s="1">
        <v>941</v>
      </c>
      <c r="G617" s="1">
        <v>121</v>
      </c>
      <c r="H617" s="1">
        <v>458</v>
      </c>
      <c r="I617" s="1">
        <v>14115</v>
      </c>
      <c r="J617" s="1">
        <v>13838</v>
      </c>
      <c r="K617" s="1">
        <v>87</v>
      </c>
      <c r="L617" s="1" t="s">
        <v>17</v>
      </c>
      <c r="M617" s="1" t="s">
        <v>11</v>
      </c>
      <c r="N617" s="8" t="s">
        <v>31</v>
      </c>
    </row>
    <row r="618" spans="1:14" x14ac:dyDescent="0.3">
      <c r="A618" s="6" t="s">
        <v>259</v>
      </c>
      <c r="B618" s="1" t="s">
        <v>14</v>
      </c>
      <c r="C618" s="7">
        <v>45467</v>
      </c>
      <c r="D618" s="1" t="s">
        <v>19</v>
      </c>
      <c r="E618" s="1" t="s">
        <v>20</v>
      </c>
      <c r="F618" s="1">
        <v>941</v>
      </c>
      <c r="G618" s="1">
        <v>121</v>
      </c>
      <c r="H618" s="1">
        <v>458</v>
      </c>
      <c r="I618" s="1">
        <v>14115</v>
      </c>
      <c r="J618" s="1">
        <v>13838</v>
      </c>
      <c r="K618" s="1">
        <v>87</v>
      </c>
      <c r="L618" s="1" t="s">
        <v>17</v>
      </c>
      <c r="M618" s="1" t="s">
        <v>357</v>
      </c>
      <c r="N618" s="8" t="s">
        <v>359</v>
      </c>
    </row>
    <row r="619" spans="1:14" x14ac:dyDescent="0.3">
      <c r="A619" s="6" t="s">
        <v>259</v>
      </c>
      <c r="B619" s="1" t="s">
        <v>14</v>
      </c>
      <c r="C619" s="7">
        <v>45467</v>
      </c>
      <c r="D619" s="1" t="s">
        <v>19</v>
      </c>
      <c r="E619" s="1" t="s">
        <v>20</v>
      </c>
      <c r="F619" s="1">
        <v>941</v>
      </c>
      <c r="G619" s="1">
        <v>121</v>
      </c>
      <c r="H619" s="1">
        <v>458</v>
      </c>
      <c r="I619" s="1">
        <v>14115</v>
      </c>
      <c r="J619" s="1">
        <v>13838</v>
      </c>
      <c r="K619" s="1">
        <v>87</v>
      </c>
      <c r="L619" s="1" t="s">
        <v>17</v>
      </c>
      <c r="M619" s="1" t="s">
        <v>358</v>
      </c>
      <c r="N619" s="8" t="s">
        <v>359</v>
      </c>
    </row>
    <row r="620" spans="1:14" x14ac:dyDescent="0.3">
      <c r="A620" s="6" t="s">
        <v>260</v>
      </c>
      <c r="B620" s="1" t="s">
        <v>14</v>
      </c>
      <c r="C620" s="7">
        <v>45655</v>
      </c>
      <c r="D620" s="1" t="s">
        <v>36</v>
      </c>
      <c r="E620" s="1" t="s">
        <v>39</v>
      </c>
      <c r="F620" s="1">
        <v>4274</v>
      </c>
      <c r="G620" s="1">
        <v>340</v>
      </c>
      <c r="H620" s="1">
        <v>281</v>
      </c>
      <c r="I620" s="1">
        <v>34192</v>
      </c>
      <c r="J620" s="1">
        <v>33446</v>
      </c>
      <c r="K620" s="1">
        <v>129</v>
      </c>
      <c r="L620" s="1" t="s">
        <v>26</v>
      </c>
      <c r="M620" s="1" t="s">
        <v>11</v>
      </c>
      <c r="N620" s="8" t="s">
        <v>25</v>
      </c>
    </row>
    <row r="621" spans="1:14" x14ac:dyDescent="0.3">
      <c r="A621" s="6" t="s">
        <v>260</v>
      </c>
      <c r="B621" s="1" t="s">
        <v>14</v>
      </c>
      <c r="C621" s="7">
        <v>45655</v>
      </c>
      <c r="D621" s="1" t="s">
        <v>36</v>
      </c>
      <c r="E621" s="1" t="s">
        <v>39</v>
      </c>
      <c r="F621" s="1">
        <v>4274</v>
      </c>
      <c r="G621" s="1">
        <v>340</v>
      </c>
      <c r="H621" s="1">
        <v>281</v>
      </c>
      <c r="I621" s="1">
        <v>34192</v>
      </c>
      <c r="J621" s="1">
        <v>33446</v>
      </c>
      <c r="K621" s="1">
        <v>129</v>
      </c>
      <c r="L621" s="1" t="s">
        <v>26</v>
      </c>
      <c r="M621" s="1" t="s">
        <v>357</v>
      </c>
      <c r="N621" s="8" t="s">
        <v>356</v>
      </c>
    </row>
    <row r="622" spans="1:14" x14ac:dyDescent="0.3">
      <c r="A622" s="6" t="s">
        <v>260</v>
      </c>
      <c r="B622" s="1" t="s">
        <v>14</v>
      </c>
      <c r="C622" s="7">
        <v>45655</v>
      </c>
      <c r="D622" s="1" t="s">
        <v>36</v>
      </c>
      <c r="E622" s="1" t="s">
        <v>39</v>
      </c>
      <c r="F622" s="1">
        <v>4274</v>
      </c>
      <c r="G622" s="1">
        <v>340</v>
      </c>
      <c r="H622" s="1">
        <v>281</v>
      </c>
      <c r="I622" s="1">
        <v>34192</v>
      </c>
      <c r="J622" s="1">
        <v>33446</v>
      </c>
      <c r="K622" s="1">
        <v>129</v>
      </c>
      <c r="L622" s="1" t="s">
        <v>26</v>
      </c>
      <c r="M622" s="1" t="s">
        <v>358</v>
      </c>
      <c r="N622" s="8" t="s">
        <v>359</v>
      </c>
    </row>
    <row r="623" spans="1:14" x14ac:dyDescent="0.3">
      <c r="A623" s="6" t="s">
        <v>261</v>
      </c>
      <c r="B623" s="1" t="s">
        <v>23</v>
      </c>
      <c r="C623" s="7">
        <v>45467</v>
      </c>
      <c r="D623" s="1" t="s">
        <v>56</v>
      </c>
      <c r="E623" s="1" t="s">
        <v>136</v>
      </c>
      <c r="F623" s="1">
        <v>2949</v>
      </c>
      <c r="G623" s="1">
        <v>476</v>
      </c>
      <c r="H623" s="1">
        <v>403</v>
      </c>
      <c r="I623" s="1">
        <v>44235</v>
      </c>
      <c r="J623" s="1">
        <v>43705</v>
      </c>
      <c r="K623" s="1">
        <v>135</v>
      </c>
      <c r="L623" s="1" t="s">
        <v>21</v>
      </c>
      <c r="M623" s="1" t="s">
        <v>11</v>
      </c>
      <c r="N623" s="8" t="s">
        <v>25</v>
      </c>
    </row>
    <row r="624" spans="1:14" x14ac:dyDescent="0.3">
      <c r="A624" s="6" t="s">
        <v>261</v>
      </c>
      <c r="B624" s="1" t="s">
        <v>23</v>
      </c>
      <c r="C624" s="7">
        <v>45467</v>
      </c>
      <c r="D624" s="1" t="s">
        <v>56</v>
      </c>
      <c r="E624" s="1" t="s">
        <v>136</v>
      </c>
      <c r="F624" s="1">
        <v>2949</v>
      </c>
      <c r="G624" s="1">
        <v>476</v>
      </c>
      <c r="H624" s="1">
        <v>403</v>
      </c>
      <c r="I624" s="1">
        <v>44235</v>
      </c>
      <c r="J624" s="1">
        <v>43705</v>
      </c>
      <c r="K624" s="1">
        <v>135</v>
      </c>
      <c r="L624" s="1" t="s">
        <v>21</v>
      </c>
      <c r="M624" s="1" t="s">
        <v>357</v>
      </c>
      <c r="N624" s="8" t="s">
        <v>359</v>
      </c>
    </row>
    <row r="625" spans="1:14" x14ac:dyDescent="0.3">
      <c r="A625" s="6" t="s">
        <v>261</v>
      </c>
      <c r="B625" s="1" t="s">
        <v>23</v>
      </c>
      <c r="C625" s="7">
        <v>45467</v>
      </c>
      <c r="D625" s="1" t="s">
        <v>56</v>
      </c>
      <c r="E625" s="1" t="s">
        <v>136</v>
      </c>
      <c r="F625" s="1">
        <v>2949</v>
      </c>
      <c r="G625" s="1">
        <v>476</v>
      </c>
      <c r="H625" s="1">
        <v>403</v>
      </c>
      <c r="I625" s="1">
        <v>44235</v>
      </c>
      <c r="J625" s="1">
        <v>43705</v>
      </c>
      <c r="K625" s="1">
        <v>135</v>
      </c>
      <c r="L625" s="1" t="s">
        <v>21</v>
      </c>
      <c r="M625" s="1" t="s">
        <v>358</v>
      </c>
      <c r="N625" s="8" t="s">
        <v>359</v>
      </c>
    </row>
    <row r="626" spans="1:14" x14ac:dyDescent="0.3">
      <c r="A626" s="6" t="s">
        <v>262</v>
      </c>
      <c r="B626" s="1" t="s">
        <v>14</v>
      </c>
      <c r="C626" s="7">
        <v>45735</v>
      </c>
      <c r="D626" s="1" t="s">
        <v>56</v>
      </c>
      <c r="E626" s="1" t="s">
        <v>95</v>
      </c>
      <c r="F626" s="1">
        <v>3160</v>
      </c>
      <c r="G626" s="1">
        <v>204</v>
      </c>
      <c r="H626" s="1">
        <v>297</v>
      </c>
      <c r="I626" s="1">
        <v>44240</v>
      </c>
      <c r="J626" s="1">
        <v>43666</v>
      </c>
      <c r="K626" s="1">
        <v>49</v>
      </c>
      <c r="L626" s="1" t="s">
        <v>32</v>
      </c>
      <c r="M626" s="1" t="s">
        <v>11</v>
      </c>
      <c r="N626" s="8" t="s">
        <v>48</v>
      </c>
    </row>
    <row r="627" spans="1:14" x14ac:dyDescent="0.3">
      <c r="A627" s="6" t="s">
        <v>262</v>
      </c>
      <c r="B627" s="1" t="s">
        <v>14</v>
      </c>
      <c r="C627" s="7">
        <v>45735</v>
      </c>
      <c r="D627" s="1" t="s">
        <v>56</v>
      </c>
      <c r="E627" s="1" t="s">
        <v>95</v>
      </c>
      <c r="F627" s="1">
        <v>3160</v>
      </c>
      <c r="G627" s="1">
        <v>204</v>
      </c>
      <c r="H627" s="1">
        <v>297</v>
      </c>
      <c r="I627" s="1">
        <v>44240</v>
      </c>
      <c r="J627" s="1">
        <v>43666</v>
      </c>
      <c r="K627" s="1">
        <v>49</v>
      </c>
      <c r="L627" s="1" t="s">
        <v>32</v>
      </c>
      <c r="M627" s="1" t="s">
        <v>357</v>
      </c>
      <c r="N627" s="8" t="s">
        <v>354</v>
      </c>
    </row>
    <row r="628" spans="1:14" x14ac:dyDescent="0.3">
      <c r="A628" s="6" t="s">
        <v>262</v>
      </c>
      <c r="B628" s="1" t="s">
        <v>14</v>
      </c>
      <c r="C628" s="7">
        <v>45735</v>
      </c>
      <c r="D628" s="1" t="s">
        <v>56</v>
      </c>
      <c r="E628" s="1" t="s">
        <v>95</v>
      </c>
      <c r="F628" s="1">
        <v>3160</v>
      </c>
      <c r="G628" s="1">
        <v>204</v>
      </c>
      <c r="H628" s="1">
        <v>297</v>
      </c>
      <c r="I628" s="1">
        <v>44240</v>
      </c>
      <c r="J628" s="1">
        <v>43666</v>
      </c>
      <c r="K628" s="1">
        <v>49</v>
      </c>
      <c r="L628" s="1" t="s">
        <v>32</v>
      </c>
      <c r="M628" s="1" t="s">
        <v>358</v>
      </c>
      <c r="N628" s="8" t="s">
        <v>359</v>
      </c>
    </row>
    <row r="629" spans="1:14" x14ac:dyDescent="0.3">
      <c r="A629" s="6" t="s">
        <v>263</v>
      </c>
      <c r="B629" s="1" t="s">
        <v>23</v>
      </c>
      <c r="C629" s="7">
        <v>45707</v>
      </c>
      <c r="D629" s="1" t="s">
        <v>41</v>
      </c>
      <c r="E629" s="1" t="s">
        <v>42</v>
      </c>
      <c r="F629" s="1">
        <v>257</v>
      </c>
      <c r="G629" s="1">
        <v>966</v>
      </c>
      <c r="H629" s="1">
        <v>398</v>
      </c>
      <c r="I629" s="1">
        <v>3341</v>
      </c>
      <c r="J629" s="1">
        <v>2753</v>
      </c>
      <c r="K629" s="1">
        <v>287</v>
      </c>
      <c r="L629" s="1" t="s">
        <v>17</v>
      </c>
      <c r="M629" s="1" t="s">
        <v>11</v>
      </c>
      <c r="N629" s="8" t="s">
        <v>48</v>
      </c>
    </row>
    <row r="630" spans="1:14" x14ac:dyDescent="0.3">
      <c r="A630" s="6" t="s">
        <v>263</v>
      </c>
      <c r="B630" s="1" t="s">
        <v>23</v>
      </c>
      <c r="C630" s="7">
        <v>45707</v>
      </c>
      <c r="D630" s="1" t="s">
        <v>41</v>
      </c>
      <c r="E630" s="1" t="s">
        <v>42</v>
      </c>
      <c r="F630" s="1">
        <v>257</v>
      </c>
      <c r="G630" s="1">
        <v>966</v>
      </c>
      <c r="H630" s="1">
        <v>398</v>
      </c>
      <c r="I630" s="1">
        <v>3341</v>
      </c>
      <c r="J630" s="1">
        <v>2753</v>
      </c>
      <c r="K630" s="1">
        <v>287</v>
      </c>
      <c r="L630" s="1" t="s">
        <v>17</v>
      </c>
      <c r="M630" s="1" t="s">
        <v>357</v>
      </c>
      <c r="N630" s="8" t="s">
        <v>359</v>
      </c>
    </row>
    <row r="631" spans="1:14" x14ac:dyDescent="0.3">
      <c r="A631" s="6" t="s">
        <v>263</v>
      </c>
      <c r="B631" s="1" t="s">
        <v>23</v>
      </c>
      <c r="C631" s="7">
        <v>45707</v>
      </c>
      <c r="D631" s="1" t="s">
        <v>41</v>
      </c>
      <c r="E631" s="1" t="s">
        <v>42</v>
      </c>
      <c r="F631" s="1">
        <v>257</v>
      </c>
      <c r="G631" s="1">
        <v>966</v>
      </c>
      <c r="H631" s="1">
        <v>398</v>
      </c>
      <c r="I631" s="1">
        <v>3341</v>
      </c>
      <c r="J631" s="1">
        <v>2753</v>
      </c>
      <c r="K631" s="1">
        <v>287</v>
      </c>
      <c r="L631" s="1" t="s">
        <v>17</v>
      </c>
      <c r="M631" s="1" t="s">
        <v>358</v>
      </c>
      <c r="N631" s="8" t="s">
        <v>359</v>
      </c>
    </row>
    <row r="632" spans="1:14" x14ac:dyDescent="0.3">
      <c r="A632" s="6" t="s">
        <v>264</v>
      </c>
      <c r="B632" s="1" t="s">
        <v>14</v>
      </c>
      <c r="C632" s="7">
        <v>45491</v>
      </c>
      <c r="D632" s="1" t="s">
        <v>36</v>
      </c>
      <c r="E632" s="1" t="s">
        <v>39</v>
      </c>
      <c r="F632" s="1">
        <v>2120</v>
      </c>
      <c r="G632" s="1">
        <v>38</v>
      </c>
      <c r="H632" s="1">
        <v>212</v>
      </c>
      <c r="I632" s="1">
        <v>12720</v>
      </c>
      <c r="J632" s="1">
        <v>12564</v>
      </c>
      <c r="K632" s="1">
        <v>21</v>
      </c>
      <c r="L632" s="1" t="s">
        <v>32</v>
      </c>
      <c r="M632" s="1" t="s">
        <v>11</v>
      </c>
      <c r="N632" s="8" t="s">
        <v>48</v>
      </c>
    </row>
    <row r="633" spans="1:14" x14ac:dyDescent="0.3">
      <c r="A633" s="6" t="s">
        <v>264</v>
      </c>
      <c r="B633" s="1" t="s">
        <v>14</v>
      </c>
      <c r="C633" s="7">
        <v>45491</v>
      </c>
      <c r="D633" s="1" t="s">
        <v>36</v>
      </c>
      <c r="E633" s="1" t="s">
        <v>39</v>
      </c>
      <c r="F633" s="1">
        <v>2120</v>
      </c>
      <c r="G633" s="1">
        <v>38</v>
      </c>
      <c r="H633" s="1">
        <v>212</v>
      </c>
      <c r="I633" s="1">
        <v>12720</v>
      </c>
      <c r="J633" s="1">
        <v>12564</v>
      </c>
      <c r="K633" s="1">
        <v>21</v>
      </c>
      <c r="L633" s="1" t="s">
        <v>32</v>
      </c>
      <c r="M633" s="1" t="s">
        <v>357</v>
      </c>
      <c r="N633" s="8" t="s">
        <v>359</v>
      </c>
    </row>
    <row r="634" spans="1:14" x14ac:dyDescent="0.3">
      <c r="A634" s="6" t="s">
        <v>264</v>
      </c>
      <c r="B634" s="1" t="s">
        <v>14</v>
      </c>
      <c r="C634" s="7">
        <v>45491</v>
      </c>
      <c r="D634" s="1" t="s">
        <v>36</v>
      </c>
      <c r="E634" s="1" t="s">
        <v>39</v>
      </c>
      <c r="F634" s="1">
        <v>2120</v>
      </c>
      <c r="G634" s="1">
        <v>38</v>
      </c>
      <c r="H634" s="1">
        <v>212</v>
      </c>
      <c r="I634" s="1">
        <v>12720</v>
      </c>
      <c r="J634" s="1">
        <v>12564</v>
      </c>
      <c r="K634" s="1">
        <v>21</v>
      </c>
      <c r="L634" s="1" t="s">
        <v>32</v>
      </c>
      <c r="M634" s="1" t="s">
        <v>358</v>
      </c>
      <c r="N634" s="8" t="s">
        <v>359</v>
      </c>
    </row>
    <row r="635" spans="1:14" x14ac:dyDescent="0.3">
      <c r="A635" s="6" t="s">
        <v>265</v>
      </c>
      <c r="B635" s="1" t="s">
        <v>23</v>
      </c>
      <c r="C635" s="7">
        <v>45719</v>
      </c>
      <c r="D635" s="1" t="s">
        <v>56</v>
      </c>
      <c r="E635" s="1" t="s">
        <v>136</v>
      </c>
      <c r="F635" s="1">
        <v>3874</v>
      </c>
      <c r="G635" s="1">
        <v>884</v>
      </c>
      <c r="H635" s="1">
        <v>19</v>
      </c>
      <c r="I635" s="1">
        <v>38740</v>
      </c>
      <c r="J635" s="1">
        <v>38552</v>
      </c>
      <c r="K635" s="1">
        <v>219</v>
      </c>
      <c r="L635" s="1" t="s">
        <v>21</v>
      </c>
      <c r="M635" s="1" t="s">
        <v>11</v>
      </c>
      <c r="N635" s="8" t="s">
        <v>25</v>
      </c>
    </row>
    <row r="636" spans="1:14" x14ac:dyDescent="0.3">
      <c r="A636" s="6" t="s">
        <v>265</v>
      </c>
      <c r="B636" s="1" t="s">
        <v>23</v>
      </c>
      <c r="C636" s="7">
        <v>45719</v>
      </c>
      <c r="D636" s="1" t="s">
        <v>56</v>
      </c>
      <c r="E636" s="1" t="s">
        <v>136</v>
      </c>
      <c r="F636" s="1">
        <v>3874</v>
      </c>
      <c r="G636" s="1">
        <v>884</v>
      </c>
      <c r="H636" s="1">
        <v>19</v>
      </c>
      <c r="I636" s="1">
        <v>38740</v>
      </c>
      <c r="J636" s="1">
        <v>38552</v>
      </c>
      <c r="K636" s="1">
        <v>219</v>
      </c>
      <c r="L636" s="1" t="s">
        <v>21</v>
      </c>
      <c r="M636" s="1" t="s">
        <v>357</v>
      </c>
      <c r="N636" s="8" t="s">
        <v>359</v>
      </c>
    </row>
    <row r="637" spans="1:14" x14ac:dyDescent="0.3">
      <c r="A637" s="6" t="s">
        <v>265</v>
      </c>
      <c r="B637" s="1" t="s">
        <v>23</v>
      </c>
      <c r="C637" s="7">
        <v>45719</v>
      </c>
      <c r="D637" s="1" t="s">
        <v>56</v>
      </c>
      <c r="E637" s="1" t="s">
        <v>136</v>
      </c>
      <c r="F637" s="1">
        <v>3874</v>
      </c>
      <c r="G637" s="1">
        <v>884</v>
      </c>
      <c r="H637" s="1">
        <v>19</v>
      </c>
      <c r="I637" s="1">
        <v>38740</v>
      </c>
      <c r="J637" s="1">
        <v>38552</v>
      </c>
      <c r="K637" s="1">
        <v>219</v>
      </c>
      <c r="L637" s="1" t="s">
        <v>21</v>
      </c>
      <c r="M637" s="1" t="s">
        <v>358</v>
      </c>
      <c r="N637" s="8" t="s">
        <v>359</v>
      </c>
    </row>
    <row r="638" spans="1:14" x14ac:dyDescent="0.3">
      <c r="A638" s="6" t="s">
        <v>266</v>
      </c>
      <c r="B638" s="1" t="s">
        <v>35</v>
      </c>
      <c r="C638" s="7">
        <v>45778</v>
      </c>
      <c r="D638" s="1" t="s">
        <v>36</v>
      </c>
      <c r="E638" s="1" t="s">
        <v>37</v>
      </c>
      <c r="F638" s="1">
        <v>2696</v>
      </c>
      <c r="G638" s="1">
        <v>628</v>
      </c>
      <c r="H638" s="1">
        <v>443</v>
      </c>
      <c r="I638" s="1">
        <v>45832</v>
      </c>
      <c r="J638" s="1">
        <v>45632</v>
      </c>
      <c r="K638" s="1">
        <v>248</v>
      </c>
      <c r="L638" s="1" t="s">
        <v>32</v>
      </c>
      <c r="M638" s="1" t="s">
        <v>11</v>
      </c>
      <c r="N638" s="8" t="s">
        <v>31</v>
      </c>
    </row>
    <row r="639" spans="1:14" x14ac:dyDescent="0.3">
      <c r="A639" s="6" t="s">
        <v>266</v>
      </c>
      <c r="B639" s="1" t="s">
        <v>35</v>
      </c>
      <c r="C639" s="7">
        <v>45778</v>
      </c>
      <c r="D639" s="1" t="s">
        <v>36</v>
      </c>
      <c r="E639" s="1" t="s">
        <v>37</v>
      </c>
      <c r="F639" s="1">
        <v>2696</v>
      </c>
      <c r="G639" s="1">
        <v>628</v>
      </c>
      <c r="H639" s="1">
        <v>443</v>
      </c>
      <c r="I639" s="1">
        <v>45832</v>
      </c>
      <c r="J639" s="1">
        <v>45632</v>
      </c>
      <c r="K639" s="1">
        <v>248</v>
      </c>
      <c r="L639" s="1" t="s">
        <v>32</v>
      </c>
      <c r="M639" s="1" t="s">
        <v>357</v>
      </c>
      <c r="N639" s="8" t="s">
        <v>359</v>
      </c>
    </row>
    <row r="640" spans="1:14" x14ac:dyDescent="0.3">
      <c r="A640" s="6" t="s">
        <v>266</v>
      </c>
      <c r="B640" s="1" t="s">
        <v>35</v>
      </c>
      <c r="C640" s="7">
        <v>45778</v>
      </c>
      <c r="D640" s="1" t="s">
        <v>36</v>
      </c>
      <c r="E640" s="1" t="s">
        <v>37</v>
      </c>
      <c r="F640" s="1">
        <v>2696</v>
      </c>
      <c r="G640" s="1">
        <v>628</v>
      </c>
      <c r="H640" s="1">
        <v>443</v>
      </c>
      <c r="I640" s="1">
        <v>45832</v>
      </c>
      <c r="J640" s="1">
        <v>45632</v>
      </c>
      <c r="K640" s="1">
        <v>248</v>
      </c>
      <c r="L640" s="1" t="s">
        <v>32</v>
      </c>
      <c r="M640" s="1" t="s">
        <v>358</v>
      </c>
      <c r="N640" s="8" t="s">
        <v>359</v>
      </c>
    </row>
    <row r="641" spans="1:14" x14ac:dyDescent="0.3">
      <c r="A641" s="6" t="s">
        <v>267</v>
      </c>
      <c r="B641" s="1" t="s">
        <v>28</v>
      </c>
      <c r="C641" s="7">
        <v>45649</v>
      </c>
      <c r="D641" s="1" t="s">
        <v>41</v>
      </c>
      <c r="E641" s="1" t="s">
        <v>134</v>
      </c>
      <c r="F641" s="1">
        <v>521</v>
      </c>
      <c r="G641" s="1">
        <v>746</v>
      </c>
      <c r="H641" s="1">
        <v>315</v>
      </c>
      <c r="I641" s="1">
        <v>4168</v>
      </c>
      <c r="J641" s="1">
        <v>3399</v>
      </c>
      <c r="K641" s="1">
        <v>282</v>
      </c>
      <c r="L641" s="1" t="s">
        <v>21</v>
      </c>
      <c r="M641" s="1" t="s">
        <v>11</v>
      </c>
      <c r="N641" s="8" t="s">
        <v>48</v>
      </c>
    </row>
    <row r="642" spans="1:14" x14ac:dyDescent="0.3">
      <c r="A642" s="6" t="s">
        <v>267</v>
      </c>
      <c r="B642" s="1" t="s">
        <v>28</v>
      </c>
      <c r="C642" s="7">
        <v>45649</v>
      </c>
      <c r="D642" s="1" t="s">
        <v>41</v>
      </c>
      <c r="E642" s="1" t="s">
        <v>134</v>
      </c>
      <c r="F642" s="1">
        <v>521</v>
      </c>
      <c r="G642" s="1">
        <v>746</v>
      </c>
      <c r="H642" s="1">
        <v>315</v>
      </c>
      <c r="I642" s="1">
        <v>4168</v>
      </c>
      <c r="J642" s="1">
        <v>3399</v>
      </c>
      <c r="K642" s="1">
        <v>282</v>
      </c>
      <c r="L642" s="1" t="s">
        <v>21</v>
      </c>
      <c r="M642" s="1" t="s">
        <v>357</v>
      </c>
      <c r="N642" s="8" t="s">
        <v>359</v>
      </c>
    </row>
    <row r="643" spans="1:14" x14ac:dyDescent="0.3">
      <c r="A643" s="6" t="s">
        <v>267</v>
      </c>
      <c r="B643" s="1" t="s">
        <v>28</v>
      </c>
      <c r="C643" s="7">
        <v>45649</v>
      </c>
      <c r="D643" s="1" t="s">
        <v>41</v>
      </c>
      <c r="E643" s="1" t="s">
        <v>134</v>
      </c>
      <c r="F643" s="1">
        <v>521</v>
      </c>
      <c r="G643" s="1">
        <v>746</v>
      </c>
      <c r="H643" s="1">
        <v>315</v>
      </c>
      <c r="I643" s="1">
        <v>4168</v>
      </c>
      <c r="J643" s="1">
        <v>3399</v>
      </c>
      <c r="K643" s="1">
        <v>282</v>
      </c>
      <c r="L643" s="1" t="s">
        <v>21</v>
      </c>
      <c r="M643" s="1" t="s">
        <v>358</v>
      </c>
      <c r="N643" s="8" t="s">
        <v>359</v>
      </c>
    </row>
    <row r="644" spans="1:14" x14ac:dyDescent="0.3">
      <c r="A644" s="6" t="s">
        <v>268</v>
      </c>
      <c r="B644" s="1" t="s">
        <v>35</v>
      </c>
      <c r="C644" s="7">
        <v>45783</v>
      </c>
      <c r="D644" s="1" t="s">
        <v>41</v>
      </c>
      <c r="E644" s="1" t="s">
        <v>46</v>
      </c>
      <c r="F644" s="1">
        <v>4872</v>
      </c>
      <c r="G644" s="1">
        <v>925</v>
      </c>
      <c r="H644" s="1">
        <v>176</v>
      </c>
      <c r="I644" s="1">
        <v>82824</v>
      </c>
      <c r="J644" s="1">
        <v>82543</v>
      </c>
      <c r="K644" s="1">
        <v>89</v>
      </c>
      <c r="L644" s="1" t="s">
        <v>21</v>
      </c>
      <c r="M644" s="1" t="s">
        <v>11</v>
      </c>
      <c r="N644" s="8" t="s">
        <v>31</v>
      </c>
    </row>
    <row r="645" spans="1:14" x14ac:dyDescent="0.3">
      <c r="A645" s="6" t="s">
        <v>268</v>
      </c>
      <c r="B645" s="1" t="s">
        <v>35</v>
      </c>
      <c r="C645" s="7">
        <v>45783</v>
      </c>
      <c r="D645" s="1" t="s">
        <v>41</v>
      </c>
      <c r="E645" s="1" t="s">
        <v>46</v>
      </c>
      <c r="F645" s="1">
        <v>4872</v>
      </c>
      <c r="G645" s="1">
        <v>925</v>
      </c>
      <c r="H645" s="1">
        <v>176</v>
      </c>
      <c r="I645" s="1">
        <v>82824</v>
      </c>
      <c r="J645" s="1">
        <v>82543</v>
      </c>
      <c r="K645" s="1">
        <v>89</v>
      </c>
      <c r="L645" s="1" t="s">
        <v>21</v>
      </c>
      <c r="M645" s="1" t="s">
        <v>357</v>
      </c>
      <c r="N645" s="8" t="s">
        <v>359</v>
      </c>
    </row>
    <row r="646" spans="1:14" x14ac:dyDescent="0.3">
      <c r="A646" s="6" t="s">
        <v>268</v>
      </c>
      <c r="B646" s="1" t="s">
        <v>35</v>
      </c>
      <c r="C646" s="7">
        <v>45783</v>
      </c>
      <c r="D646" s="1" t="s">
        <v>41</v>
      </c>
      <c r="E646" s="1" t="s">
        <v>46</v>
      </c>
      <c r="F646" s="1">
        <v>4872</v>
      </c>
      <c r="G646" s="1">
        <v>925</v>
      </c>
      <c r="H646" s="1">
        <v>176</v>
      </c>
      <c r="I646" s="1">
        <v>82824</v>
      </c>
      <c r="J646" s="1">
        <v>82543</v>
      </c>
      <c r="K646" s="1">
        <v>89</v>
      </c>
      <c r="L646" s="1" t="s">
        <v>21</v>
      </c>
      <c r="M646" s="1" t="s">
        <v>358</v>
      </c>
      <c r="N646" s="8" t="s">
        <v>359</v>
      </c>
    </row>
    <row r="647" spans="1:14" x14ac:dyDescent="0.3">
      <c r="A647" s="6" t="s">
        <v>269</v>
      </c>
      <c r="B647" s="1" t="s">
        <v>23</v>
      </c>
      <c r="C647" s="7">
        <v>45502</v>
      </c>
      <c r="D647" s="1" t="s">
        <v>29</v>
      </c>
      <c r="E647" s="1" t="s">
        <v>101</v>
      </c>
      <c r="F647" s="1">
        <v>1509</v>
      </c>
      <c r="G647" s="1">
        <v>88</v>
      </c>
      <c r="H647" s="1">
        <v>163</v>
      </c>
      <c r="I647" s="1">
        <v>30180</v>
      </c>
      <c r="J647" s="1">
        <v>29689</v>
      </c>
      <c r="K647" s="1">
        <v>119</v>
      </c>
      <c r="L647" s="1" t="s">
        <v>21</v>
      </c>
      <c r="M647" s="1" t="s">
        <v>11</v>
      </c>
      <c r="N647" s="8" t="s">
        <v>31</v>
      </c>
    </row>
    <row r="648" spans="1:14" x14ac:dyDescent="0.3">
      <c r="A648" s="6" t="s">
        <v>269</v>
      </c>
      <c r="B648" s="1" t="s">
        <v>23</v>
      </c>
      <c r="C648" s="7">
        <v>45502</v>
      </c>
      <c r="D648" s="1" t="s">
        <v>29</v>
      </c>
      <c r="E648" s="1" t="s">
        <v>101</v>
      </c>
      <c r="F648" s="1">
        <v>1509</v>
      </c>
      <c r="G648" s="1">
        <v>88</v>
      </c>
      <c r="H648" s="1">
        <v>163</v>
      </c>
      <c r="I648" s="1">
        <v>30180</v>
      </c>
      <c r="J648" s="1">
        <v>29689</v>
      </c>
      <c r="K648" s="1">
        <v>119</v>
      </c>
      <c r="L648" s="1" t="s">
        <v>21</v>
      </c>
      <c r="M648" s="1" t="s">
        <v>357</v>
      </c>
      <c r="N648" s="8" t="s">
        <v>359</v>
      </c>
    </row>
    <row r="649" spans="1:14" x14ac:dyDescent="0.3">
      <c r="A649" s="6" t="s">
        <v>269</v>
      </c>
      <c r="B649" s="1" t="s">
        <v>23</v>
      </c>
      <c r="C649" s="7">
        <v>45502</v>
      </c>
      <c r="D649" s="1" t="s">
        <v>29</v>
      </c>
      <c r="E649" s="1" t="s">
        <v>101</v>
      </c>
      <c r="F649" s="1">
        <v>1509</v>
      </c>
      <c r="G649" s="1">
        <v>88</v>
      </c>
      <c r="H649" s="1">
        <v>163</v>
      </c>
      <c r="I649" s="1">
        <v>30180</v>
      </c>
      <c r="J649" s="1">
        <v>29689</v>
      </c>
      <c r="K649" s="1">
        <v>119</v>
      </c>
      <c r="L649" s="1" t="s">
        <v>21</v>
      </c>
      <c r="M649" s="1" t="s">
        <v>358</v>
      </c>
      <c r="N649" s="8" t="s">
        <v>359</v>
      </c>
    </row>
    <row r="650" spans="1:14" x14ac:dyDescent="0.3">
      <c r="A650" s="6" t="s">
        <v>270</v>
      </c>
      <c r="B650" s="1" t="s">
        <v>35</v>
      </c>
      <c r="C650" s="7">
        <v>45629</v>
      </c>
      <c r="D650" s="1" t="s">
        <v>41</v>
      </c>
      <c r="E650" s="1" t="s">
        <v>46</v>
      </c>
      <c r="F650" s="1">
        <v>4606</v>
      </c>
      <c r="G650" s="1">
        <v>931</v>
      </c>
      <c r="H650" s="1">
        <v>230</v>
      </c>
      <c r="I650" s="1">
        <v>92120</v>
      </c>
      <c r="J650" s="1">
        <v>91440</v>
      </c>
      <c r="K650" s="1">
        <v>56</v>
      </c>
      <c r="L650" s="1" t="s">
        <v>360</v>
      </c>
      <c r="M650" s="1" t="s">
        <v>11</v>
      </c>
      <c r="N650" s="8" t="s">
        <v>25</v>
      </c>
    </row>
    <row r="651" spans="1:14" x14ac:dyDescent="0.3">
      <c r="A651" s="6" t="s">
        <v>270</v>
      </c>
      <c r="B651" s="1" t="s">
        <v>35</v>
      </c>
      <c r="C651" s="7">
        <v>45629</v>
      </c>
      <c r="D651" s="1" t="s">
        <v>41</v>
      </c>
      <c r="E651" s="1" t="s">
        <v>46</v>
      </c>
      <c r="F651" s="1">
        <v>4606</v>
      </c>
      <c r="G651" s="1">
        <v>931</v>
      </c>
      <c r="H651" s="1">
        <v>230</v>
      </c>
      <c r="I651" s="1">
        <v>92120</v>
      </c>
      <c r="J651" s="1">
        <v>91440</v>
      </c>
      <c r="K651" s="1">
        <v>56</v>
      </c>
      <c r="L651" s="1" t="s">
        <v>360</v>
      </c>
      <c r="M651" s="1" t="s">
        <v>357</v>
      </c>
      <c r="N651" s="8" t="s">
        <v>359</v>
      </c>
    </row>
    <row r="652" spans="1:14" x14ac:dyDescent="0.3">
      <c r="A652" s="6" t="s">
        <v>270</v>
      </c>
      <c r="B652" s="1" t="s">
        <v>35</v>
      </c>
      <c r="C652" s="7">
        <v>45629</v>
      </c>
      <c r="D652" s="1" t="s">
        <v>41</v>
      </c>
      <c r="E652" s="1" t="s">
        <v>46</v>
      </c>
      <c r="F652" s="1">
        <v>4606</v>
      </c>
      <c r="G652" s="1">
        <v>931</v>
      </c>
      <c r="H652" s="1">
        <v>230</v>
      </c>
      <c r="I652" s="1">
        <v>92120</v>
      </c>
      <c r="J652" s="1">
        <v>91440</v>
      </c>
      <c r="K652" s="1">
        <v>56</v>
      </c>
      <c r="L652" s="1" t="s">
        <v>360</v>
      </c>
      <c r="M652" s="1" t="s">
        <v>358</v>
      </c>
      <c r="N652" s="8" t="s">
        <v>359</v>
      </c>
    </row>
    <row r="653" spans="1:14" x14ac:dyDescent="0.3">
      <c r="A653" s="6" t="s">
        <v>271</v>
      </c>
      <c r="B653" s="1" t="s">
        <v>35</v>
      </c>
      <c r="C653" s="7">
        <v>45454</v>
      </c>
      <c r="D653" s="1" t="s">
        <v>36</v>
      </c>
      <c r="E653" s="1" t="s">
        <v>37</v>
      </c>
      <c r="F653" s="1">
        <v>1869</v>
      </c>
      <c r="G653" s="1">
        <v>453</v>
      </c>
      <c r="H653" s="1">
        <v>490</v>
      </c>
      <c r="I653" s="1">
        <v>14952</v>
      </c>
      <c r="J653" s="1">
        <v>14309</v>
      </c>
      <c r="K653" s="1">
        <v>275</v>
      </c>
      <c r="L653" s="1" t="s">
        <v>32</v>
      </c>
      <c r="M653" s="1" t="s">
        <v>11</v>
      </c>
      <c r="N653" s="8" t="s">
        <v>25</v>
      </c>
    </row>
    <row r="654" spans="1:14" x14ac:dyDescent="0.3">
      <c r="A654" s="6" t="s">
        <v>271</v>
      </c>
      <c r="B654" s="1" t="s">
        <v>35</v>
      </c>
      <c r="C654" s="7">
        <v>45454</v>
      </c>
      <c r="D654" s="1" t="s">
        <v>36</v>
      </c>
      <c r="E654" s="1" t="s">
        <v>37</v>
      </c>
      <c r="F654" s="1">
        <v>1869</v>
      </c>
      <c r="G654" s="1">
        <v>453</v>
      </c>
      <c r="H654" s="1">
        <v>490</v>
      </c>
      <c r="I654" s="1">
        <v>14952</v>
      </c>
      <c r="J654" s="1">
        <v>14309</v>
      </c>
      <c r="K654" s="1">
        <v>275</v>
      </c>
      <c r="L654" s="1" t="s">
        <v>32</v>
      </c>
      <c r="M654" s="1" t="s">
        <v>357</v>
      </c>
      <c r="N654" s="8" t="s">
        <v>359</v>
      </c>
    </row>
    <row r="655" spans="1:14" x14ac:dyDescent="0.3">
      <c r="A655" s="6" t="s">
        <v>271</v>
      </c>
      <c r="B655" s="1" t="s">
        <v>35</v>
      </c>
      <c r="C655" s="7">
        <v>45454</v>
      </c>
      <c r="D655" s="1" t="s">
        <v>36</v>
      </c>
      <c r="E655" s="1" t="s">
        <v>37</v>
      </c>
      <c r="F655" s="1">
        <v>1869</v>
      </c>
      <c r="G655" s="1">
        <v>453</v>
      </c>
      <c r="H655" s="1">
        <v>490</v>
      </c>
      <c r="I655" s="1">
        <v>14952</v>
      </c>
      <c r="J655" s="1">
        <v>14309</v>
      </c>
      <c r="K655" s="1">
        <v>275</v>
      </c>
      <c r="L655" s="1" t="s">
        <v>32</v>
      </c>
      <c r="M655" s="1" t="s">
        <v>358</v>
      </c>
      <c r="N655" s="8" t="s">
        <v>359</v>
      </c>
    </row>
    <row r="656" spans="1:14" x14ac:dyDescent="0.3">
      <c r="A656" s="6" t="s">
        <v>272</v>
      </c>
      <c r="B656" s="1" t="s">
        <v>14</v>
      </c>
      <c r="C656" s="7">
        <v>45685</v>
      </c>
      <c r="D656" s="1" t="s">
        <v>15</v>
      </c>
      <c r="E656" s="1" t="s">
        <v>16</v>
      </c>
      <c r="F656" s="1">
        <v>1188</v>
      </c>
      <c r="G656" s="1">
        <v>470</v>
      </c>
      <c r="H656" s="1">
        <v>174</v>
      </c>
      <c r="I656" s="1">
        <v>7128</v>
      </c>
      <c r="J656" s="1">
        <v>6145</v>
      </c>
      <c r="K656" s="1">
        <v>270</v>
      </c>
      <c r="L656" s="1" t="s">
        <v>32</v>
      </c>
      <c r="M656" s="1" t="s">
        <v>11</v>
      </c>
      <c r="N656" s="8" t="s">
        <v>25</v>
      </c>
    </row>
    <row r="657" spans="1:14" x14ac:dyDescent="0.3">
      <c r="A657" s="6" t="s">
        <v>272</v>
      </c>
      <c r="B657" s="1" t="s">
        <v>14</v>
      </c>
      <c r="C657" s="7">
        <v>45685</v>
      </c>
      <c r="D657" s="1" t="s">
        <v>15</v>
      </c>
      <c r="E657" s="1" t="s">
        <v>16</v>
      </c>
      <c r="F657" s="1">
        <v>1188</v>
      </c>
      <c r="G657" s="1">
        <v>470</v>
      </c>
      <c r="H657" s="1">
        <v>174</v>
      </c>
      <c r="I657" s="1">
        <v>7128</v>
      </c>
      <c r="J657" s="1">
        <v>6145</v>
      </c>
      <c r="K657" s="1">
        <v>270</v>
      </c>
      <c r="L657" s="1" t="s">
        <v>32</v>
      </c>
      <c r="M657" s="1" t="s">
        <v>357</v>
      </c>
      <c r="N657" s="8" t="s">
        <v>359</v>
      </c>
    </row>
    <row r="658" spans="1:14" x14ac:dyDescent="0.3">
      <c r="A658" s="6" t="s">
        <v>272</v>
      </c>
      <c r="B658" s="1" t="s">
        <v>14</v>
      </c>
      <c r="C658" s="7">
        <v>45685</v>
      </c>
      <c r="D658" s="1" t="s">
        <v>15</v>
      </c>
      <c r="E658" s="1" t="s">
        <v>16</v>
      </c>
      <c r="F658" s="1">
        <v>1188</v>
      </c>
      <c r="G658" s="1">
        <v>470</v>
      </c>
      <c r="H658" s="1">
        <v>174</v>
      </c>
      <c r="I658" s="1">
        <v>7128</v>
      </c>
      <c r="J658" s="1">
        <v>6145</v>
      </c>
      <c r="K658" s="1">
        <v>270</v>
      </c>
      <c r="L658" s="1" t="s">
        <v>32</v>
      </c>
      <c r="M658" s="1" t="s">
        <v>358</v>
      </c>
      <c r="N658" s="8" t="s">
        <v>359</v>
      </c>
    </row>
    <row r="659" spans="1:14" x14ac:dyDescent="0.3">
      <c r="A659" s="6" t="s">
        <v>273</v>
      </c>
      <c r="B659" s="1" t="s">
        <v>28</v>
      </c>
      <c r="C659" s="7">
        <v>45445</v>
      </c>
      <c r="D659" s="1" t="s">
        <v>29</v>
      </c>
      <c r="E659" s="1" t="s">
        <v>30</v>
      </c>
      <c r="F659" s="1">
        <v>84</v>
      </c>
      <c r="G659" s="1">
        <v>897</v>
      </c>
      <c r="H659" s="1">
        <v>85</v>
      </c>
      <c r="I659" s="1">
        <v>588</v>
      </c>
      <c r="J659" s="1">
        <v>8</v>
      </c>
      <c r="K659" s="1">
        <v>12</v>
      </c>
      <c r="L659" s="1" t="s">
        <v>360</v>
      </c>
      <c r="M659" s="1" t="s">
        <v>11</v>
      </c>
      <c r="N659" s="8" t="s">
        <v>31</v>
      </c>
    </row>
    <row r="660" spans="1:14" x14ac:dyDescent="0.3">
      <c r="A660" s="6" t="s">
        <v>273</v>
      </c>
      <c r="B660" s="1" t="s">
        <v>28</v>
      </c>
      <c r="C660" s="7">
        <v>45445</v>
      </c>
      <c r="D660" s="1" t="s">
        <v>29</v>
      </c>
      <c r="E660" s="1" t="s">
        <v>30</v>
      </c>
      <c r="F660" s="1">
        <v>84</v>
      </c>
      <c r="G660" s="1">
        <v>897</v>
      </c>
      <c r="H660" s="1">
        <v>85</v>
      </c>
      <c r="I660" s="1">
        <v>588</v>
      </c>
      <c r="J660" s="1">
        <v>8</v>
      </c>
      <c r="K660" s="1">
        <v>12</v>
      </c>
      <c r="L660" s="1" t="s">
        <v>360</v>
      </c>
      <c r="M660" s="1" t="s">
        <v>357</v>
      </c>
      <c r="N660" s="8" t="s">
        <v>359</v>
      </c>
    </row>
    <row r="661" spans="1:14" x14ac:dyDescent="0.3">
      <c r="A661" s="6" t="s">
        <v>273</v>
      </c>
      <c r="B661" s="1" t="s">
        <v>28</v>
      </c>
      <c r="C661" s="7">
        <v>45445</v>
      </c>
      <c r="D661" s="1" t="s">
        <v>29</v>
      </c>
      <c r="E661" s="1" t="s">
        <v>30</v>
      </c>
      <c r="F661" s="1">
        <v>84</v>
      </c>
      <c r="G661" s="1">
        <v>897</v>
      </c>
      <c r="H661" s="1">
        <v>85</v>
      </c>
      <c r="I661" s="1">
        <v>588</v>
      </c>
      <c r="J661" s="1">
        <v>8</v>
      </c>
      <c r="K661" s="1">
        <v>12</v>
      </c>
      <c r="L661" s="1" t="s">
        <v>360</v>
      </c>
      <c r="M661" s="1" t="s">
        <v>358</v>
      </c>
      <c r="N661" s="8" t="s">
        <v>359</v>
      </c>
    </row>
    <row r="662" spans="1:14" x14ac:dyDescent="0.3">
      <c r="A662" s="6" t="s">
        <v>274</v>
      </c>
      <c r="B662" s="1" t="s">
        <v>35</v>
      </c>
      <c r="C662" s="7">
        <v>45739</v>
      </c>
      <c r="D662" s="1" t="s">
        <v>56</v>
      </c>
      <c r="E662" s="1" t="s">
        <v>57</v>
      </c>
      <c r="F662" s="1">
        <v>4453</v>
      </c>
      <c r="G662" s="1">
        <v>111</v>
      </c>
      <c r="H662" s="1">
        <v>420</v>
      </c>
      <c r="I662" s="1">
        <v>31171</v>
      </c>
      <c r="J662" s="1">
        <v>30565</v>
      </c>
      <c r="K662" s="1">
        <v>23</v>
      </c>
      <c r="L662" s="1" t="s">
        <v>360</v>
      </c>
      <c r="M662" s="1" t="s">
        <v>11</v>
      </c>
      <c r="N662" s="8" t="s">
        <v>25</v>
      </c>
    </row>
    <row r="663" spans="1:14" x14ac:dyDescent="0.3">
      <c r="A663" s="6" t="s">
        <v>274</v>
      </c>
      <c r="B663" s="1" t="s">
        <v>35</v>
      </c>
      <c r="C663" s="7">
        <v>45739</v>
      </c>
      <c r="D663" s="1" t="s">
        <v>56</v>
      </c>
      <c r="E663" s="1" t="s">
        <v>57</v>
      </c>
      <c r="F663" s="1">
        <v>4453</v>
      </c>
      <c r="G663" s="1">
        <v>111</v>
      </c>
      <c r="H663" s="1">
        <v>420</v>
      </c>
      <c r="I663" s="1">
        <v>31171</v>
      </c>
      <c r="J663" s="1">
        <v>30565</v>
      </c>
      <c r="K663" s="1">
        <v>23</v>
      </c>
      <c r="L663" s="1" t="s">
        <v>360</v>
      </c>
      <c r="M663" s="1" t="s">
        <v>357</v>
      </c>
      <c r="N663" s="8" t="s">
        <v>359</v>
      </c>
    </row>
    <row r="664" spans="1:14" x14ac:dyDescent="0.3">
      <c r="A664" s="6" t="s">
        <v>274</v>
      </c>
      <c r="B664" s="1" t="s">
        <v>35</v>
      </c>
      <c r="C664" s="7">
        <v>45739</v>
      </c>
      <c r="D664" s="1" t="s">
        <v>56</v>
      </c>
      <c r="E664" s="1" t="s">
        <v>57</v>
      </c>
      <c r="F664" s="1">
        <v>4453</v>
      </c>
      <c r="G664" s="1">
        <v>111</v>
      </c>
      <c r="H664" s="1">
        <v>420</v>
      </c>
      <c r="I664" s="1">
        <v>31171</v>
      </c>
      <c r="J664" s="1">
        <v>30565</v>
      </c>
      <c r="K664" s="1">
        <v>23</v>
      </c>
      <c r="L664" s="1" t="s">
        <v>360</v>
      </c>
      <c r="M664" s="1" t="s">
        <v>358</v>
      </c>
      <c r="N664" s="8" t="s">
        <v>359</v>
      </c>
    </row>
    <row r="665" spans="1:14" x14ac:dyDescent="0.3">
      <c r="A665" s="6" t="s">
        <v>275</v>
      </c>
      <c r="B665" s="1" t="s">
        <v>35</v>
      </c>
      <c r="C665" s="7">
        <v>45573</v>
      </c>
      <c r="D665" s="1" t="s">
        <v>15</v>
      </c>
      <c r="E665" s="1" t="s">
        <v>50</v>
      </c>
      <c r="F665" s="1">
        <v>1814</v>
      </c>
      <c r="G665" s="1">
        <v>653</v>
      </c>
      <c r="H665" s="1">
        <v>363</v>
      </c>
      <c r="I665" s="1">
        <v>25396</v>
      </c>
      <c r="J665" s="1">
        <v>25286</v>
      </c>
      <c r="K665" s="1">
        <v>39</v>
      </c>
      <c r="L665" s="1" t="s">
        <v>17</v>
      </c>
      <c r="M665" s="1" t="s">
        <v>11</v>
      </c>
      <c r="N665" s="8" t="s">
        <v>48</v>
      </c>
    </row>
    <row r="666" spans="1:14" x14ac:dyDescent="0.3">
      <c r="A666" s="6" t="s">
        <v>275</v>
      </c>
      <c r="B666" s="1" t="s">
        <v>35</v>
      </c>
      <c r="C666" s="7">
        <v>45573</v>
      </c>
      <c r="D666" s="1" t="s">
        <v>15</v>
      </c>
      <c r="E666" s="1" t="s">
        <v>50</v>
      </c>
      <c r="F666" s="1">
        <v>1814</v>
      </c>
      <c r="G666" s="1">
        <v>653</v>
      </c>
      <c r="H666" s="1">
        <v>363</v>
      </c>
      <c r="I666" s="1">
        <v>25396</v>
      </c>
      <c r="J666" s="1">
        <v>25286</v>
      </c>
      <c r="K666" s="1">
        <v>39</v>
      </c>
      <c r="L666" s="1" t="s">
        <v>17</v>
      </c>
      <c r="M666" s="1" t="s">
        <v>357</v>
      </c>
      <c r="N666" s="8" t="s">
        <v>356</v>
      </c>
    </row>
    <row r="667" spans="1:14" x14ac:dyDescent="0.3">
      <c r="A667" s="6" t="s">
        <v>275</v>
      </c>
      <c r="B667" s="1" t="s">
        <v>35</v>
      </c>
      <c r="C667" s="7">
        <v>45573</v>
      </c>
      <c r="D667" s="1" t="s">
        <v>15</v>
      </c>
      <c r="E667" s="1" t="s">
        <v>50</v>
      </c>
      <c r="F667" s="1">
        <v>1814</v>
      </c>
      <c r="G667" s="1">
        <v>653</v>
      </c>
      <c r="H667" s="1">
        <v>363</v>
      </c>
      <c r="I667" s="1">
        <v>25396</v>
      </c>
      <c r="J667" s="1">
        <v>25286</v>
      </c>
      <c r="K667" s="1">
        <v>39</v>
      </c>
      <c r="L667" s="1" t="s">
        <v>17</v>
      </c>
      <c r="M667" s="1" t="s">
        <v>358</v>
      </c>
      <c r="N667" s="8" t="s">
        <v>359</v>
      </c>
    </row>
    <row r="668" spans="1:14" x14ac:dyDescent="0.3">
      <c r="A668" s="6" t="s">
        <v>276</v>
      </c>
      <c r="B668" s="1" t="s">
        <v>14</v>
      </c>
      <c r="C668" s="7">
        <v>45608</v>
      </c>
      <c r="D668" s="1" t="s">
        <v>41</v>
      </c>
      <c r="E668" s="1" t="s">
        <v>88</v>
      </c>
      <c r="F668" s="1">
        <v>3338</v>
      </c>
      <c r="G668" s="1">
        <v>277</v>
      </c>
      <c r="H668" s="1">
        <v>118</v>
      </c>
      <c r="I668" s="1">
        <v>60084</v>
      </c>
      <c r="J668" s="1">
        <v>59842</v>
      </c>
      <c r="K668" s="1">
        <v>252</v>
      </c>
      <c r="L668" s="1" t="s">
        <v>360</v>
      </c>
      <c r="M668" s="1" t="s">
        <v>11</v>
      </c>
      <c r="N668" s="8" t="s">
        <v>25</v>
      </c>
    </row>
    <row r="669" spans="1:14" x14ac:dyDescent="0.3">
      <c r="A669" s="6" t="s">
        <v>276</v>
      </c>
      <c r="B669" s="1" t="s">
        <v>14</v>
      </c>
      <c r="C669" s="7">
        <v>45608</v>
      </c>
      <c r="D669" s="1" t="s">
        <v>41</v>
      </c>
      <c r="E669" s="1" t="s">
        <v>88</v>
      </c>
      <c r="F669" s="1">
        <v>3338</v>
      </c>
      <c r="G669" s="1">
        <v>277</v>
      </c>
      <c r="H669" s="1">
        <v>118</v>
      </c>
      <c r="I669" s="1">
        <v>60084</v>
      </c>
      <c r="J669" s="1">
        <v>59842</v>
      </c>
      <c r="K669" s="1">
        <v>252</v>
      </c>
      <c r="L669" s="1" t="s">
        <v>360</v>
      </c>
      <c r="M669" s="1" t="s">
        <v>357</v>
      </c>
      <c r="N669" s="8" t="s">
        <v>359</v>
      </c>
    </row>
    <row r="670" spans="1:14" x14ac:dyDescent="0.3">
      <c r="A670" s="6" t="s">
        <v>276</v>
      </c>
      <c r="B670" s="1" t="s">
        <v>14</v>
      </c>
      <c r="C670" s="7">
        <v>45608</v>
      </c>
      <c r="D670" s="1" t="s">
        <v>41</v>
      </c>
      <c r="E670" s="1" t="s">
        <v>88</v>
      </c>
      <c r="F670" s="1">
        <v>3338</v>
      </c>
      <c r="G670" s="1">
        <v>277</v>
      </c>
      <c r="H670" s="1">
        <v>118</v>
      </c>
      <c r="I670" s="1">
        <v>60084</v>
      </c>
      <c r="J670" s="1">
        <v>59842</v>
      </c>
      <c r="K670" s="1">
        <v>252</v>
      </c>
      <c r="L670" s="1" t="s">
        <v>360</v>
      </c>
      <c r="M670" s="1" t="s">
        <v>358</v>
      </c>
      <c r="N670" s="8" t="s">
        <v>359</v>
      </c>
    </row>
    <row r="671" spans="1:14" x14ac:dyDescent="0.3">
      <c r="A671" s="6" t="s">
        <v>277</v>
      </c>
      <c r="B671" s="1" t="s">
        <v>35</v>
      </c>
      <c r="C671" s="7">
        <v>45790</v>
      </c>
      <c r="D671" s="1" t="s">
        <v>41</v>
      </c>
      <c r="E671" s="1" t="s">
        <v>46</v>
      </c>
      <c r="F671" s="1">
        <v>602</v>
      </c>
      <c r="G671" s="1">
        <v>594</v>
      </c>
      <c r="H671" s="1">
        <v>156</v>
      </c>
      <c r="I671" s="1">
        <v>4214</v>
      </c>
      <c r="J671" s="1">
        <v>3363</v>
      </c>
      <c r="K671" s="1">
        <v>164</v>
      </c>
      <c r="L671" s="1" t="s">
        <v>26</v>
      </c>
      <c r="M671" s="1" t="s">
        <v>11</v>
      </c>
      <c r="N671" s="8" t="s">
        <v>25</v>
      </c>
    </row>
    <row r="672" spans="1:14" x14ac:dyDescent="0.3">
      <c r="A672" s="6" t="s">
        <v>277</v>
      </c>
      <c r="B672" s="1" t="s">
        <v>35</v>
      </c>
      <c r="C672" s="7">
        <v>45790</v>
      </c>
      <c r="D672" s="1" t="s">
        <v>41</v>
      </c>
      <c r="E672" s="1" t="s">
        <v>46</v>
      </c>
      <c r="F672" s="1">
        <v>602</v>
      </c>
      <c r="G672" s="1">
        <v>594</v>
      </c>
      <c r="H672" s="1">
        <v>156</v>
      </c>
      <c r="I672" s="1">
        <v>4214</v>
      </c>
      <c r="J672" s="1">
        <v>3363</v>
      </c>
      <c r="K672" s="1">
        <v>164</v>
      </c>
      <c r="L672" s="1" t="s">
        <v>26</v>
      </c>
      <c r="M672" s="1" t="s">
        <v>357</v>
      </c>
      <c r="N672" s="8" t="s">
        <v>359</v>
      </c>
    </row>
    <row r="673" spans="1:14" x14ac:dyDescent="0.3">
      <c r="A673" s="6" t="s">
        <v>277</v>
      </c>
      <c r="B673" s="1" t="s">
        <v>35</v>
      </c>
      <c r="C673" s="7">
        <v>45790</v>
      </c>
      <c r="D673" s="1" t="s">
        <v>41</v>
      </c>
      <c r="E673" s="1" t="s">
        <v>46</v>
      </c>
      <c r="F673" s="1">
        <v>602</v>
      </c>
      <c r="G673" s="1">
        <v>594</v>
      </c>
      <c r="H673" s="1">
        <v>156</v>
      </c>
      <c r="I673" s="1">
        <v>4214</v>
      </c>
      <c r="J673" s="1">
        <v>3363</v>
      </c>
      <c r="K673" s="1">
        <v>164</v>
      </c>
      <c r="L673" s="1" t="s">
        <v>26</v>
      </c>
      <c r="M673" s="1" t="s">
        <v>358</v>
      </c>
      <c r="N673" s="8" t="s">
        <v>359</v>
      </c>
    </row>
    <row r="674" spans="1:14" x14ac:dyDescent="0.3">
      <c r="A674" s="6" t="s">
        <v>278</v>
      </c>
      <c r="B674" s="1" t="s">
        <v>14</v>
      </c>
      <c r="C674" s="7">
        <v>45463</v>
      </c>
      <c r="D674" s="1" t="s">
        <v>36</v>
      </c>
      <c r="E674" s="1" t="s">
        <v>39</v>
      </c>
      <c r="F674" s="1">
        <v>4672</v>
      </c>
      <c r="G674" s="1">
        <v>325</v>
      </c>
      <c r="H674" s="1">
        <v>32</v>
      </c>
      <c r="I674" s="1">
        <v>88768</v>
      </c>
      <c r="J674" s="1">
        <v>87833</v>
      </c>
      <c r="K674" s="1">
        <v>118</v>
      </c>
      <c r="L674" s="1" t="s">
        <v>360</v>
      </c>
      <c r="M674" s="1" t="s">
        <v>11</v>
      </c>
      <c r="N674" s="8" t="s">
        <v>31</v>
      </c>
    </row>
    <row r="675" spans="1:14" x14ac:dyDescent="0.3">
      <c r="A675" s="6" t="s">
        <v>278</v>
      </c>
      <c r="B675" s="1" t="s">
        <v>14</v>
      </c>
      <c r="C675" s="7">
        <v>45463</v>
      </c>
      <c r="D675" s="1" t="s">
        <v>36</v>
      </c>
      <c r="E675" s="1" t="s">
        <v>39</v>
      </c>
      <c r="F675" s="1">
        <v>4672</v>
      </c>
      <c r="G675" s="1">
        <v>325</v>
      </c>
      <c r="H675" s="1">
        <v>32</v>
      </c>
      <c r="I675" s="1">
        <v>88768</v>
      </c>
      <c r="J675" s="1">
        <v>87833</v>
      </c>
      <c r="K675" s="1">
        <v>118</v>
      </c>
      <c r="L675" s="1" t="s">
        <v>360</v>
      </c>
      <c r="M675" s="1" t="s">
        <v>357</v>
      </c>
      <c r="N675" s="8" t="s">
        <v>359</v>
      </c>
    </row>
    <row r="676" spans="1:14" x14ac:dyDescent="0.3">
      <c r="A676" s="6" t="s">
        <v>278</v>
      </c>
      <c r="B676" s="1" t="s">
        <v>14</v>
      </c>
      <c r="C676" s="7">
        <v>45463</v>
      </c>
      <c r="D676" s="1" t="s">
        <v>36</v>
      </c>
      <c r="E676" s="1" t="s">
        <v>39</v>
      </c>
      <c r="F676" s="1">
        <v>4672</v>
      </c>
      <c r="G676" s="1">
        <v>325</v>
      </c>
      <c r="H676" s="1">
        <v>32</v>
      </c>
      <c r="I676" s="1">
        <v>88768</v>
      </c>
      <c r="J676" s="1">
        <v>87833</v>
      </c>
      <c r="K676" s="1">
        <v>118</v>
      </c>
      <c r="L676" s="1" t="s">
        <v>360</v>
      </c>
      <c r="M676" s="1" t="s">
        <v>358</v>
      </c>
      <c r="N676" s="8" t="s">
        <v>359</v>
      </c>
    </row>
    <row r="677" spans="1:14" x14ac:dyDescent="0.3">
      <c r="A677" s="6" t="s">
        <v>279</v>
      </c>
      <c r="B677" s="1" t="s">
        <v>28</v>
      </c>
      <c r="C677" s="7">
        <v>45511</v>
      </c>
      <c r="D677" s="1" t="s">
        <v>36</v>
      </c>
      <c r="E677" s="1" t="s">
        <v>65</v>
      </c>
      <c r="F677" s="1">
        <v>1741</v>
      </c>
      <c r="G677" s="1">
        <v>164</v>
      </c>
      <c r="H677" s="1">
        <v>318</v>
      </c>
      <c r="I677" s="1">
        <v>8705</v>
      </c>
      <c r="J677" s="1">
        <v>8272</v>
      </c>
      <c r="K677" s="1">
        <v>121</v>
      </c>
      <c r="L677" s="1" t="s">
        <v>360</v>
      </c>
      <c r="M677" s="1" t="s">
        <v>11</v>
      </c>
      <c r="N677" s="8" t="s">
        <v>25</v>
      </c>
    </row>
    <row r="678" spans="1:14" x14ac:dyDescent="0.3">
      <c r="A678" s="6" t="s">
        <v>279</v>
      </c>
      <c r="B678" s="1" t="s">
        <v>28</v>
      </c>
      <c r="C678" s="7">
        <v>45511</v>
      </c>
      <c r="D678" s="1" t="s">
        <v>36</v>
      </c>
      <c r="E678" s="1" t="s">
        <v>65</v>
      </c>
      <c r="F678" s="1">
        <v>1741</v>
      </c>
      <c r="G678" s="1">
        <v>164</v>
      </c>
      <c r="H678" s="1">
        <v>318</v>
      </c>
      <c r="I678" s="1">
        <v>8705</v>
      </c>
      <c r="J678" s="1">
        <v>8272</v>
      </c>
      <c r="K678" s="1">
        <v>121</v>
      </c>
      <c r="L678" s="1" t="s">
        <v>360</v>
      </c>
      <c r="M678" s="1" t="s">
        <v>357</v>
      </c>
      <c r="N678" s="8" t="s">
        <v>359</v>
      </c>
    </row>
    <row r="679" spans="1:14" x14ac:dyDescent="0.3">
      <c r="A679" s="6" t="s">
        <v>279</v>
      </c>
      <c r="B679" s="1" t="s">
        <v>28</v>
      </c>
      <c r="C679" s="7">
        <v>45511</v>
      </c>
      <c r="D679" s="1" t="s">
        <v>36</v>
      </c>
      <c r="E679" s="1" t="s">
        <v>65</v>
      </c>
      <c r="F679" s="1">
        <v>1741</v>
      </c>
      <c r="G679" s="1">
        <v>164</v>
      </c>
      <c r="H679" s="1">
        <v>318</v>
      </c>
      <c r="I679" s="1">
        <v>8705</v>
      </c>
      <c r="J679" s="1">
        <v>8272</v>
      </c>
      <c r="K679" s="1">
        <v>121</v>
      </c>
      <c r="L679" s="1" t="s">
        <v>360</v>
      </c>
      <c r="M679" s="1" t="s">
        <v>358</v>
      </c>
      <c r="N679" s="8" t="s">
        <v>359</v>
      </c>
    </row>
    <row r="680" spans="1:14" x14ac:dyDescent="0.3">
      <c r="A680" s="6" t="s">
        <v>280</v>
      </c>
      <c r="B680" s="1" t="s">
        <v>28</v>
      </c>
      <c r="C680" s="7">
        <v>45455</v>
      </c>
      <c r="D680" s="1" t="s">
        <v>19</v>
      </c>
      <c r="E680" s="1" t="s">
        <v>78</v>
      </c>
      <c r="F680" s="1">
        <v>246</v>
      </c>
      <c r="G680" s="1">
        <v>149</v>
      </c>
      <c r="H680" s="1">
        <v>130</v>
      </c>
      <c r="I680" s="1">
        <v>4674</v>
      </c>
      <c r="J680" s="1">
        <v>4390</v>
      </c>
      <c r="K680" s="1">
        <v>217</v>
      </c>
      <c r="L680" s="1" t="s">
        <v>26</v>
      </c>
      <c r="M680" s="1" t="s">
        <v>11</v>
      </c>
      <c r="N680" s="8" t="s">
        <v>48</v>
      </c>
    </row>
    <row r="681" spans="1:14" x14ac:dyDescent="0.3">
      <c r="A681" s="6" t="s">
        <v>280</v>
      </c>
      <c r="B681" s="1" t="s">
        <v>28</v>
      </c>
      <c r="C681" s="7">
        <v>45455</v>
      </c>
      <c r="D681" s="1" t="s">
        <v>19</v>
      </c>
      <c r="E681" s="1" t="s">
        <v>78</v>
      </c>
      <c r="F681" s="1">
        <v>246</v>
      </c>
      <c r="G681" s="1">
        <v>149</v>
      </c>
      <c r="H681" s="1">
        <v>130</v>
      </c>
      <c r="I681" s="1">
        <v>4674</v>
      </c>
      <c r="J681" s="1">
        <v>4390</v>
      </c>
      <c r="K681" s="1">
        <v>217</v>
      </c>
      <c r="L681" s="1" t="s">
        <v>26</v>
      </c>
      <c r="M681" s="1" t="s">
        <v>357</v>
      </c>
      <c r="N681" s="8" t="s">
        <v>359</v>
      </c>
    </row>
    <row r="682" spans="1:14" x14ac:dyDescent="0.3">
      <c r="A682" s="6" t="s">
        <v>280</v>
      </c>
      <c r="B682" s="1" t="s">
        <v>28</v>
      </c>
      <c r="C682" s="7">
        <v>45455</v>
      </c>
      <c r="D682" s="1" t="s">
        <v>19</v>
      </c>
      <c r="E682" s="1" t="s">
        <v>78</v>
      </c>
      <c r="F682" s="1">
        <v>246</v>
      </c>
      <c r="G682" s="1">
        <v>149</v>
      </c>
      <c r="H682" s="1">
        <v>130</v>
      </c>
      <c r="I682" s="1">
        <v>4674</v>
      </c>
      <c r="J682" s="1">
        <v>4390</v>
      </c>
      <c r="K682" s="1">
        <v>217</v>
      </c>
      <c r="L682" s="1" t="s">
        <v>26</v>
      </c>
      <c r="M682" s="1" t="s">
        <v>358</v>
      </c>
      <c r="N682" s="8" t="s">
        <v>359</v>
      </c>
    </row>
    <row r="683" spans="1:14" x14ac:dyDescent="0.3">
      <c r="A683" s="6" t="s">
        <v>281</v>
      </c>
      <c r="B683" s="1" t="s">
        <v>28</v>
      </c>
      <c r="C683" s="7">
        <v>45474</v>
      </c>
      <c r="D683" s="1" t="s">
        <v>29</v>
      </c>
      <c r="E683" s="1" t="s">
        <v>30</v>
      </c>
      <c r="F683" s="1">
        <v>4808</v>
      </c>
      <c r="G683" s="1">
        <v>772</v>
      </c>
      <c r="H683" s="1">
        <v>320</v>
      </c>
      <c r="I683" s="1">
        <v>72120</v>
      </c>
      <c r="J683" s="1">
        <v>71696</v>
      </c>
      <c r="K683" s="1">
        <v>195</v>
      </c>
      <c r="L683" s="1" t="s">
        <v>17</v>
      </c>
      <c r="M683" s="1" t="s">
        <v>11</v>
      </c>
      <c r="N683" s="8" t="s">
        <v>31</v>
      </c>
    </row>
    <row r="684" spans="1:14" x14ac:dyDescent="0.3">
      <c r="A684" s="6" t="s">
        <v>281</v>
      </c>
      <c r="B684" s="1" t="s">
        <v>28</v>
      </c>
      <c r="C684" s="7">
        <v>45474</v>
      </c>
      <c r="D684" s="1" t="s">
        <v>29</v>
      </c>
      <c r="E684" s="1" t="s">
        <v>30</v>
      </c>
      <c r="F684" s="1">
        <v>4808</v>
      </c>
      <c r="G684" s="1">
        <v>772</v>
      </c>
      <c r="H684" s="1">
        <v>320</v>
      </c>
      <c r="I684" s="1">
        <v>72120</v>
      </c>
      <c r="J684" s="1">
        <v>71696</v>
      </c>
      <c r="K684" s="1">
        <v>195</v>
      </c>
      <c r="L684" s="1" t="s">
        <v>17</v>
      </c>
      <c r="M684" s="1" t="s">
        <v>357</v>
      </c>
      <c r="N684" s="8" t="s">
        <v>359</v>
      </c>
    </row>
    <row r="685" spans="1:14" x14ac:dyDescent="0.3">
      <c r="A685" s="6" t="s">
        <v>281</v>
      </c>
      <c r="B685" s="1" t="s">
        <v>28</v>
      </c>
      <c r="C685" s="7">
        <v>45474</v>
      </c>
      <c r="D685" s="1" t="s">
        <v>29</v>
      </c>
      <c r="E685" s="1" t="s">
        <v>30</v>
      </c>
      <c r="F685" s="1">
        <v>4808</v>
      </c>
      <c r="G685" s="1">
        <v>772</v>
      </c>
      <c r="H685" s="1">
        <v>320</v>
      </c>
      <c r="I685" s="1">
        <v>72120</v>
      </c>
      <c r="J685" s="1">
        <v>71696</v>
      </c>
      <c r="K685" s="1">
        <v>195</v>
      </c>
      <c r="L685" s="1" t="s">
        <v>17</v>
      </c>
      <c r="M685" s="1" t="s">
        <v>358</v>
      </c>
      <c r="N685" s="8" t="s">
        <v>359</v>
      </c>
    </row>
    <row r="686" spans="1:14" x14ac:dyDescent="0.3">
      <c r="A686" s="6" t="s">
        <v>282</v>
      </c>
      <c r="B686" s="1" t="s">
        <v>28</v>
      </c>
      <c r="C686" s="7">
        <v>45476</v>
      </c>
      <c r="D686" s="1" t="s">
        <v>36</v>
      </c>
      <c r="E686" s="1" t="s">
        <v>65</v>
      </c>
      <c r="F686" s="1">
        <v>4799</v>
      </c>
      <c r="G686" s="1">
        <v>694</v>
      </c>
      <c r="H686" s="1">
        <v>289</v>
      </c>
      <c r="I686" s="1">
        <v>43191</v>
      </c>
      <c r="J686" s="1">
        <v>42228</v>
      </c>
      <c r="K686" s="1">
        <v>118</v>
      </c>
      <c r="L686" s="1" t="s">
        <v>360</v>
      </c>
      <c r="M686" s="1" t="s">
        <v>11</v>
      </c>
      <c r="N686" s="8" t="s">
        <v>25</v>
      </c>
    </row>
    <row r="687" spans="1:14" x14ac:dyDescent="0.3">
      <c r="A687" s="6" t="s">
        <v>282</v>
      </c>
      <c r="B687" s="1" t="s">
        <v>28</v>
      </c>
      <c r="C687" s="7">
        <v>45476</v>
      </c>
      <c r="D687" s="1" t="s">
        <v>36</v>
      </c>
      <c r="E687" s="1" t="s">
        <v>65</v>
      </c>
      <c r="F687" s="1">
        <v>4799</v>
      </c>
      <c r="G687" s="1">
        <v>694</v>
      </c>
      <c r="H687" s="1">
        <v>289</v>
      </c>
      <c r="I687" s="1">
        <v>43191</v>
      </c>
      <c r="J687" s="1">
        <v>42228</v>
      </c>
      <c r="K687" s="1">
        <v>118</v>
      </c>
      <c r="L687" s="1" t="s">
        <v>360</v>
      </c>
      <c r="M687" s="1" t="s">
        <v>357</v>
      </c>
      <c r="N687" s="8" t="s">
        <v>359</v>
      </c>
    </row>
    <row r="688" spans="1:14" x14ac:dyDescent="0.3">
      <c r="A688" s="6" t="s">
        <v>282</v>
      </c>
      <c r="B688" s="1" t="s">
        <v>28</v>
      </c>
      <c r="C688" s="7">
        <v>45476</v>
      </c>
      <c r="D688" s="1" t="s">
        <v>36</v>
      </c>
      <c r="E688" s="1" t="s">
        <v>65</v>
      </c>
      <c r="F688" s="1">
        <v>4799</v>
      </c>
      <c r="G688" s="1">
        <v>694</v>
      </c>
      <c r="H688" s="1">
        <v>289</v>
      </c>
      <c r="I688" s="1">
        <v>43191</v>
      </c>
      <c r="J688" s="1">
        <v>42228</v>
      </c>
      <c r="K688" s="1">
        <v>118</v>
      </c>
      <c r="L688" s="1" t="s">
        <v>360</v>
      </c>
      <c r="M688" s="1" t="s">
        <v>358</v>
      </c>
      <c r="N688" s="8" t="s">
        <v>359</v>
      </c>
    </row>
    <row r="689" spans="1:14" x14ac:dyDescent="0.3">
      <c r="A689" s="6" t="s">
        <v>283</v>
      </c>
      <c r="B689" s="1" t="s">
        <v>35</v>
      </c>
      <c r="C689" s="7">
        <v>45488</v>
      </c>
      <c r="D689" s="1" t="s">
        <v>15</v>
      </c>
      <c r="E689" s="1" t="s">
        <v>50</v>
      </c>
      <c r="F689" s="1">
        <v>3663</v>
      </c>
      <c r="G689" s="1">
        <v>17</v>
      </c>
      <c r="H689" s="1">
        <v>295</v>
      </c>
      <c r="I689" s="1">
        <v>51282</v>
      </c>
      <c r="J689" s="1">
        <v>50567</v>
      </c>
      <c r="K689" s="1">
        <v>84</v>
      </c>
      <c r="L689" s="1" t="s">
        <v>26</v>
      </c>
      <c r="M689" s="1" t="s">
        <v>11</v>
      </c>
      <c r="N689" s="8" t="s">
        <v>31</v>
      </c>
    </row>
    <row r="690" spans="1:14" x14ac:dyDescent="0.3">
      <c r="A690" s="6" t="s">
        <v>283</v>
      </c>
      <c r="B690" s="1" t="s">
        <v>35</v>
      </c>
      <c r="C690" s="7">
        <v>45488</v>
      </c>
      <c r="D690" s="1" t="s">
        <v>15</v>
      </c>
      <c r="E690" s="1" t="s">
        <v>50</v>
      </c>
      <c r="F690" s="1">
        <v>3663</v>
      </c>
      <c r="G690" s="1">
        <v>17</v>
      </c>
      <c r="H690" s="1">
        <v>295</v>
      </c>
      <c r="I690" s="1">
        <v>51282</v>
      </c>
      <c r="J690" s="1">
        <v>50567</v>
      </c>
      <c r="K690" s="1">
        <v>84</v>
      </c>
      <c r="L690" s="1" t="s">
        <v>26</v>
      </c>
      <c r="M690" s="1" t="s">
        <v>357</v>
      </c>
      <c r="N690" s="8" t="s">
        <v>359</v>
      </c>
    </row>
    <row r="691" spans="1:14" x14ac:dyDescent="0.3">
      <c r="A691" s="6" t="s">
        <v>283</v>
      </c>
      <c r="B691" s="1" t="s">
        <v>35</v>
      </c>
      <c r="C691" s="7">
        <v>45488</v>
      </c>
      <c r="D691" s="1" t="s">
        <v>15</v>
      </c>
      <c r="E691" s="1" t="s">
        <v>50</v>
      </c>
      <c r="F691" s="1">
        <v>3663</v>
      </c>
      <c r="G691" s="1">
        <v>17</v>
      </c>
      <c r="H691" s="1">
        <v>295</v>
      </c>
      <c r="I691" s="1">
        <v>51282</v>
      </c>
      <c r="J691" s="1">
        <v>50567</v>
      </c>
      <c r="K691" s="1">
        <v>84</v>
      </c>
      <c r="L691" s="1" t="s">
        <v>26</v>
      </c>
      <c r="M691" s="1" t="s">
        <v>358</v>
      </c>
      <c r="N691" s="8" t="s">
        <v>359</v>
      </c>
    </row>
    <row r="692" spans="1:14" x14ac:dyDescent="0.3">
      <c r="A692" s="6" t="s">
        <v>284</v>
      </c>
      <c r="B692" s="1" t="s">
        <v>28</v>
      </c>
      <c r="C692" s="7">
        <v>45778</v>
      </c>
      <c r="D692" s="1" t="s">
        <v>19</v>
      </c>
      <c r="E692" s="1" t="s">
        <v>78</v>
      </c>
      <c r="F692" s="1">
        <v>1430</v>
      </c>
      <c r="G692" s="1">
        <v>376</v>
      </c>
      <c r="H692" s="1">
        <v>33</v>
      </c>
      <c r="I692" s="1">
        <v>21450</v>
      </c>
      <c r="J692" s="1">
        <v>20509</v>
      </c>
      <c r="K692" s="1">
        <v>251</v>
      </c>
      <c r="L692" s="1" t="s">
        <v>17</v>
      </c>
      <c r="M692" s="1" t="s">
        <v>11</v>
      </c>
      <c r="N692" s="8" t="s">
        <v>48</v>
      </c>
    </row>
    <row r="693" spans="1:14" x14ac:dyDescent="0.3">
      <c r="A693" s="6" t="s">
        <v>284</v>
      </c>
      <c r="B693" s="1" t="s">
        <v>28</v>
      </c>
      <c r="C693" s="7">
        <v>45778</v>
      </c>
      <c r="D693" s="1" t="s">
        <v>19</v>
      </c>
      <c r="E693" s="1" t="s">
        <v>78</v>
      </c>
      <c r="F693" s="1">
        <v>1430</v>
      </c>
      <c r="G693" s="1">
        <v>376</v>
      </c>
      <c r="H693" s="1">
        <v>33</v>
      </c>
      <c r="I693" s="1">
        <v>21450</v>
      </c>
      <c r="J693" s="1">
        <v>20509</v>
      </c>
      <c r="K693" s="1">
        <v>251</v>
      </c>
      <c r="L693" s="1" t="s">
        <v>17</v>
      </c>
      <c r="M693" s="1" t="s">
        <v>357</v>
      </c>
      <c r="N693" s="8" t="s">
        <v>359</v>
      </c>
    </row>
    <row r="694" spans="1:14" x14ac:dyDescent="0.3">
      <c r="A694" s="6" t="s">
        <v>284</v>
      </c>
      <c r="B694" s="1" t="s">
        <v>28</v>
      </c>
      <c r="C694" s="7">
        <v>45778</v>
      </c>
      <c r="D694" s="1" t="s">
        <v>19</v>
      </c>
      <c r="E694" s="1" t="s">
        <v>78</v>
      </c>
      <c r="F694" s="1">
        <v>1430</v>
      </c>
      <c r="G694" s="1">
        <v>376</v>
      </c>
      <c r="H694" s="1">
        <v>33</v>
      </c>
      <c r="I694" s="1">
        <v>21450</v>
      </c>
      <c r="J694" s="1">
        <v>20509</v>
      </c>
      <c r="K694" s="1">
        <v>251</v>
      </c>
      <c r="L694" s="1" t="s">
        <v>17</v>
      </c>
      <c r="M694" s="1" t="s">
        <v>358</v>
      </c>
      <c r="N694" s="8" t="s">
        <v>359</v>
      </c>
    </row>
    <row r="695" spans="1:14" x14ac:dyDescent="0.3">
      <c r="A695" s="6" t="s">
        <v>285</v>
      </c>
      <c r="B695" s="1" t="s">
        <v>14</v>
      </c>
      <c r="C695" s="7">
        <v>45776</v>
      </c>
      <c r="D695" s="1" t="s">
        <v>29</v>
      </c>
      <c r="E695" s="1" t="s">
        <v>98</v>
      </c>
      <c r="F695" s="1">
        <v>249</v>
      </c>
      <c r="G695" s="1">
        <v>592</v>
      </c>
      <c r="H695" s="1">
        <v>230</v>
      </c>
      <c r="I695" s="1">
        <v>1494</v>
      </c>
      <c r="J695" s="1">
        <v>1044</v>
      </c>
      <c r="K695" s="1">
        <v>201</v>
      </c>
      <c r="L695" s="1" t="s">
        <v>32</v>
      </c>
      <c r="M695" s="1" t="s">
        <v>11</v>
      </c>
      <c r="N695" s="8" t="s">
        <v>31</v>
      </c>
    </row>
    <row r="696" spans="1:14" x14ac:dyDescent="0.3">
      <c r="A696" s="6" t="s">
        <v>285</v>
      </c>
      <c r="B696" s="1" t="s">
        <v>14</v>
      </c>
      <c r="C696" s="7">
        <v>45776</v>
      </c>
      <c r="D696" s="1" t="s">
        <v>29</v>
      </c>
      <c r="E696" s="1" t="s">
        <v>98</v>
      </c>
      <c r="F696" s="1">
        <v>249</v>
      </c>
      <c r="G696" s="1">
        <v>592</v>
      </c>
      <c r="H696" s="1">
        <v>230</v>
      </c>
      <c r="I696" s="1">
        <v>1494</v>
      </c>
      <c r="J696" s="1">
        <v>1044</v>
      </c>
      <c r="K696" s="1">
        <v>201</v>
      </c>
      <c r="L696" s="1" t="s">
        <v>32</v>
      </c>
      <c r="M696" s="1" t="s">
        <v>357</v>
      </c>
      <c r="N696" s="8" t="s">
        <v>359</v>
      </c>
    </row>
    <row r="697" spans="1:14" x14ac:dyDescent="0.3">
      <c r="A697" s="6" t="s">
        <v>285</v>
      </c>
      <c r="B697" s="1" t="s">
        <v>14</v>
      </c>
      <c r="C697" s="7">
        <v>45776</v>
      </c>
      <c r="D697" s="1" t="s">
        <v>29</v>
      </c>
      <c r="E697" s="1" t="s">
        <v>98</v>
      </c>
      <c r="F697" s="1">
        <v>249</v>
      </c>
      <c r="G697" s="1">
        <v>592</v>
      </c>
      <c r="H697" s="1">
        <v>230</v>
      </c>
      <c r="I697" s="1">
        <v>1494</v>
      </c>
      <c r="J697" s="1">
        <v>1044</v>
      </c>
      <c r="K697" s="1">
        <v>201</v>
      </c>
      <c r="L697" s="1" t="s">
        <v>32</v>
      </c>
      <c r="M697" s="1" t="s">
        <v>358</v>
      </c>
      <c r="N697" s="8" t="s">
        <v>359</v>
      </c>
    </row>
    <row r="698" spans="1:14" x14ac:dyDescent="0.3">
      <c r="A698" s="6" t="s">
        <v>286</v>
      </c>
      <c r="B698" s="1" t="s">
        <v>35</v>
      </c>
      <c r="C698" s="7">
        <v>45724</v>
      </c>
      <c r="D698" s="1" t="s">
        <v>41</v>
      </c>
      <c r="E698" s="1" t="s">
        <v>46</v>
      </c>
      <c r="F698" s="1">
        <v>2382</v>
      </c>
      <c r="G698" s="1">
        <v>265</v>
      </c>
      <c r="H698" s="1">
        <v>134</v>
      </c>
      <c r="I698" s="1">
        <v>38112</v>
      </c>
      <c r="J698" s="1">
        <v>37437</v>
      </c>
      <c r="K698" s="1">
        <v>249</v>
      </c>
      <c r="L698" s="1" t="s">
        <v>32</v>
      </c>
      <c r="M698" s="1" t="s">
        <v>11</v>
      </c>
      <c r="N698" s="8" t="s">
        <v>48</v>
      </c>
    </row>
    <row r="699" spans="1:14" x14ac:dyDescent="0.3">
      <c r="A699" s="6" t="s">
        <v>286</v>
      </c>
      <c r="B699" s="1" t="s">
        <v>35</v>
      </c>
      <c r="C699" s="7">
        <v>45724</v>
      </c>
      <c r="D699" s="1" t="s">
        <v>41</v>
      </c>
      <c r="E699" s="1" t="s">
        <v>46</v>
      </c>
      <c r="F699" s="1">
        <v>2382</v>
      </c>
      <c r="G699" s="1">
        <v>265</v>
      </c>
      <c r="H699" s="1">
        <v>134</v>
      </c>
      <c r="I699" s="1">
        <v>38112</v>
      </c>
      <c r="J699" s="1">
        <v>37437</v>
      </c>
      <c r="K699" s="1">
        <v>249</v>
      </c>
      <c r="L699" s="1" t="s">
        <v>32</v>
      </c>
      <c r="M699" s="1" t="s">
        <v>357</v>
      </c>
      <c r="N699" s="8" t="s">
        <v>359</v>
      </c>
    </row>
    <row r="700" spans="1:14" x14ac:dyDescent="0.3">
      <c r="A700" s="6" t="s">
        <v>286</v>
      </c>
      <c r="B700" s="1" t="s">
        <v>35</v>
      </c>
      <c r="C700" s="7">
        <v>45724</v>
      </c>
      <c r="D700" s="1" t="s">
        <v>41</v>
      </c>
      <c r="E700" s="1" t="s">
        <v>46</v>
      </c>
      <c r="F700" s="1">
        <v>2382</v>
      </c>
      <c r="G700" s="1">
        <v>265</v>
      </c>
      <c r="H700" s="1">
        <v>134</v>
      </c>
      <c r="I700" s="1">
        <v>38112</v>
      </c>
      <c r="J700" s="1">
        <v>37437</v>
      </c>
      <c r="K700" s="1">
        <v>249</v>
      </c>
      <c r="L700" s="1" t="s">
        <v>32</v>
      </c>
      <c r="M700" s="1" t="s">
        <v>358</v>
      </c>
      <c r="N700" s="8" t="s">
        <v>359</v>
      </c>
    </row>
    <row r="701" spans="1:14" x14ac:dyDescent="0.3">
      <c r="A701" s="6" t="s">
        <v>287</v>
      </c>
      <c r="B701" s="1" t="s">
        <v>35</v>
      </c>
      <c r="C701" s="7">
        <v>45444</v>
      </c>
      <c r="D701" s="1" t="s">
        <v>19</v>
      </c>
      <c r="E701" s="1" t="s">
        <v>44</v>
      </c>
      <c r="F701" s="1">
        <v>1272</v>
      </c>
      <c r="G701" s="1">
        <v>465</v>
      </c>
      <c r="H701" s="1">
        <v>99</v>
      </c>
      <c r="I701" s="1">
        <v>24168</v>
      </c>
      <c r="J701" s="1">
        <v>23719</v>
      </c>
      <c r="K701" s="1">
        <v>42</v>
      </c>
      <c r="L701" s="1" t="s">
        <v>360</v>
      </c>
      <c r="M701" s="1" t="s">
        <v>11</v>
      </c>
      <c r="N701" s="8" t="s">
        <v>25</v>
      </c>
    </row>
    <row r="702" spans="1:14" x14ac:dyDescent="0.3">
      <c r="A702" s="6" t="s">
        <v>287</v>
      </c>
      <c r="B702" s="1" t="s">
        <v>35</v>
      </c>
      <c r="C702" s="7">
        <v>45444</v>
      </c>
      <c r="D702" s="1" t="s">
        <v>19</v>
      </c>
      <c r="E702" s="1" t="s">
        <v>44</v>
      </c>
      <c r="F702" s="1">
        <v>1272</v>
      </c>
      <c r="G702" s="1">
        <v>465</v>
      </c>
      <c r="H702" s="1">
        <v>99</v>
      </c>
      <c r="I702" s="1">
        <v>24168</v>
      </c>
      <c r="J702" s="1">
        <v>23719</v>
      </c>
      <c r="K702" s="1">
        <v>42</v>
      </c>
      <c r="L702" s="1" t="s">
        <v>360</v>
      </c>
      <c r="M702" s="1" t="s">
        <v>357</v>
      </c>
      <c r="N702" s="8" t="s">
        <v>359</v>
      </c>
    </row>
    <row r="703" spans="1:14" x14ac:dyDescent="0.3">
      <c r="A703" s="6" t="s">
        <v>287</v>
      </c>
      <c r="B703" s="1" t="s">
        <v>35</v>
      </c>
      <c r="C703" s="7">
        <v>45444</v>
      </c>
      <c r="D703" s="1" t="s">
        <v>19</v>
      </c>
      <c r="E703" s="1" t="s">
        <v>44</v>
      </c>
      <c r="F703" s="1">
        <v>1272</v>
      </c>
      <c r="G703" s="1">
        <v>465</v>
      </c>
      <c r="H703" s="1">
        <v>99</v>
      </c>
      <c r="I703" s="1">
        <v>24168</v>
      </c>
      <c r="J703" s="1">
        <v>23719</v>
      </c>
      <c r="K703" s="1">
        <v>42</v>
      </c>
      <c r="L703" s="1" t="s">
        <v>360</v>
      </c>
      <c r="M703" s="1" t="s">
        <v>358</v>
      </c>
      <c r="N703" s="8" t="s">
        <v>359</v>
      </c>
    </row>
    <row r="704" spans="1:14" x14ac:dyDescent="0.3">
      <c r="A704" s="6" t="s">
        <v>288</v>
      </c>
      <c r="B704" s="1" t="s">
        <v>35</v>
      </c>
      <c r="C704" s="7">
        <v>45648</v>
      </c>
      <c r="D704" s="1" t="s">
        <v>41</v>
      </c>
      <c r="E704" s="1" t="s">
        <v>46</v>
      </c>
      <c r="F704" s="1">
        <v>3196</v>
      </c>
      <c r="G704" s="1">
        <v>941</v>
      </c>
      <c r="H704" s="1">
        <v>376</v>
      </c>
      <c r="I704" s="1">
        <v>35156</v>
      </c>
      <c r="J704" s="1">
        <v>34444</v>
      </c>
      <c r="K704" s="1">
        <v>241</v>
      </c>
      <c r="L704" s="1" t="s">
        <v>26</v>
      </c>
      <c r="M704" s="1" t="s">
        <v>11</v>
      </c>
      <c r="N704" s="8" t="s">
        <v>25</v>
      </c>
    </row>
    <row r="705" spans="1:14" x14ac:dyDescent="0.3">
      <c r="A705" s="6" t="s">
        <v>288</v>
      </c>
      <c r="B705" s="1" t="s">
        <v>35</v>
      </c>
      <c r="C705" s="7">
        <v>45648</v>
      </c>
      <c r="D705" s="1" t="s">
        <v>41</v>
      </c>
      <c r="E705" s="1" t="s">
        <v>46</v>
      </c>
      <c r="F705" s="1">
        <v>3196</v>
      </c>
      <c r="G705" s="1">
        <v>941</v>
      </c>
      <c r="H705" s="1">
        <v>376</v>
      </c>
      <c r="I705" s="1">
        <v>35156</v>
      </c>
      <c r="J705" s="1">
        <v>34444</v>
      </c>
      <c r="K705" s="1">
        <v>241</v>
      </c>
      <c r="L705" s="1" t="s">
        <v>26</v>
      </c>
      <c r="M705" s="1" t="s">
        <v>357</v>
      </c>
      <c r="N705" s="8" t="s">
        <v>359</v>
      </c>
    </row>
    <row r="706" spans="1:14" x14ac:dyDescent="0.3">
      <c r="A706" s="6" t="s">
        <v>288</v>
      </c>
      <c r="B706" s="1" t="s">
        <v>35</v>
      </c>
      <c r="C706" s="7">
        <v>45648</v>
      </c>
      <c r="D706" s="1" t="s">
        <v>41</v>
      </c>
      <c r="E706" s="1" t="s">
        <v>46</v>
      </c>
      <c r="F706" s="1">
        <v>3196</v>
      </c>
      <c r="G706" s="1">
        <v>941</v>
      </c>
      <c r="H706" s="1">
        <v>376</v>
      </c>
      <c r="I706" s="1">
        <v>35156</v>
      </c>
      <c r="J706" s="1">
        <v>34444</v>
      </c>
      <c r="K706" s="1">
        <v>241</v>
      </c>
      <c r="L706" s="1" t="s">
        <v>26</v>
      </c>
      <c r="M706" s="1" t="s">
        <v>358</v>
      </c>
      <c r="N706" s="8" t="s">
        <v>359</v>
      </c>
    </row>
    <row r="707" spans="1:14" x14ac:dyDescent="0.3">
      <c r="A707" s="6" t="s">
        <v>289</v>
      </c>
      <c r="B707" s="1" t="s">
        <v>35</v>
      </c>
      <c r="C707" s="7">
        <v>45523</v>
      </c>
      <c r="D707" s="1" t="s">
        <v>19</v>
      </c>
      <c r="E707" s="1" t="s">
        <v>44</v>
      </c>
      <c r="F707" s="1">
        <v>1257</v>
      </c>
      <c r="G707" s="1">
        <v>19</v>
      </c>
      <c r="H707" s="1">
        <v>351</v>
      </c>
      <c r="I707" s="1">
        <v>12570</v>
      </c>
      <c r="J707" s="1">
        <v>11660</v>
      </c>
      <c r="K707" s="1">
        <v>194</v>
      </c>
      <c r="L707" s="1" t="s">
        <v>21</v>
      </c>
      <c r="M707" s="1" t="s">
        <v>11</v>
      </c>
      <c r="N707" s="8" t="s">
        <v>48</v>
      </c>
    </row>
    <row r="708" spans="1:14" x14ac:dyDescent="0.3">
      <c r="A708" s="6" t="s">
        <v>289</v>
      </c>
      <c r="B708" s="1" t="s">
        <v>35</v>
      </c>
      <c r="C708" s="7">
        <v>45523</v>
      </c>
      <c r="D708" s="1" t="s">
        <v>19</v>
      </c>
      <c r="E708" s="1" t="s">
        <v>44</v>
      </c>
      <c r="F708" s="1">
        <v>1257</v>
      </c>
      <c r="G708" s="1">
        <v>19</v>
      </c>
      <c r="H708" s="1">
        <v>351</v>
      </c>
      <c r="I708" s="1">
        <v>12570</v>
      </c>
      <c r="J708" s="1">
        <v>11660</v>
      </c>
      <c r="K708" s="1">
        <v>194</v>
      </c>
      <c r="L708" s="1" t="s">
        <v>21</v>
      </c>
      <c r="M708" s="1" t="s">
        <v>357</v>
      </c>
      <c r="N708" s="8" t="s">
        <v>354</v>
      </c>
    </row>
    <row r="709" spans="1:14" x14ac:dyDescent="0.3">
      <c r="A709" s="6" t="s">
        <v>289</v>
      </c>
      <c r="B709" s="1" t="s">
        <v>35</v>
      </c>
      <c r="C709" s="7">
        <v>45523</v>
      </c>
      <c r="D709" s="1" t="s">
        <v>19</v>
      </c>
      <c r="E709" s="1" t="s">
        <v>44</v>
      </c>
      <c r="F709" s="1">
        <v>1257</v>
      </c>
      <c r="G709" s="1">
        <v>19</v>
      </c>
      <c r="H709" s="1">
        <v>351</v>
      </c>
      <c r="I709" s="1">
        <v>12570</v>
      </c>
      <c r="J709" s="1">
        <v>11660</v>
      </c>
      <c r="K709" s="1">
        <v>194</v>
      </c>
      <c r="L709" s="1" t="s">
        <v>21</v>
      </c>
      <c r="M709" s="1" t="s">
        <v>358</v>
      </c>
      <c r="N709" s="8" t="s">
        <v>31</v>
      </c>
    </row>
    <row r="710" spans="1:14" x14ac:dyDescent="0.3">
      <c r="A710" s="6" t="s">
        <v>290</v>
      </c>
      <c r="B710" s="1" t="s">
        <v>28</v>
      </c>
      <c r="C710" s="7">
        <v>45587</v>
      </c>
      <c r="D710" s="1" t="s">
        <v>29</v>
      </c>
      <c r="E710" s="1" t="s">
        <v>30</v>
      </c>
      <c r="F710" s="1">
        <v>3770</v>
      </c>
      <c r="G710" s="1">
        <v>917</v>
      </c>
      <c r="H710" s="1">
        <v>129</v>
      </c>
      <c r="I710" s="1">
        <v>71630</v>
      </c>
      <c r="J710" s="1">
        <v>71322</v>
      </c>
      <c r="K710" s="1">
        <v>76</v>
      </c>
      <c r="L710" s="1" t="s">
        <v>17</v>
      </c>
      <c r="M710" s="1" t="s">
        <v>11</v>
      </c>
      <c r="N710" s="8" t="s">
        <v>48</v>
      </c>
    </row>
    <row r="711" spans="1:14" x14ac:dyDescent="0.3">
      <c r="A711" s="6" t="s">
        <v>290</v>
      </c>
      <c r="B711" s="1" t="s">
        <v>28</v>
      </c>
      <c r="C711" s="7">
        <v>45587</v>
      </c>
      <c r="D711" s="1" t="s">
        <v>29</v>
      </c>
      <c r="E711" s="1" t="s">
        <v>30</v>
      </c>
      <c r="F711" s="1">
        <v>3770</v>
      </c>
      <c r="G711" s="1">
        <v>917</v>
      </c>
      <c r="H711" s="1">
        <v>129</v>
      </c>
      <c r="I711" s="1">
        <v>71630</v>
      </c>
      <c r="J711" s="1">
        <v>71322</v>
      </c>
      <c r="K711" s="1">
        <v>76</v>
      </c>
      <c r="L711" s="1" t="s">
        <v>17</v>
      </c>
      <c r="M711" s="1" t="s">
        <v>357</v>
      </c>
      <c r="N711" s="8" t="s">
        <v>359</v>
      </c>
    </row>
    <row r="712" spans="1:14" x14ac:dyDescent="0.3">
      <c r="A712" s="6" t="s">
        <v>290</v>
      </c>
      <c r="B712" s="1" t="s">
        <v>28</v>
      </c>
      <c r="C712" s="7">
        <v>45587</v>
      </c>
      <c r="D712" s="1" t="s">
        <v>29</v>
      </c>
      <c r="E712" s="1" t="s">
        <v>30</v>
      </c>
      <c r="F712" s="1">
        <v>3770</v>
      </c>
      <c r="G712" s="1">
        <v>917</v>
      </c>
      <c r="H712" s="1">
        <v>129</v>
      </c>
      <c r="I712" s="1">
        <v>71630</v>
      </c>
      <c r="J712" s="1">
        <v>71322</v>
      </c>
      <c r="K712" s="1">
        <v>76</v>
      </c>
      <c r="L712" s="1" t="s">
        <v>17</v>
      </c>
      <c r="M712" s="1" t="s">
        <v>358</v>
      </c>
      <c r="N712" s="8" t="s">
        <v>359</v>
      </c>
    </row>
    <row r="713" spans="1:14" x14ac:dyDescent="0.3">
      <c r="A713" s="6" t="s">
        <v>291</v>
      </c>
      <c r="B713" s="1" t="s">
        <v>14</v>
      </c>
      <c r="C713" s="7">
        <v>45489</v>
      </c>
      <c r="D713" s="1" t="s">
        <v>19</v>
      </c>
      <c r="E713" s="1" t="s">
        <v>20</v>
      </c>
      <c r="F713" s="1">
        <v>4725</v>
      </c>
      <c r="G713" s="1">
        <v>400</v>
      </c>
      <c r="H713" s="1">
        <v>362</v>
      </c>
      <c r="I713" s="1">
        <v>75600</v>
      </c>
      <c r="J713" s="1">
        <v>74927</v>
      </c>
      <c r="K713" s="1">
        <v>43</v>
      </c>
      <c r="L713" s="1" t="s">
        <v>32</v>
      </c>
      <c r="M713" s="1" t="s">
        <v>11</v>
      </c>
      <c r="N713" s="8" t="s">
        <v>48</v>
      </c>
    </row>
    <row r="714" spans="1:14" x14ac:dyDescent="0.3">
      <c r="A714" s="6" t="s">
        <v>291</v>
      </c>
      <c r="B714" s="1" t="s">
        <v>14</v>
      </c>
      <c r="C714" s="7">
        <v>45489</v>
      </c>
      <c r="D714" s="1" t="s">
        <v>19</v>
      </c>
      <c r="E714" s="1" t="s">
        <v>20</v>
      </c>
      <c r="F714" s="1">
        <v>4725</v>
      </c>
      <c r="G714" s="1">
        <v>400</v>
      </c>
      <c r="H714" s="1">
        <v>362</v>
      </c>
      <c r="I714" s="1">
        <v>75600</v>
      </c>
      <c r="J714" s="1">
        <v>74927</v>
      </c>
      <c r="K714" s="1">
        <v>43</v>
      </c>
      <c r="L714" s="1" t="s">
        <v>32</v>
      </c>
      <c r="M714" s="1" t="s">
        <v>357</v>
      </c>
      <c r="N714" s="8" t="s">
        <v>359</v>
      </c>
    </row>
    <row r="715" spans="1:14" x14ac:dyDescent="0.3">
      <c r="A715" s="6" t="s">
        <v>291</v>
      </c>
      <c r="B715" s="1" t="s">
        <v>14</v>
      </c>
      <c r="C715" s="7">
        <v>45489</v>
      </c>
      <c r="D715" s="1" t="s">
        <v>19</v>
      </c>
      <c r="E715" s="1" t="s">
        <v>20</v>
      </c>
      <c r="F715" s="1">
        <v>4725</v>
      </c>
      <c r="G715" s="1">
        <v>400</v>
      </c>
      <c r="H715" s="1">
        <v>362</v>
      </c>
      <c r="I715" s="1">
        <v>75600</v>
      </c>
      <c r="J715" s="1">
        <v>74927</v>
      </c>
      <c r="K715" s="1">
        <v>43</v>
      </c>
      <c r="L715" s="1" t="s">
        <v>32</v>
      </c>
      <c r="M715" s="1" t="s">
        <v>358</v>
      </c>
      <c r="N715" s="8" t="s">
        <v>359</v>
      </c>
    </row>
    <row r="716" spans="1:14" x14ac:dyDescent="0.3">
      <c r="A716" s="6" t="s">
        <v>292</v>
      </c>
      <c r="B716" s="1" t="s">
        <v>23</v>
      </c>
      <c r="C716" s="7">
        <v>45712</v>
      </c>
      <c r="D716" s="1" t="s">
        <v>19</v>
      </c>
      <c r="E716" s="1" t="s">
        <v>73</v>
      </c>
      <c r="F716" s="1">
        <v>4188</v>
      </c>
      <c r="G716" s="1">
        <v>942</v>
      </c>
      <c r="H716" s="1">
        <v>118</v>
      </c>
      <c r="I716" s="1">
        <v>20940</v>
      </c>
      <c r="J716" s="1">
        <v>20471</v>
      </c>
      <c r="K716" s="1">
        <v>102</v>
      </c>
      <c r="L716" s="1" t="s">
        <v>360</v>
      </c>
      <c r="M716" s="1" t="s">
        <v>11</v>
      </c>
      <c r="N716" s="8" t="s">
        <v>48</v>
      </c>
    </row>
    <row r="717" spans="1:14" x14ac:dyDescent="0.3">
      <c r="A717" s="6" t="s">
        <v>292</v>
      </c>
      <c r="B717" s="1" t="s">
        <v>23</v>
      </c>
      <c r="C717" s="7">
        <v>45712</v>
      </c>
      <c r="D717" s="1" t="s">
        <v>19</v>
      </c>
      <c r="E717" s="1" t="s">
        <v>73</v>
      </c>
      <c r="F717" s="1">
        <v>4188</v>
      </c>
      <c r="G717" s="1">
        <v>942</v>
      </c>
      <c r="H717" s="1">
        <v>118</v>
      </c>
      <c r="I717" s="1">
        <v>20940</v>
      </c>
      <c r="J717" s="1">
        <v>20471</v>
      </c>
      <c r="K717" s="1">
        <v>102</v>
      </c>
      <c r="L717" s="1" t="s">
        <v>360</v>
      </c>
      <c r="M717" s="1" t="s">
        <v>357</v>
      </c>
      <c r="N717" s="8" t="s">
        <v>359</v>
      </c>
    </row>
    <row r="718" spans="1:14" x14ac:dyDescent="0.3">
      <c r="A718" s="6" t="s">
        <v>292</v>
      </c>
      <c r="B718" s="1" t="s">
        <v>23</v>
      </c>
      <c r="C718" s="7">
        <v>45712</v>
      </c>
      <c r="D718" s="1" t="s">
        <v>19</v>
      </c>
      <c r="E718" s="1" t="s">
        <v>73</v>
      </c>
      <c r="F718" s="1">
        <v>4188</v>
      </c>
      <c r="G718" s="1">
        <v>942</v>
      </c>
      <c r="H718" s="1">
        <v>118</v>
      </c>
      <c r="I718" s="1">
        <v>20940</v>
      </c>
      <c r="J718" s="1">
        <v>20471</v>
      </c>
      <c r="K718" s="1">
        <v>102</v>
      </c>
      <c r="L718" s="1" t="s">
        <v>360</v>
      </c>
      <c r="M718" s="1" t="s">
        <v>358</v>
      </c>
      <c r="N718" s="8" t="s">
        <v>359</v>
      </c>
    </row>
    <row r="719" spans="1:14" x14ac:dyDescent="0.3">
      <c r="A719" s="6" t="s">
        <v>293</v>
      </c>
      <c r="B719" s="1" t="s">
        <v>14</v>
      </c>
      <c r="C719" s="7">
        <v>45530</v>
      </c>
      <c r="D719" s="1" t="s">
        <v>36</v>
      </c>
      <c r="E719" s="1" t="s">
        <v>39</v>
      </c>
      <c r="F719" s="1">
        <v>929</v>
      </c>
      <c r="G719" s="1">
        <v>192</v>
      </c>
      <c r="H719" s="1">
        <v>322</v>
      </c>
      <c r="I719" s="1">
        <v>16722</v>
      </c>
      <c r="J719" s="1">
        <v>15996</v>
      </c>
      <c r="K719" s="1">
        <v>145</v>
      </c>
      <c r="L719" s="1" t="s">
        <v>26</v>
      </c>
      <c r="M719" s="1" t="s">
        <v>11</v>
      </c>
      <c r="N719" s="8" t="s">
        <v>31</v>
      </c>
    </row>
    <row r="720" spans="1:14" x14ac:dyDescent="0.3">
      <c r="A720" s="6" t="s">
        <v>293</v>
      </c>
      <c r="B720" s="1" t="s">
        <v>14</v>
      </c>
      <c r="C720" s="7">
        <v>45530</v>
      </c>
      <c r="D720" s="1" t="s">
        <v>36</v>
      </c>
      <c r="E720" s="1" t="s">
        <v>39</v>
      </c>
      <c r="F720" s="1">
        <v>929</v>
      </c>
      <c r="G720" s="1">
        <v>192</v>
      </c>
      <c r="H720" s="1">
        <v>322</v>
      </c>
      <c r="I720" s="1">
        <v>16722</v>
      </c>
      <c r="J720" s="1">
        <v>15996</v>
      </c>
      <c r="K720" s="1">
        <v>145</v>
      </c>
      <c r="L720" s="1" t="s">
        <v>26</v>
      </c>
      <c r="M720" s="1" t="s">
        <v>357</v>
      </c>
      <c r="N720" s="8" t="s">
        <v>25</v>
      </c>
    </row>
    <row r="721" spans="1:14" x14ac:dyDescent="0.3">
      <c r="A721" s="6" t="s">
        <v>293</v>
      </c>
      <c r="B721" s="1" t="s">
        <v>14</v>
      </c>
      <c r="C721" s="7">
        <v>45530</v>
      </c>
      <c r="D721" s="1" t="s">
        <v>36</v>
      </c>
      <c r="E721" s="1" t="s">
        <v>39</v>
      </c>
      <c r="F721" s="1">
        <v>929</v>
      </c>
      <c r="G721" s="1">
        <v>192</v>
      </c>
      <c r="H721" s="1">
        <v>322</v>
      </c>
      <c r="I721" s="1">
        <v>16722</v>
      </c>
      <c r="J721" s="1">
        <v>15996</v>
      </c>
      <c r="K721" s="1">
        <v>145</v>
      </c>
      <c r="L721" s="1" t="s">
        <v>26</v>
      </c>
      <c r="M721" s="1" t="s">
        <v>358</v>
      </c>
      <c r="N721" s="8" t="s">
        <v>354</v>
      </c>
    </row>
    <row r="722" spans="1:14" x14ac:dyDescent="0.3">
      <c r="A722" s="6" t="s">
        <v>294</v>
      </c>
      <c r="B722" s="1" t="s">
        <v>35</v>
      </c>
      <c r="C722" s="7">
        <v>45675</v>
      </c>
      <c r="D722" s="1" t="s">
        <v>29</v>
      </c>
      <c r="E722" s="1" t="s">
        <v>54</v>
      </c>
      <c r="F722" s="1">
        <v>4321</v>
      </c>
      <c r="G722" s="1">
        <v>874</v>
      </c>
      <c r="H722" s="1">
        <v>172</v>
      </c>
      <c r="I722" s="1">
        <v>30247</v>
      </c>
      <c r="J722" s="1">
        <v>29254</v>
      </c>
      <c r="K722" s="1">
        <v>122</v>
      </c>
      <c r="L722" s="1" t="s">
        <v>32</v>
      </c>
      <c r="M722" s="1" t="s">
        <v>11</v>
      </c>
      <c r="N722" s="8" t="s">
        <v>25</v>
      </c>
    </row>
    <row r="723" spans="1:14" x14ac:dyDescent="0.3">
      <c r="A723" s="6" t="s">
        <v>294</v>
      </c>
      <c r="B723" s="1" t="s">
        <v>35</v>
      </c>
      <c r="C723" s="7">
        <v>45675</v>
      </c>
      <c r="D723" s="1" t="s">
        <v>29</v>
      </c>
      <c r="E723" s="1" t="s">
        <v>54</v>
      </c>
      <c r="F723" s="1">
        <v>4321</v>
      </c>
      <c r="G723" s="1">
        <v>874</v>
      </c>
      <c r="H723" s="1">
        <v>172</v>
      </c>
      <c r="I723" s="1">
        <v>30247</v>
      </c>
      <c r="J723" s="1">
        <v>29254</v>
      </c>
      <c r="K723" s="1">
        <v>122</v>
      </c>
      <c r="L723" s="1" t="s">
        <v>32</v>
      </c>
      <c r="M723" s="1" t="s">
        <v>357</v>
      </c>
      <c r="N723" s="8" t="s">
        <v>359</v>
      </c>
    </row>
    <row r="724" spans="1:14" x14ac:dyDescent="0.3">
      <c r="A724" s="6" t="s">
        <v>294</v>
      </c>
      <c r="B724" s="1" t="s">
        <v>35</v>
      </c>
      <c r="C724" s="7">
        <v>45675</v>
      </c>
      <c r="D724" s="1" t="s">
        <v>29</v>
      </c>
      <c r="E724" s="1" t="s">
        <v>54</v>
      </c>
      <c r="F724" s="1">
        <v>4321</v>
      </c>
      <c r="G724" s="1">
        <v>874</v>
      </c>
      <c r="H724" s="1">
        <v>172</v>
      </c>
      <c r="I724" s="1">
        <v>30247</v>
      </c>
      <c r="J724" s="1">
        <v>29254</v>
      </c>
      <c r="K724" s="1">
        <v>122</v>
      </c>
      <c r="L724" s="1" t="s">
        <v>32</v>
      </c>
      <c r="M724" s="1" t="s">
        <v>358</v>
      </c>
      <c r="N724" s="8" t="s">
        <v>359</v>
      </c>
    </row>
    <row r="725" spans="1:14" x14ac:dyDescent="0.3">
      <c r="A725" s="6" t="s">
        <v>295</v>
      </c>
      <c r="B725" s="1" t="s">
        <v>35</v>
      </c>
      <c r="C725" s="7">
        <v>45480</v>
      </c>
      <c r="D725" s="1" t="s">
        <v>15</v>
      </c>
      <c r="E725" s="1" t="s">
        <v>50</v>
      </c>
      <c r="F725" s="1">
        <v>4767</v>
      </c>
      <c r="G725" s="1">
        <v>190</v>
      </c>
      <c r="H725" s="1">
        <v>340</v>
      </c>
      <c r="I725" s="1">
        <v>28602</v>
      </c>
      <c r="J725" s="1">
        <v>28044</v>
      </c>
      <c r="K725" s="1">
        <v>210</v>
      </c>
      <c r="L725" s="1" t="s">
        <v>26</v>
      </c>
      <c r="M725" s="1" t="s">
        <v>11</v>
      </c>
      <c r="N725" s="8" t="s">
        <v>31</v>
      </c>
    </row>
    <row r="726" spans="1:14" x14ac:dyDescent="0.3">
      <c r="A726" s="6" t="s">
        <v>295</v>
      </c>
      <c r="B726" s="1" t="s">
        <v>35</v>
      </c>
      <c r="C726" s="7">
        <v>45480</v>
      </c>
      <c r="D726" s="1" t="s">
        <v>15</v>
      </c>
      <c r="E726" s="1" t="s">
        <v>50</v>
      </c>
      <c r="F726" s="1">
        <v>4767</v>
      </c>
      <c r="G726" s="1">
        <v>190</v>
      </c>
      <c r="H726" s="1">
        <v>340</v>
      </c>
      <c r="I726" s="1">
        <v>28602</v>
      </c>
      <c r="J726" s="1">
        <v>28044</v>
      </c>
      <c r="K726" s="1">
        <v>210</v>
      </c>
      <c r="L726" s="1" t="s">
        <v>26</v>
      </c>
      <c r="M726" s="1" t="s">
        <v>357</v>
      </c>
      <c r="N726" s="8" t="s">
        <v>359</v>
      </c>
    </row>
    <row r="727" spans="1:14" x14ac:dyDescent="0.3">
      <c r="A727" s="6" t="s">
        <v>295</v>
      </c>
      <c r="B727" s="1" t="s">
        <v>35</v>
      </c>
      <c r="C727" s="7">
        <v>45480</v>
      </c>
      <c r="D727" s="1" t="s">
        <v>15</v>
      </c>
      <c r="E727" s="1" t="s">
        <v>50</v>
      </c>
      <c r="F727" s="1">
        <v>4767</v>
      </c>
      <c r="G727" s="1">
        <v>190</v>
      </c>
      <c r="H727" s="1">
        <v>340</v>
      </c>
      <c r="I727" s="1">
        <v>28602</v>
      </c>
      <c r="J727" s="1">
        <v>28044</v>
      </c>
      <c r="K727" s="1">
        <v>210</v>
      </c>
      <c r="L727" s="1" t="s">
        <v>26</v>
      </c>
      <c r="M727" s="1" t="s">
        <v>358</v>
      </c>
      <c r="N727" s="8" t="s">
        <v>359</v>
      </c>
    </row>
    <row r="728" spans="1:14" x14ac:dyDescent="0.3">
      <c r="A728" s="6" t="s">
        <v>296</v>
      </c>
      <c r="B728" s="1" t="s">
        <v>14</v>
      </c>
      <c r="C728" s="7">
        <v>45722</v>
      </c>
      <c r="D728" s="1" t="s">
        <v>41</v>
      </c>
      <c r="E728" s="1" t="s">
        <v>88</v>
      </c>
      <c r="F728" s="1">
        <v>3592</v>
      </c>
      <c r="G728" s="1">
        <v>911</v>
      </c>
      <c r="H728" s="1">
        <v>375</v>
      </c>
      <c r="I728" s="1">
        <v>50288</v>
      </c>
      <c r="J728" s="1">
        <v>49490</v>
      </c>
      <c r="K728" s="1">
        <v>32</v>
      </c>
      <c r="L728" s="1" t="s">
        <v>32</v>
      </c>
      <c r="M728" s="1" t="s">
        <v>11</v>
      </c>
      <c r="N728" s="8" t="s">
        <v>48</v>
      </c>
    </row>
    <row r="729" spans="1:14" x14ac:dyDescent="0.3">
      <c r="A729" s="6" t="s">
        <v>296</v>
      </c>
      <c r="B729" s="1" t="s">
        <v>14</v>
      </c>
      <c r="C729" s="7">
        <v>45722</v>
      </c>
      <c r="D729" s="1" t="s">
        <v>41</v>
      </c>
      <c r="E729" s="1" t="s">
        <v>88</v>
      </c>
      <c r="F729" s="1">
        <v>3592</v>
      </c>
      <c r="G729" s="1">
        <v>911</v>
      </c>
      <c r="H729" s="1">
        <v>375</v>
      </c>
      <c r="I729" s="1">
        <v>50288</v>
      </c>
      <c r="J729" s="1">
        <v>49490</v>
      </c>
      <c r="K729" s="1">
        <v>32</v>
      </c>
      <c r="L729" s="1" t="s">
        <v>32</v>
      </c>
      <c r="M729" s="1" t="s">
        <v>357</v>
      </c>
      <c r="N729" s="8" t="s">
        <v>359</v>
      </c>
    </row>
    <row r="730" spans="1:14" x14ac:dyDescent="0.3">
      <c r="A730" s="6" t="s">
        <v>296</v>
      </c>
      <c r="B730" s="1" t="s">
        <v>14</v>
      </c>
      <c r="C730" s="7">
        <v>45722</v>
      </c>
      <c r="D730" s="1" t="s">
        <v>41</v>
      </c>
      <c r="E730" s="1" t="s">
        <v>88</v>
      </c>
      <c r="F730" s="1">
        <v>3592</v>
      </c>
      <c r="G730" s="1">
        <v>911</v>
      </c>
      <c r="H730" s="1">
        <v>375</v>
      </c>
      <c r="I730" s="1">
        <v>50288</v>
      </c>
      <c r="J730" s="1">
        <v>49490</v>
      </c>
      <c r="K730" s="1">
        <v>32</v>
      </c>
      <c r="L730" s="1" t="s">
        <v>32</v>
      </c>
      <c r="M730" s="1" t="s">
        <v>358</v>
      </c>
      <c r="N730" s="8" t="s">
        <v>359</v>
      </c>
    </row>
    <row r="731" spans="1:14" x14ac:dyDescent="0.3">
      <c r="A731" s="6" t="s">
        <v>297</v>
      </c>
      <c r="B731" s="1" t="s">
        <v>23</v>
      </c>
      <c r="C731" s="7">
        <v>45590</v>
      </c>
      <c r="D731" s="1" t="s">
        <v>56</v>
      </c>
      <c r="E731" s="1" t="s">
        <v>136</v>
      </c>
      <c r="F731" s="1">
        <v>4661</v>
      </c>
      <c r="G731" s="1">
        <v>935</v>
      </c>
      <c r="H731" s="1">
        <v>433</v>
      </c>
      <c r="I731" s="1">
        <v>23305</v>
      </c>
      <c r="J731" s="1">
        <v>22583</v>
      </c>
      <c r="K731" s="1">
        <v>63</v>
      </c>
      <c r="L731" s="1" t="s">
        <v>26</v>
      </c>
      <c r="M731" s="1" t="s">
        <v>11</v>
      </c>
      <c r="N731" s="8" t="s">
        <v>48</v>
      </c>
    </row>
    <row r="732" spans="1:14" x14ac:dyDescent="0.3">
      <c r="A732" s="6" t="s">
        <v>297</v>
      </c>
      <c r="B732" s="1" t="s">
        <v>23</v>
      </c>
      <c r="C732" s="7">
        <v>45590</v>
      </c>
      <c r="D732" s="1" t="s">
        <v>56</v>
      </c>
      <c r="E732" s="1" t="s">
        <v>136</v>
      </c>
      <c r="F732" s="1">
        <v>4661</v>
      </c>
      <c r="G732" s="1">
        <v>935</v>
      </c>
      <c r="H732" s="1">
        <v>433</v>
      </c>
      <c r="I732" s="1">
        <v>23305</v>
      </c>
      <c r="J732" s="1">
        <v>22583</v>
      </c>
      <c r="K732" s="1">
        <v>63</v>
      </c>
      <c r="L732" s="1" t="s">
        <v>26</v>
      </c>
      <c r="M732" s="1" t="s">
        <v>357</v>
      </c>
      <c r="N732" s="8" t="s">
        <v>359</v>
      </c>
    </row>
    <row r="733" spans="1:14" x14ac:dyDescent="0.3">
      <c r="A733" s="6" t="s">
        <v>297</v>
      </c>
      <c r="B733" s="1" t="s">
        <v>23</v>
      </c>
      <c r="C733" s="7">
        <v>45590</v>
      </c>
      <c r="D733" s="1" t="s">
        <v>56</v>
      </c>
      <c r="E733" s="1" t="s">
        <v>136</v>
      </c>
      <c r="F733" s="1">
        <v>4661</v>
      </c>
      <c r="G733" s="1">
        <v>935</v>
      </c>
      <c r="H733" s="1">
        <v>433</v>
      </c>
      <c r="I733" s="1">
        <v>23305</v>
      </c>
      <c r="J733" s="1">
        <v>22583</v>
      </c>
      <c r="K733" s="1">
        <v>63</v>
      </c>
      <c r="L733" s="1" t="s">
        <v>26</v>
      </c>
      <c r="M733" s="1" t="s">
        <v>358</v>
      </c>
      <c r="N733" s="8" t="s">
        <v>359</v>
      </c>
    </row>
    <row r="734" spans="1:14" x14ac:dyDescent="0.3">
      <c r="A734" s="6" t="s">
        <v>298</v>
      </c>
      <c r="B734" s="1" t="s">
        <v>35</v>
      </c>
      <c r="C734" s="7">
        <v>45669</v>
      </c>
      <c r="D734" s="1" t="s">
        <v>15</v>
      </c>
      <c r="E734" s="1" t="s">
        <v>50</v>
      </c>
      <c r="F734" s="1">
        <v>4134</v>
      </c>
      <c r="G734" s="1">
        <v>824</v>
      </c>
      <c r="H734" s="1">
        <v>99</v>
      </c>
      <c r="I734" s="1">
        <v>41340</v>
      </c>
      <c r="J734" s="1">
        <v>41050</v>
      </c>
      <c r="K734" s="1">
        <v>177</v>
      </c>
      <c r="L734" s="1" t="s">
        <v>17</v>
      </c>
      <c r="M734" s="1" t="s">
        <v>11</v>
      </c>
      <c r="N734" s="8" t="s">
        <v>31</v>
      </c>
    </row>
    <row r="735" spans="1:14" x14ac:dyDescent="0.3">
      <c r="A735" s="6" t="s">
        <v>298</v>
      </c>
      <c r="B735" s="1" t="s">
        <v>35</v>
      </c>
      <c r="C735" s="7">
        <v>45669</v>
      </c>
      <c r="D735" s="1" t="s">
        <v>15</v>
      </c>
      <c r="E735" s="1" t="s">
        <v>50</v>
      </c>
      <c r="F735" s="1">
        <v>4134</v>
      </c>
      <c r="G735" s="1">
        <v>824</v>
      </c>
      <c r="H735" s="1">
        <v>99</v>
      </c>
      <c r="I735" s="1">
        <v>41340</v>
      </c>
      <c r="J735" s="1">
        <v>41050</v>
      </c>
      <c r="K735" s="1">
        <v>177</v>
      </c>
      <c r="L735" s="1" t="s">
        <v>17</v>
      </c>
      <c r="M735" s="1" t="s">
        <v>357</v>
      </c>
      <c r="N735" s="8" t="s">
        <v>359</v>
      </c>
    </row>
    <row r="736" spans="1:14" x14ac:dyDescent="0.3">
      <c r="A736" s="6" t="s">
        <v>298</v>
      </c>
      <c r="B736" s="1" t="s">
        <v>35</v>
      </c>
      <c r="C736" s="7">
        <v>45669</v>
      </c>
      <c r="D736" s="1" t="s">
        <v>15</v>
      </c>
      <c r="E736" s="1" t="s">
        <v>50</v>
      </c>
      <c r="F736" s="1">
        <v>4134</v>
      </c>
      <c r="G736" s="1">
        <v>824</v>
      </c>
      <c r="H736" s="1">
        <v>99</v>
      </c>
      <c r="I736" s="1">
        <v>41340</v>
      </c>
      <c r="J736" s="1">
        <v>41050</v>
      </c>
      <c r="K736" s="1">
        <v>177</v>
      </c>
      <c r="L736" s="1" t="s">
        <v>17</v>
      </c>
      <c r="M736" s="1" t="s">
        <v>358</v>
      </c>
      <c r="N736" s="8" t="s">
        <v>359</v>
      </c>
    </row>
    <row r="737" spans="1:14" x14ac:dyDescent="0.3">
      <c r="A737" s="6" t="s">
        <v>299</v>
      </c>
      <c r="B737" s="1" t="s">
        <v>35</v>
      </c>
      <c r="C737" s="7">
        <v>45576</v>
      </c>
      <c r="D737" s="1" t="s">
        <v>41</v>
      </c>
      <c r="E737" s="1" t="s">
        <v>46</v>
      </c>
      <c r="F737" s="1">
        <v>400</v>
      </c>
      <c r="G737" s="1">
        <v>680</v>
      </c>
      <c r="H737" s="1">
        <v>434</v>
      </c>
      <c r="I737" s="1">
        <v>6400</v>
      </c>
      <c r="J737" s="1">
        <v>5472</v>
      </c>
      <c r="K737" s="1">
        <v>160</v>
      </c>
      <c r="L737" s="1" t="s">
        <v>21</v>
      </c>
      <c r="M737" s="1" t="s">
        <v>11</v>
      </c>
      <c r="N737" s="8" t="s">
        <v>48</v>
      </c>
    </row>
    <row r="738" spans="1:14" x14ac:dyDescent="0.3">
      <c r="A738" s="6" t="s">
        <v>299</v>
      </c>
      <c r="B738" s="1" t="s">
        <v>35</v>
      </c>
      <c r="C738" s="7">
        <v>45576</v>
      </c>
      <c r="D738" s="1" t="s">
        <v>41</v>
      </c>
      <c r="E738" s="1" t="s">
        <v>46</v>
      </c>
      <c r="F738" s="1">
        <v>400</v>
      </c>
      <c r="G738" s="1">
        <v>680</v>
      </c>
      <c r="H738" s="1">
        <v>434</v>
      </c>
      <c r="I738" s="1">
        <v>6400</v>
      </c>
      <c r="J738" s="1">
        <v>5472</v>
      </c>
      <c r="K738" s="1">
        <v>160</v>
      </c>
      <c r="L738" s="1" t="s">
        <v>21</v>
      </c>
      <c r="M738" s="1" t="s">
        <v>357</v>
      </c>
      <c r="N738" s="8" t="s">
        <v>359</v>
      </c>
    </row>
    <row r="739" spans="1:14" x14ac:dyDescent="0.3">
      <c r="A739" s="6" t="s">
        <v>299</v>
      </c>
      <c r="B739" s="1" t="s">
        <v>35</v>
      </c>
      <c r="C739" s="7">
        <v>45576</v>
      </c>
      <c r="D739" s="1" t="s">
        <v>41</v>
      </c>
      <c r="E739" s="1" t="s">
        <v>46</v>
      </c>
      <c r="F739" s="1">
        <v>400</v>
      </c>
      <c r="G739" s="1">
        <v>680</v>
      </c>
      <c r="H739" s="1">
        <v>434</v>
      </c>
      <c r="I739" s="1">
        <v>6400</v>
      </c>
      <c r="J739" s="1">
        <v>5472</v>
      </c>
      <c r="K739" s="1">
        <v>160</v>
      </c>
      <c r="L739" s="1" t="s">
        <v>21</v>
      </c>
      <c r="M739" s="1" t="s">
        <v>358</v>
      </c>
      <c r="N739" s="8" t="s">
        <v>359</v>
      </c>
    </row>
    <row r="740" spans="1:14" x14ac:dyDescent="0.3">
      <c r="A740" s="6" t="s">
        <v>300</v>
      </c>
      <c r="B740" s="1" t="s">
        <v>35</v>
      </c>
      <c r="C740" s="7">
        <v>45531</v>
      </c>
      <c r="D740" s="1" t="s">
        <v>15</v>
      </c>
      <c r="E740" s="1" t="s">
        <v>50</v>
      </c>
      <c r="F740" s="1">
        <v>3960</v>
      </c>
      <c r="G740" s="1">
        <v>266</v>
      </c>
      <c r="H740" s="1">
        <v>8</v>
      </c>
      <c r="I740" s="1">
        <v>35640</v>
      </c>
      <c r="J740" s="1">
        <v>34850</v>
      </c>
      <c r="K740" s="1">
        <v>208</v>
      </c>
      <c r="L740" s="1" t="s">
        <v>360</v>
      </c>
      <c r="M740" s="1" t="s">
        <v>11</v>
      </c>
      <c r="N740" s="8" t="s">
        <v>48</v>
      </c>
    </row>
    <row r="741" spans="1:14" x14ac:dyDescent="0.3">
      <c r="A741" s="6" t="s">
        <v>300</v>
      </c>
      <c r="B741" s="1" t="s">
        <v>35</v>
      </c>
      <c r="C741" s="7">
        <v>45531</v>
      </c>
      <c r="D741" s="1" t="s">
        <v>15</v>
      </c>
      <c r="E741" s="1" t="s">
        <v>50</v>
      </c>
      <c r="F741" s="1">
        <v>3960</v>
      </c>
      <c r="G741" s="1">
        <v>266</v>
      </c>
      <c r="H741" s="1">
        <v>8</v>
      </c>
      <c r="I741" s="1">
        <v>35640</v>
      </c>
      <c r="J741" s="1">
        <v>34850</v>
      </c>
      <c r="K741" s="1">
        <v>208</v>
      </c>
      <c r="L741" s="1" t="s">
        <v>360</v>
      </c>
      <c r="M741" s="1" t="s">
        <v>357</v>
      </c>
      <c r="N741" s="8" t="s">
        <v>31</v>
      </c>
    </row>
    <row r="742" spans="1:14" x14ac:dyDescent="0.3">
      <c r="A742" s="6" t="s">
        <v>300</v>
      </c>
      <c r="B742" s="1" t="s">
        <v>35</v>
      </c>
      <c r="C742" s="7">
        <v>45531</v>
      </c>
      <c r="D742" s="1" t="s">
        <v>15</v>
      </c>
      <c r="E742" s="1" t="s">
        <v>50</v>
      </c>
      <c r="F742" s="1">
        <v>3960</v>
      </c>
      <c r="G742" s="1">
        <v>266</v>
      </c>
      <c r="H742" s="1">
        <v>8</v>
      </c>
      <c r="I742" s="1">
        <v>35640</v>
      </c>
      <c r="J742" s="1">
        <v>34850</v>
      </c>
      <c r="K742" s="1">
        <v>208</v>
      </c>
      <c r="L742" s="1" t="s">
        <v>360</v>
      </c>
      <c r="M742" s="1" t="s">
        <v>358</v>
      </c>
      <c r="N742" s="8" t="s">
        <v>355</v>
      </c>
    </row>
    <row r="743" spans="1:14" x14ac:dyDescent="0.3">
      <c r="A743" s="6" t="s">
        <v>301</v>
      </c>
      <c r="B743" s="1" t="s">
        <v>35</v>
      </c>
      <c r="C743" s="7">
        <v>45690</v>
      </c>
      <c r="D743" s="1" t="s">
        <v>29</v>
      </c>
      <c r="E743" s="1" t="s">
        <v>54</v>
      </c>
      <c r="F743" s="1">
        <v>886</v>
      </c>
      <c r="G743" s="1">
        <v>126</v>
      </c>
      <c r="H743" s="1">
        <v>153</v>
      </c>
      <c r="I743" s="1">
        <v>4430</v>
      </c>
      <c r="J743" s="1">
        <v>4037</v>
      </c>
      <c r="K743" s="1">
        <v>212</v>
      </c>
      <c r="L743" s="1" t="s">
        <v>360</v>
      </c>
      <c r="M743" s="1" t="s">
        <v>11</v>
      </c>
      <c r="N743" s="8" t="s">
        <v>31</v>
      </c>
    </row>
    <row r="744" spans="1:14" x14ac:dyDescent="0.3">
      <c r="A744" s="6" t="s">
        <v>301</v>
      </c>
      <c r="B744" s="1" t="s">
        <v>35</v>
      </c>
      <c r="C744" s="7">
        <v>45690</v>
      </c>
      <c r="D744" s="1" t="s">
        <v>29</v>
      </c>
      <c r="E744" s="1" t="s">
        <v>54</v>
      </c>
      <c r="F744" s="1">
        <v>886</v>
      </c>
      <c r="G744" s="1">
        <v>126</v>
      </c>
      <c r="H744" s="1">
        <v>153</v>
      </c>
      <c r="I744" s="1">
        <v>4430</v>
      </c>
      <c r="J744" s="1">
        <v>4037</v>
      </c>
      <c r="K744" s="1">
        <v>212</v>
      </c>
      <c r="L744" s="1" t="s">
        <v>360</v>
      </c>
      <c r="M744" s="1" t="s">
        <v>357</v>
      </c>
      <c r="N744" s="8" t="s">
        <v>359</v>
      </c>
    </row>
    <row r="745" spans="1:14" x14ac:dyDescent="0.3">
      <c r="A745" s="6" t="s">
        <v>301</v>
      </c>
      <c r="B745" s="1" t="s">
        <v>35</v>
      </c>
      <c r="C745" s="7">
        <v>45690</v>
      </c>
      <c r="D745" s="1" t="s">
        <v>29</v>
      </c>
      <c r="E745" s="1" t="s">
        <v>54</v>
      </c>
      <c r="F745" s="1">
        <v>886</v>
      </c>
      <c r="G745" s="1">
        <v>126</v>
      </c>
      <c r="H745" s="1">
        <v>153</v>
      </c>
      <c r="I745" s="1">
        <v>4430</v>
      </c>
      <c r="J745" s="1">
        <v>4037</v>
      </c>
      <c r="K745" s="1">
        <v>212</v>
      </c>
      <c r="L745" s="1" t="s">
        <v>360</v>
      </c>
      <c r="M745" s="1" t="s">
        <v>358</v>
      </c>
      <c r="N745" s="8" t="s">
        <v>359</v>
      </c>
    </row>
    <row r="746" spans="1:14" x14ac:dyDescent="0.3">
      <c r="A746" s="6" t="s">
        <v>302</v>
      </c>
      <c r="B746" s="1" t="s">
        <v>14</v>
      </c>
      <c r="C746" s="7">
        <v>45491</v>
      </c>
      <c r="D746" s="1" t="s">
        <v>41</v>
      </c>
      <c r="E746" s="1" t="s">
        <v>88</v>
      </c>
      <c r="F746" s="1">
        <v>827</v>
      </c>
      <c r="G746" s="1">
        <v>77</v>
      </c>
      <c r="H746" s="1">
        <v>402</v>
      </c>
      <c r="I746" s="1">
        <v>14886</v>
      </c>
      <c r="J746" s="1">
        <v>14129</v>
      </c>
      <c r="K746" s="1">
        <v>254</v>
      </c>
      <c r="L746" s="1" t="s">
        <v>21</v>
      </c>
      <c r="M746" s="1" t="s">
        <v>11</v>
      </c>
      <c r="N746" s="8" t="s">
        <v>31</v>
      </c>
    </row>
    <row r="747" spans="1:14" x14ac:dyDescent="0.3">
      <c r="A747" s="6" t="s">
        <v>302</v>
      </c>
      <c r="B747" s="1" t="s">
        <v>14</v>
      </c>
      <c r="C747" s="7">
        <v>45491</v>
      </c>
      <c r="D747" s="1" t="s">
        <v>41</v>
      </c>
      <c r="E747" s="1" t="s">
        <v>88</v>
      </c>
      <c r="F747" s="1">
        <v>827</v>
      </c>
      <c r="G747" s="1">
        <v>77</v>
      </c>
      <c r="H747" s="1">
        <v>402</v>
      </c>
      <c r="I747" s="1">
        <v>14886</v>
      </c>
      <c r="J747" s="1">
        <v>14129</v>
      </c>
      <c r="K747" s="1">
        <v>254</v>
      </c>
      <c r="L747" s="1" t="s">
        <v>21</v>
      </c>
      <c r="M747" s="1" t="s">
        <v>357</v>
      </c>
      <c r="N747" s="8" t="s">
        <v>359</v>
      </c>
    </row>
    <row r="748" spans="1:14" x14ac:dyDescent="0.3">
      <c r="A748" s="6" t="s">
        <v>302</v>
      </c>
      <c r="B748" s="1" t="s">
        <v>14</v>
      </c>
      <c r="C748" s="7">
        <v>45491</v>
      </c>
      <c r="D748" s="1" t="s">
        <v>41</v>
      </c>
      <c r="E748" s="1" t="s">
        <v>88</v>
      </c>
      <c r="F748" s="1">
        <v>827</v>
      </c>
      <c r="G748" s="1">
        <v>77</v>
      </c>
      <c r="H748" s="1">
        <v>402</v>
      </c>
      <c r="I748" s="1">
        <v>14886</v>
      </c>
      <c r="J748" s="1">
        <v>14129</v>
      </c>
      <c r="K748" s="1">
        <v>254</v>
      </c>
      <c r="L748" s="1" t="s">
        <v>21</v>
      </c>
      <c r="M748" s="1" t="s">
        <v>358</v>
      </c>
      <c r="N748" s="8" t="s">
        <v>359</v>
      </c>
    </row>
    <row r="749" spans="1:14" x14ac:dyDescent="0.3">
      <c r="A749" s="6" t="s">
        <v>303</v>
      </c>
      <c r="B749" s="1" t="s">
        <v>35</v>
      </c>
      <c r="C749" s="7">
        <v>45465</v>
      </c>
      <c r="D749" s="1" t="s">
        <v>15</v>
      </c>
      <c r="E749" s="1" t="s">
        <v>50</v>
      </c>
      <c r="F749" s="1">
        <v>3813</v>
      </c>
      <c r="G749" s="1">
        <v>935</v>
      </c>
      <c r="H749" s="1">
        <v>274</v>
      </c>
      <c r="I749" s="1">
        <v>68634</v>
      </c>
      <c r="J749" s="1">
        <v>68488</v>
      </c>
      <c r="K749" s="1">
        <v>251</v>
      </c>
      <c r="L749" s="1" t="s">
        <v>360</v>
      </c>
      <c r="M749" s="1" t="s">
        <v>11</v>
      </c>
      <c r="N749" s="8" t="s">
        <v>48</v>
      </c>
    </row>
    <row r="750" spans="1:14" x14ac:dyDescent="0.3">
      <c r="A750" s="6" t="s">
        <v>303</v>
      </c>
      <c r="B750" s="1" t="s">
        <v>35</v>
      </c>
      <c r="C750" s="7">
        <v>45465</v>
      </c>
      <c r="D750" s="1" t="s">
        <v>15</v>
      </c>
      <c r="E750" s="1" t="s">
        <v>50</v>
      </c>
      <c r="F750" s="1">
        <v>3813</v>
      </c>
      <c r="G750" s="1">
        <v>935</v>
      </c>
      <c r="H750" s="1">
        <v>274</v>
      </c>
      <c r="I750" s="1">
        <v>68634</v>
      </c>
      <c r="J750" s="1">
        <v>68488</v>
      </c>
      <c r="K750" s="1">
        <v>251</v>
      </c>
      <c r="L750" s="1" t="s">
        <v>360</v>
      </c>
      <c r="M750" s="1" t="s">
        <v>357</v>
      </c>
      <c r="N750" s="8" t="s">
        <v>359</v>
      </c>
    </row>
    <row r="751" spans="1:14" x14ac:dyDescent="0.3">
      <c r="A751" s="6" t="s">
        <v>303</v>
      </c>
      <c r="B751" s="1" t="s">
        <v>35</v>
      </c>
      <c r="C751" s="7">
        <v>45465</v>
      </c>
      <c r="D751" s="1" t="s">
        <v>15</v>
      </c>
      <c r="E751" s="1" t="s">
        <v>50</v>
      </c>
      <c r="F751" s="1">
        <v>3813</v>
      </c>
      <c r="G751" s="1">
        <v>935</v>
      </c>
      <c r="H751" s="1">
        <v>274</v>
      </c>
      <c r="I751" s="1">
        <v>68634</v>
      </c>
      <c r="J751" s="1">
        <v>68488</v>
      </c>
      <c r="K751" s="1">
        <v>251</v>
      </c>
      <c r="L751" s="1" t="s">
        <v>360</v>
      </c>
      <c r="M751" s="1" t="s">
        <v>358</v>
      </c>
      <c r="N751" s="8" t="s">
        <v>359</v>
      </c>
    </row>
    <row r="752" spans="1:14" x14ac:dyDescent="0.3">
      <c r="A752" s="6" t="s">
        <v>304</v>
      </c>
      <c r="B752" s="1" t="s">
        <v>28</v>
      </c>
      <c r="C752" s="7">
        <v>45743</v>
      </c>
      <c r="D752" s="1" t="s">
        <v>36</v>
      </c>
      <c r="E752" s="1" t="s">
        <v>65</v>
      </c>
      <c r="F752" s="1">
        <v>1377</v>
      </c>
      <c r="G752" s="1">
        <v>796</v>
      </c>
      <c r="H752" s="1">
        <v>387</v>
      </c>
      <c r="I752" s="1">
        <v>22032</v>
      </c>
      <c r="J752" s="1">
        <v>21869</v>
      </c>
      <c r="K752" s="1">
        <v>189</v>
      </c>
      <c r="L752" s="1" t="s">
        <v>360</v>
      </c>
      <c r="M752" s="1" t="s">
        <v>11</v>
      </c>
      <c r="N752" s="8" t="s">
        <v>48</v>
      </c>
    </row>
    <row r="753" spans="1:14" x14ac:dyDescent="0.3">
      <c r="A753" s="6" t="s">
        <v>304</v>
      </c>
      <c r="B753" s="1" t="s">
        <v>28</v>
      </c>
      <c r="C753" s="7">
        <v>45743</v>
      </c>
      <c r="D753" s="1" t="s">
        <v>36</v>
      </c>
      <c r="E753" s="1" t="s">
        <v>65</v>
      </c>
      <c r="F753" s="1">
        <v>1377</v>
      </c>
      <c r="G753" s="1">
        <v>796</v>
      </c>
      <c r="H753" s="1">
        <v>387</v>
      </c>
      <c r="I753" s="1">
        <v>22032</v>
      </c>
      <c r="J753" s="1">
        <v>21869</v>
      </c>
      <c r="K753" s="1">
        <v>189</v>
      </c>
      <c r="L753" s="1" t="s">
        <v>360</v>
      </c>
      <c r="M753" s="1" t="s">
        <v>357</v>
      </c>
      <c r="N753" s="8" t="s">
        <v>359</v>
      </c>
    </row>
    <row r="754" spans="1:14" x14ac:dyDescent="0.3">
      <c r="A754" s="6" t="s">
        <v>304</v>
      </c>
      <c r="B754" s="1" t="s">
        <v>28</v>
      </c>
      <c r="C754" s="7">
        <v>45743</v>
      </c>
      <c r="D754" s="1" t="s">
        <v>36</v>
      </c>
      <c r="E754" s="1" t="s">
        <v>65</v>
      </c>
      <c r="F754" s="1">
        <v>1377</v>
      </c>
      <c r="G754" s="1">
        <v>796</v>
      </c>
      <c r="H754" s="1">
        <v>387</v>
      </c>
      <c r="I754" s="1">
        <v>22032</v>
      </c>
      <c r="J754" s="1">
        <v>21869</v>
      </c>
      <c r="K754" s="1">
        <v>189</v>
      </c>
      <c r="L754" s="1" t="s">
        <v>360</v>
      </c>
      <c r="M754" s="1" t="s">
        <v>358</v>
      </c>
      <c r="N754" s="8" t="s">
        <v>359</v>
      </c>
    </row>
    <row r="755" spans="1:14" x14ac:dyDescent="0.3">
      <c r="A755" s="6" t="s">
        <v>305</v>
      </c>
      <c r="B755" s="1" t="s">
        <v>35</v>
      </c>
      <c r="C755" s="7">
        <v>45775</v>
      </c>
      <c r="D755" s="1" t="s">
        <v>36</v>
      </c>
      <c r="E755" s="1" t="s">
        <v>37</v>
      </c>
      <c r="F755" s="1">
        <v>2089</v>
      </c>
      <c r="G755" s="1">
        <v>476</v>
      </c>
      <c r="H755" s="1">
        <v>69</v>
      </c>
      <c r="I755" s="1">
        <v>16712</v>
      </c>
      <c r="J755" s="1">
        <v>16309</v>
      </c>
      <c r="K755" s="1">
        <v>64</v>
      </c>
      <c r="L755" s="1" t="s">
        <v>26</v>
      </c>
      <c r="M755" s="1" t="s">
        <v>11</v>
      </c>
      <c r="N755" s="8" t="s">
        <v>48</v>
      </c>
    </row>
    <row r="756" spans="1:14" x14ac:dyDescent="0.3">
      <c r="A756" s="6" t="s">
        <v>305</v>
      </c>
      <c r="B756" s="1" t="s">
        <v>35</v>
      </c>
      <c r="C756" s="7">
        <v>45775</v>
      </c>
      <c r="D756" s="1" t="s">
        <v>36</v>
      </c>
      <c r="E756" s="1" t="s">
        <v>37</v>
      </c>
      <c r="F756" s="1">
        <v>2089</v>
      </c>
      <c r="G756" s="1">
        <v>476</v>
      </c>
      <c r="H756" s="1">
        <v>69</v>
      </c>
      <c r="I756" s="1">
        <v>16712</v>
      </c>
      <c r="J756" s="1">
        <v>16309</v>
      </c>
      <c r="K756" s="1">
        <v>64</v>
      </c>
      <c r="L756" s="1" t="s">
        <v>26</v>
      </c>
      <c r="M756" s="1" t="s">
        <v>357</v>
      </c>
      <c r="N756" s="8" t="s">
        <v>359</v>
      </c>
    </row>
    <row r="757" spans="1:14" x14ac:dyDescent="0.3">
      <c r="A757" s="6" t="s">
        <v>305</v>
      </c>
      <c r="B757" s="1" t="s">
        <v>35</v>
      </c>
      <c r="C757" s="7">
        <v>45775</v>
      </c>
      <c r="D757" s="1" t="s">
        <v>36</v>
      </c>
      <c r="E757" s="1" t="s">
        <v>37</v>
      </c>
      <c r="F757" s="1">
        <v>2089</v>
      </c>
      <c r="G757" s="1">
        <v>476</v>
      </c>
      <c r="H757" s="1">
        <v>69</v>
      </c>
      <c r="I757" s="1">
        <v>16712</v>
      </c>
      <c r="J757" s="1">
        <v>16309</v>
      </c>
      <c r="K757" s="1">
        <v>64</v>
      </c>
      <c r="L757" s="1" t="s">
        <v>26</v>
      </c>
      <c r="M757" s="1" t="s">
        <v>358</v>
      </c>
      <c r="N757" s="8" t="s">
        <v>359</v>
      </c>
    </row>
    <row r="758" spans="1:14" x14ac:dyDescent="0.3">
      <c r="A758" s="6" t="s">
        <v>306</v>
      </c>
      <c r="B758" s="1" t="s">
        <v>14</v>
      </c>
      <c r="C758" s="7">
        <v>45507</v>
      </c>
      <c r="D758" s="1" t="s">
        <v>15</v>
      </c>
      <c r="E758" s="1" t="s">
        <v>16</v>
      </c>
      <c r="F758" s="1">
        <v>3791</v>
      </c>
      <c r="G758" s="1">
        <v>593</v>
      </c>
      <c r="H758" s="1">
        <v>228</v>
      </c>
      <c r="I758" s="1">
        <v>53074</v>
      </c>
      <c r="J758" s="1">
        <v>52613</v>
      </c>
      <c r="K758" s="1">
        <v>205</v>
      </c>
      <c r="L758" s="1" t="s">
        <v>360</v>
      </c>
      <c r="M758" s="1" t="s">
        <v>11</v>
      </c>
      <c r="N758" s="8" t="s">
        <v>31</v>
      </c>
    </row>
    <row r="759" spans="1:14" x14ac:dyDescent="0.3">
      <c r="A759" s="6" t="s">
        <v>306</v>
      </c>
      <c r="B759" s="1" t="s">
        <v>14</v>
      </c>
      <c r="C759" s="7">
        <v>45507</v>
      </c>
      <c r="D759" s="1" t="s">
        <v>15</v>
      </c>
      <c r="E759" s="1" t="s">
        <v>16</v>
      </c>
      <c r="F759" s="1">
        <v>3791</v>
      </c>
      <c r="G759" s="1">
        <v>593</v>
      </c>
      <c r="H759" s="1">
        <v>228</v>
      </c>
      <c r="I759" s="1">
        <v>53074</v>
      </c>
      <c r="J759" s="1">
        <v>52613</v>
      </c>
      <c r="K759" s="1">
        <v>205</v>
      </c>
      <c r="L759" s="1" t="s">
        <v>360</v>
      </c>
      <c r="M759" s="1" t="s">
        <v>357</v>
      </c>
      <c r="N759" s="8" t="s">
        <v>359</v>
      </c>
    </row>
    <row r="760" spans="1:14" x14ac:dyDescent="0.3">
      <c r="A760" s="6" t="s">
        <v>306</v>
      </c>
      <c r="B760" s="1" t="s">
        <v>14</v>
      </c>
      <c r="C760" s="7">
        <v>45507</v>
      </c>
      <c r="D760" s="1" t="s">
        <v>15</v>
      </c>
      <c r="E760" s="1" t="s">
        <v>16</v>
      </c>
      <c r="F760" s="1">
        <v>3791</v>
      </c>
      <c r="G760" s="1">
        <v>593</v>
      </c>
      <c r="H760" s="1">
        <v>228</v>
      </c>
      <c r="I760" s="1">
        <v>53074</v>
      </c>
      <c r="J760" s="1">
        <v>52613</v>
      </c>
      <c r="K760" s="1">
        <v>205</v>
      </c>
      <c r="L760" s="1" t="s">
        <v>360</v>
      </c>
      <c r="M760" s="1" t="s">
        <v>358</v>
      </c>
      <c r="N760" s="8" t="s">
        <v>359</v>
      </c>
    </row>
    <row r="761" spans="1:14" x14ac:dyDescent="0.3">
      <c r="A761" s="6" t="s">
        <v>307</v>
      </c>
      <c r="B761" s="1" t="s">
        <v>14</v>
      </c>
      <c r="C761" s="7">
        <v>45671</v>
      </c>
      <c r="D761" s="1" t="s">
        <v>41</v>
      </c>
      <c r="E761" s="1" t="s">
        <v>88</v>
      </c>
      <c r="F761" s="1">
        <v>2692</v>
      </c>
      <c r="G761" s="1">
        <v>115</v>
      </c>
      <c r="H761" s="1">
        <v>64</v>
      </c>
      <c r="I761" s="1">
        <v>21536</v>
      </c>
      <c r="J761" s="1">
        <v>21120</v>
      </c>
      <c r="K761" s="1">
        <v>224</v>
      </c>
      <c r="L761" s="1" t="s">
        <v>21</v>
      </c>
      <c r="M761" s="1" t="s">
        <v>11</v>
      </c>
      <c r="N761" s="8" t="s">
        <v>48</v>
      </c>
    </row>
    <row r="762" spans="1:14" x14ac:dyDescent="0.3">
      <c r="A762" s="6" t="s">
        <v>307</v>
      </c>
      <c r="B762" s="1" t="s">
        <v>14</v>
      </c>
      <c r="C762" s="7">
        <v>45671</v>
      </c>
      <c r="D762" s="1" t="s">
        <v>41</v>
      </c>
      <c r="E762" s="1" t="s">
        <v>88</v>
      </c>
      <c r="F762" s="1">
        <v>2692</v>
      </c>
      <c r="G762" s="1">
        <v>115</v>
      </c>
      <c r="H762" s="1">
        <v>64</v>
      </c>
      <c r="I762" s="1">
        <v>21536</v>
      </c>
      <c r="J762" s="1">
        <v>21120</v>
      </c>
      <c r="K762" s="1">
        <v>224</v>
      </c>
      <c r="L762" s="1" t="s">
        <v>21</v>
      </c>
      <c r="M762" s="1" t="s">
        <v>357</v>
      </c>
      <c r="N762" s="8" t="s">
        <v>359</v>
      </c>
    </row>
    <row r="763" spans="1:14" x14ac:dyDescent="0.3">
      <c r="A763" s="6" t="s">
        <v>307</v>
      </c>
      <c r="B763" s="1" t="s">
        <v>14</v>
      </c>
      <c r="C763" s="7">
        <v>45671</v>
      </c>
      <c r="D763" s="1" t="s">
        <v>41</v>
      </c>
      <c r="E763" s="1" t="s">
        <v>88</v>
      </c>
      <c r="F763" s="1">
        <v>2692</v>
      </c>
      <c r="G763" s="1">
        <v>115</v>
      </c>
      <c r="H763" s="1">
        <v>64</v>
      </c>
      <c r="I763" s="1">
        <v>21536</v>
      </c>
      <c r="J763" s="1">
        <v>21120</v>
      </c>
      <c r="K763" s="1">
        <v>224</v>
      </c>
      <c r="L763" s="1" t="s">
        <v>21</v>
      </c>
      <c r="M763" s="1" t="s">
        <v>358</v>
      </c>
      <c r="N763" s="8" t="s">
        <v>359</v>
      </c>
    </row>
    <row r="764" spans="1:14" x14ac:dyDescent="0.3">
      <c r="A764" s="6" t="s">
        <v>308</v>
      </c>
      <c r="B764" s="1" t="s">
        <v>35</v>
      </c>
      <c r="C764" s="7">
        <v>45750</v>
      </c>
      <c r="D764" s="1" t="s">
        <v>29</v>
      </c>
      <c r="E764" s="1" t="s">
        <v>54</v>
      </c>
      <c r="F764" s="1">
        <v>3767</v>
      </c>
      <c r="G764" s="1">
        <v>514</v>
      </c>
      <c r="H764" s="1">
        <v>238</v>
      </c>
      <c r="I764" s="1">
        <v>37670</v>
      </c>
      <c r="J764" s="1">
        <v>36807</v>
      </c>
      <c r="K764" s="1">
        <v>226</v>
      </c>
      <c r="L764" s="1" t="s">
        <v>32</v>
      </c>
      <c r="M764" s="1" t="s">
        <v>11</v>
      </c>
      <c r="N764" s="8" t="s">
        <v>48</v>
      </c>
    </row>
    <row r="765" spans="1:14" x14ac:dyDescent="0.3">
      <c r="A765" s="6" t="s">
        <v>308</v>
      </c>
      <c r="B765" s="1" t="s">
        <v>35</v>
      </c>
      <c r="C765" s="7">
        <v>45750</v>
      </c>
      <c r="D765" s="1" t="s">
        <v>29</v>
      </c>
      <c r="E765" s="1" t="s">
        <v>54</v>
      </c>
      <c r="F765" s="1">
        <v>3767</v>
      </c>
      <c r="G765" s="1">
        <v>514</v>
      </c>
      <c r="H765" s="1">
        <v>238</v>
      </c>
      <c r="I765" s="1">
        <v>37670</v>
      </c>
      <c r="J765" s="1">
        <v>36807</v>
      </c>
      <c r="K765" s="1">
        <v>226</v>
      </c>
      <c r="L765" s="1" t="s">
        <v>32</v>
      </c>
      <c r="M765" s="1" t="s">
        <v>357</v>
      </c>
      <c r="N765" s="8" t="s">
        <v>359</v>
      </c>
    </row>
    <row r="766" spans="1:14" x14ac:dyDescent="0.3">
      <c r="A766" s="6" t="s">
        <v>308</v>
      </c>
      <c r="B766" s="1" t="s">
        <v>35</v>
      </c>
      <c r="C766" s="7">
        <v>45750</v>
      </c>
      <c r="D766" s="1" t="s">
        <v>29</v>
      </c>
      <c r="E766" s="1" t="s">
        <v>54</v>
      </c>
      <c r="F766" s="1">
        <v>3767</v>
      </c>
      <c r="G766" s="1">
        <v>514</v>
      </c>
      <c r="H766" s="1">
        <v>238</v>
      </c>
      <c r="I766" s="1">
        <v>37670</v>
      </c>
      <c r="J766" s="1">
        <v>36807</v>
      </c>
      <c r="K766" s="1">
        <v>226</v>
      </c>
      <c r="L766" s="1" t="s">
        <v>32</v>
      </c>
      <c r="M766" s="1" t="s">
        <v>358</v>
      </c>
      <c r="N766" s="8" t="s">
        <v>359</v>
      </c>
    </row>
    <row r="767" spans="1:14" x14ac:dyDescent="0.3">
      <c r="A767" s="6" t="s">
        <v>309</v>
      </c>
      <c r="B767" s="1" t="s">
        <v>23</v>
      </c>
      <c r="C767" s="7">
        <v>45553</v>
      </c>
      <c r="D767" s="1" t="s">
        <v>36</v>
      </c>
      <c r="E767" s="1" t="s">
        <v>52</v>
      </c>
      <c r="F767" s="1">
        <v>2143</v>
      </c>
      <c r="G767" s="1">
        <v>12</v>
      </c>
      <c r="H767" s="1">
        <v>204</v>
      </c>
      <c r="I767" s="1">
        <v>40717</v>
      </c>
      <c r="J767" s="1">
        <v>40125</v>
      </c>
      <c r="K767" s="1">
        <v>248</v>
      </c>
      <c r="L767" s="1" t="s">
        <v>21</v>
      </c>
      <c r="M767" s="1" t="s">
        <v>11</v>
      </c>
      <c r="N767" s="8" t="s">
        <v>31</v>
      </c>
    </row>
    <row r="768" spans="1:14" x14ac:dyDescent="0.3">
      <c r="A768" s="6" t="s">
        <v>309</v>
      </c>
      <c r="B768" s="1" t="s">
        <v>23</v>
      </c>
      <c r="C768" s="7">
        <v>45553</v>
      </c>
      <c r="D768" s="1" t="s">
        <v>36</v>
      </c>
      <c r="E768" s="1" t="s">
        <v>52</v>
      </c>
      <c r="F768" s="1">
        <v>2143</v>
      </c>
      <c r="G768" s="1">
        <v>12</v>
      </c>
      <c r="H768" s="1">
        <v>204</v>
      </c>
      <c r="I768" s="1">
        <v>40717</v>
      </c>
      <c r="J768" s="1">
        <v>40125</v>
      </c>
      <c r="K768" s="1">
        <v>248</v>
      </c>
      <c r="L768" s="1" t="s">
        <v>21</v>
      </c>
      <c r="M768" s="1" t="s">
        <v>357</v>
      </c>
      <c r="N768" s="8" t="s">
        <v>359</v>
      </c>
    </row>
    <row r="769" spans="1:14" x14ac:dyDescent="0.3">
      <c r="A769" s="6" t="s">
        <v>309</v>
      </c>
      <c r="B769" s="1" t="s">
        <v>23</v>
      </c>
      <c r="C769" s="7">
        <v>45553</v>
      </c>
      <c r="D769" s="1" t="s">
        <v>36</v>
      </c>
      <c r="E769" s="1" t="s">
        <v>52</v>
      </c>
      <c r="F769" s="1">
        <v>2143</v>
      </c>
      <c r="G769" s="1">
        <v>12</v>
      </c>
      <c r="H769" s="1">
        <v>204</v>
      </c>
      <c r="I769" s="1">
        <v>40717</v>
      </c>
      <c r="J769" s="1">
        <v>40125</v>
      </c>
      <c r="K769" s="1">
        <v>248</v>
      </c>
      <c r="L769" s="1" t="s">
        <v>21</v>
      </c>
      <c r="M769" s="1" t="s">
        <v>358</v>
      </c>
      <c r="N769" s="8" t="s">
        <v>359</v>
      </c>
    </row>
    <row r="770" spans="1:14" x14ac:dyDescent="0.3">
      <c r="A770" s="6" t="s">
        <v>310</v>
      </c>
      <c r="B770" s="1" t="s">
        <v>35</v>
      </c>
      <c r="C770" s="7">
        <v>45753</v>
      </c>
      <c r="D770" s="1" t="s">
        <v>41</v>
      </c>
      <c r="E770" s="1" t="s">
        <v>46</v>
      </c>
      <c r="F770" s="1">
        <v>3090</v>
      </c>
      <c r="G770" s="1">
        <v>697</v>
      </c>
      <c r="H770" s="1">
        <v>164</v>
      </c>
      <c r="I770" s="1">
        <v>49440</v>
      </c>
      <c r="J770" s="1">
        <v>48524</v>
      </c>
      <c r="K770" s="1">
        <v>25</v>
      </c>
      <c r="L770" s="1" t="s">
        <v>21</v>
      </c>
      <c r="M770" s="1" t="s">
        <v>11</v>
      </c>
      <c r="N770" s="8" t="s">
        <v>31</v>
      </c>
    </row>
    <row r="771" spans="1:14" x14ac:dyDescent="0.3">
      <c r="A771" s="6" t="s">
        <v>310</v>
      </c>
      <c r="B771" s="1" t="s">
        <v>35</v>
      </c>
      <c r="C771" s="7">
        <v>45753</v>
      </c>
      <c r="D771" s="1" t="s">
        <v>41</v>
      </c>
      <c r="E771" s="1" t="s">
        <v>46</v>
      </c>
      <c r="F771" s="1">
        <v>3090</v>
      </c>
      <c r="G771" s="1">
        <v>697</v>
      </c>
      <c r="H771" s="1">
        <v>164</v>
      </c>
      <c r="I771" s="1">
        <v>49440</v>
      </c>
      <c r="J771" s="1">
        <v>48524</v>
      </c>
      <c r="K771" s="1">
        <v>25</v>
      </c>
      <c r="L771" s="1" t="s">
        <v>21</v>
      </c>
      <c r="M771" s="1" t="s">
        <v>357</v>
      </c>
      <c r="N771" s="8" t="s">
        <v>31</v>
      </c>
    </row>
    <row r="772" spans="1:14" x14ac:dyDescent="0.3">
      <c r="A772" s="6" t="s">
        <v>310</v>
      </c>
      <c r="B772" s="1" t="s">
        <v>35</v>
      </c>
      <c r="C772" s="7">
        <v>45753</v>
      </c>
      <c r="D772" s="1" t="s">
        <v>41</v>
      </c>
      <c r="E772" s="1" t="s">
        <v>46</v>
      </c>
      <c r="F772" s="1">
        <v>3090</v>
      </c>
      <c r="G772" s="1">
        <v>697</v>
      </c>
      <c r="H772" s="1">
        <v>164</v>
      </c>
      <c r="I772" s="1">
        <v>49440</v>
      </c>
      <c r="J772" s="1">
        <v>48524</v>
      </c>
      <c r="K772" s="1">
        <v>25</v>
      </c>
      <c r="L772" s="1" t="s">
        <v>21</v>
      </c>
      <c r="M772" s="1" t="s">
        <v>358</v>
      </c>
      <c r="N772" s="8" t="s">
        <v>355</v>
      </c>
    </row>
    <row r="773" spans="1:14" x14ac:dyDescent="0.3">
      <c r="A773" s="6" t="s">
        <v>311</v>
      </c>
      <c r="B773" s="1" t="s">
        <v>28</v>
      </c>
      <c r="C773" s="7">
        <v>45509</v>
      </c>
      <c r="D773" s="1" t="s">
        <v>29</v>
      </c>
      <c r="E773" s="1" t="s">
        <v>30</v>
      </c>
      <c r="F773" s="1">
        <v>3601</v>
      </c>
      <c r="G773" s="1">
        <v>695</v>
      </c>
      <c r="H773" s="1">
        <v>75</v>
      </c>
      <c r="I773" s="1">
        <v>21606</v>
      </c>
      <c r="J773" s="1">
        <v>21454</v>
      </c>
      <c r="K773" s="1">
        <v>172</v>
      </c>
      <c r="L773" s="1" t="s">
        <v>21</v>
      </c>
      <c r="M773" s="1" t="s">
        <v>11</v>
      </c>
      <c r="N773" s="8" t="s">
        <v>31</v>
      </c>
    </row>
    <row r="774" spans="1:14" x14ac:dyDescent="0.3">
      <c r="A774" s="6" t="s">
        <v>311</v>
      </c>
      <c r="B774" s="1" t="s">
        <v>28</v>
      </c>
      <c r="C774" s="7">
        <v>45509</v>
      </c>
      <c r="D774" s="1" t="s">
        <v>29</v>
      </c>
      <c r="E774" s="1" t="s">
        <v>30</v>
      </c>
      <c r="F774" s="1">
        <v>3601</v>
      </c>
      <c r="G774" s="1">
        <v>695</v>
      </c>
      <c r="H774" s="1">
        <v>75</v>
      </c>
      <c r="I774" s="1">
        <v>21606</v>
      </c>
      <c r="J774" s="1">
        <v>21454</v>
      </c>
      <c r="K774" s="1">
        <v>172</v>
      </c>
      <c r="L774" s="1" t="s">
        <v>21</v>
      </c>
      <c r="M774" s="1" t="s">
        <v>357</v>
      </c>
      <c r="N774" s="8" t="s">
        <v>359</v>
      </c>
    </row>
    <row r="775" spans="1:14" x14ac:dyDescent="0.3">
      <c r="A775" s="6" t="s">
        <v>311</v>
      </c>
      <c r="B775" s="1" t="s">
        <v>28</v>
      </c>
      <c r="C775" s="7">
        <v>45509</v>
      </c>
      <c r="D775" s="1" t="s">
        <v>29</v>
      </c>
      <c r="E775" s="1" t="s">
        <v>30</v>
      </c>
      <c r="F775" s="1">
        <v>3601</v>
      </c>
      <c r="G775" s="1">
        <v>695</v>
      </c>
      <c r="H775" s="1">
        <v>75</v>
      </c>
      <c r="I775" s="1">
        <v>21606</v>
      </c>
      <c r="J775" s="1">
        <v>21454</v>
      </c>
      <c r="K775" s="1">
        <v>172</v>
      </c>
      <c r="L775" s="1" t="s">
        <v>21</v>
      </c>
      <c r="M775" s="1" t="s">
        <v>358</v>
      </c>
      <c r="N775" s="8" t="s">
        <v>359</v>
      </c>
    </row>
    <row r="776" spans="1:14" x14ac:dyDescent="0.3">
      <c r="A776" s="6" t="s">
        <v>312</v>
      </c>
      <c r="B776" s="1" t="s">
        <v>35</v>
      </c>
      <c r="C776" s="7">
        <v>45698</v>
      </c>
      <c r="D776" s="1" t="s">
        <v>19</v>
      </c>
      <c r="E776" s="1" t="s">
        <v>44</v>
      </c>
      <c r="F776" s="1">
        <v>562</v>
      </c>
      <c r="G776" s="1">
        <v>158</v>
      </c>
      <c r="H776" s="1">
        <v>149</v>
      </c>
      <c r="I776" s="1">
        <v>3372</v>
      </c>
      <c r="J776" s="1">
        <v>2940</v>
      </c>
      <c r="K776" s="1">
        <v>93</v>
      </c>
      <c r="L776" s="1" t="s">
        <v>17</v>
      </c>
      <c r="M776" s="1" t="s">
        <v>11</v>
      </c>
      <c r="N776" s="8" t="s">
        <v>25</v>
      </c>
    </row>
    <row r="777" spans="1:14" x14ac:dyDescent="0.3">
      <c r="A777" s="6" t="s">
        <v>312</v>
      </c>
      <c r="B777" s="1" t="s">
        <v>35</v>
      </c>
      <c r="C777" s="7">
        <v>45698</v>
      </c>
      <c r="D777" s="1" t="s">
        <v>19</v>
      </c>
      <c r="E777" s="1" t="s">
        <v>44</v>
      </c>
      <c r="F777" s="1">
        <v>562</v>
      </c>
      <c r="G777" s="1">
        <v>158</v>
      </c>
      <c r="H777" s="1">
        <v>149</v>
      </c>
      <c r="I777" s="1">
        <v>3372</v>
      </c>
      <c r="J777" s="1">
        <v>2940</v>
      </c>
      <c r="K777" s="1">
        <v>93</v>
      </c>
      <c r="L777" s="1" t="s">
        <v>17</v>
      </c>
      <c r="M777" s="1" t="s">
        <v>357</v>
      </c>
      <c r="N777" s="8" t="s">
        <v>359</v>
      </c>
    </row>
    <row r="778" spans="1:14" x14ac:dyDescent="0.3">
      <c r="A778" s="6" t="s">
        <v>312</v>
      </c>
      <c r="B778" s="1" t="s">
        <v>35</v>
      </c>
      <c r="C778" s="7">
        <v>45698</v>
      </c>
      <c r="D778" s="1" t="s">
        <v>19</v>
      </c>
      <c r="E778" s="1" t="s">
        <v>44</v>
      </c>
      <c r="F778" s="1">
        <v>562</v>
      </c>
      <c r="G778" s="1">
        <v>158</v>
      </c>
      <c r="H778" s="1">
        <v>149</v>
      </c>
      <c r="I778" s="1">
        <v>3372</v>
      </c>
      <c r="J778" s="1">
        <v>2940</v>
      </c>
      <c r="K778" s="1">
        <v>93</v>
      </c>
      <c r="L778" s="1" t="s">
        <v>17</v>
      </c>
      <c r="M778" s="1" t="s">
        <v>358</v>
      </c>
      <c r="N778" s="8" t="s">
        <v>359</v>
      </c>
    </row>
    <row r="779" spans="1:14" x14ac:dyDescent="0.3">
      <c r="A779" s="6" t="s">
        <v>313</v>
      </c>
      <c r="B779" s="1" t="s">
        <v>28</v>
      </c>
      <c r="C779" s="7">
        <v>45700</v>
      </c>
      <c r="D779" s="1" t="s">
        <v>29</v>
      </c>
      <c r="E779" s="1" t="s">
        <v>30</v>
      </c>
      <c r="F779" s="1">
        <v>4332</v>
      </c>
      <c r="G779" s="1">
        <v>771</v>
      </c>
      <c r="H779" s="1">
        <v>219</v>
      </c>
      <c r="I779" s="1">
        <v>60648</v>
      </c>
      <c r="J779" s="1">
        <v>60397</v>
      </c>
      <c r="K779" s="1">
        <v>10</v>
      </c>
      <c r="L779" s="1" t="s">
        <v>26</v>
      </c>
      <c r="M779" s="1" t="s">
        <v>11</v>
      </c>
      <c r="N779" s="8" t="s">
        <v>25</v>
      </c>
    </row>
    <row r="780" spans="1:14" x14ac:dyDescent="0.3">
      <c r="A780" s="6" t="s">
        <v>313</v>
      </c>
      <c r="B780" s="1" t="s">
        <v>28</v>
      </c>
      <c r="C780" s="7">
        <v>45700</v>
      </c>
      <c r="D780" s="1" t="s">
        <v>29</v>
      </c>
      <c r="E780" s="1" t="s">
        <v>30</v>
      </c>
      <c r="F780" s="1">
        <v>4332</v>
      </c>
      <c r="G780" s="1">
        <v>771</v>
      </c>
      <c r="H780" s="1">
        <v>219</v>
      </c>
      <c r="I780" s="1">
        <v>60648</v>
      </c>
      <c r="J780" s="1">
        <v>60397</v>
      </c>
      <c r="K780" s="1">
        <v>10</v>
      </c>
      <c r="L780" s="1" t="s">
        <v>26</v>
      </c>
      <c r="M780" s="1" t="s">
        <v>357</v>
      </c>
      <c r="N780" s="8" t="s">
        <v>31</v>
      </c>
    </row>
    <row r="781" spans="1:14" x14ac:dyDescent="0.3">
      <c r="A781" s="6" t="s">
        <v>313</v>
      </c>
      <c r="B781" s="1" t="s">
        <v>28</v>
      </c>
      <c r="C781" s="7">
        <v>45700</v>
      </c>
      <c r="D781" s="1" t="s">
        <v>29</v>
      </c>
      <c r="E781" s="1" t="s">
        <v>30</v>
      </c>
      <c r="F781" s="1">
        <v>4332</v>
      </c>
      <c r="G781" s="1">
        <v>771</v>
      </c>
      <c r="H781" s="1">
        <v>219</v>
      </c>
      <c r="I781" s="1">
        <v>60648</v>
      </c>
      <c r="J781" s="1">
        <v>60397</v>
      </c>
      <c r="K781" s="1">
        <v>10</v>
      </c>
      <c r="L781" s="1" t="s">
        <v>26</v>
      </c>
      <c r="M781" s="1" t="s">
        <v>358</v>
      </c>
      <c r="N781" s="8" t="s">
        <v>355</v>
      </c>
    </row>
    <row r="782" spans="1:14" x14ac:dyDescent="0.3">
      <c r="A782" s="6" t="s">
        <v>314</v>
      </c>
      <c r="B782" s="1" t="s">
        <v>28</v>
      </c>
      <c r="C782" s="7">
        <v>45592</v>
      </c>
      <c r="D782" s="1" t="s">
        <v>41</v>
      </c>
      <c r="E782" s="1" t="s">
        <v>134</v>
      </c>
      <c r="F782" s="1">
        <v>4853</v>
      </c>
      <c r="G782" s="1">
        <v>837</v>
      </c>
      <c r="H782" s="1">
        <v>340</v>
      </c>
      <c r="I782" s="1">
        <v>72795</v>
      </c>
      <c r="J782" s="1">
        <v>72237</v>
      </c>
      <c r="K782" s="1">
        <v>170</v>
      </c>
      <c r="L782" s="1" t="s">
        <v>17</v>
      </c>
      <c r="M782" s="1" t="s">
        <v>11</v>
      </c>
      <c r="N782" s="8" t="s">
        <v>31</v>
      </c>
    </row>
    <row r="783" spans="1:14" x14ac:dyDescent="0.3">
      <c r="A783" s="6" t="s">
        <v>314</v>
      </c>
      <c r="B783" s="1" t="s">
        <v>28</v>
      </c>
      <c r="C783" s="7">
        <v>45592</v>
      </c>
      <c r="D783" s="1" t="s">
        <v>41</v>
      </c>
      <c r="E783" s="1" t="s">
        <v>134</v>
      </c>
      <c r="F783" s="1">
        <v>4853</v>
      </c>
      <c r="G783" s="1">
        <v>837</v>
      </c>
      <c r="H783" s="1">
        <v>340</v>
      </c>
      <c r="I783" s="1">
        <v>72795</v>
      </c>
      <c r="J783" s="1">
        <v>72237</v>
      </c>
      <c r="K783" s="1">
        <v>170</v>
      </c>
      <c r="L783" s="1" t="s">
        <v>17</v>
      </c>
      <c r="M783" s="1" t="s">
        <v>357</v>
      </c>
      <c r="N783" s="8" t="s">
        <v>359</v>
      </c>
    </row>
    <row r="784" spans="1:14" x14ac:dyDescent="0.3">
      <c r="A784" s="6" t="s">
        <v>314</v>
      </c>
      <c r="B784" s="1" t="s">
        <v>28</v>
      </c>
      <c r="C784" s="7">
        <v>45592</v>
      </c>
      <c r="D784" s="1" t="s">
        <v>41</v>
      </c>
      <c r="E784" s="1" t="s">
        <v>134</v>
      </c>
      <c r="F784" s="1">
        <v>4853</v>
      </c>
      <c r="G784" s="1">
        <v>837</v>
      </c>
      <c r="H784" s="1">
        <v>340</v>
      </c>
      <c r="I784" s="1">
        <v>72795</v>
      </c>
      <c r="J784" s="1">
        <v>72237</v>
      </c>
      <c r="K784" s="1">
        <v>170</v>
      </c>
      <c r="L784" s="1" t="s">
        <v>17</v>
      </c>
      <c r="M784" s="1" t="s">
        <v>358</v>
      </c>
      <c r="N784" s="8" t="s">
        <v>359</v>
      </c>
    </row>
    <row r="785" spans="1:14" x14ac:dyDescent="0.3">
      <c r="A785" s="6" t="s">
        <v>315</v>
      </c>
      <c r="B785" s="1" t="s">
        <v>23</v>
      </c>
      <c r="C785" s="7">
        <v>45675</v>
      </c>
      <c r="D785" s="1" t="s">
        <v>41</v>
      </c>
      <c r="E785" s="1" t="s">
        <v>42</v>
      </c>
      <c r="F785" s="1">
        <v>1206</v>
      </c>
      <c r="G785" s="1">
        <v>238</v>
      </c>
      <c r="H785" s="1">
        <v>36</v>
      </c>
      <c r="I785" s="1">
        <v>9648</v>
      </c>
      <c r="J785" s="1">
        <v>9417</v>
      </c>
      <c r="K785" s="1">
        <v>237</v>
      </c>
      <c r="L785" s="1" t="s">
        <v>360</v>
      </c>
      <c r="M785" s="1" t="s">
        <v>11</v>
      </c>
      <c r="N785" s="8" t="s">
        <v>25</v>
      </c>
    </row>
    <row r="786" spans="1:14" x14ac:dyDescent="0.3">
      <c r="A786" s="6" t="s">
        <v>315</v>
      </c>
      <c r="B786" s="1" t="s">
        <v>23</v>
      </c>
      <c r="C786" s="7">
        <v>45675</v>
      </c>
      <c r="D786" s="1" t="s">
        <v>41</v>
      </c>
      <c r="E786" s="1" t="s">
        <v>42</v>
      </c>
      <c r="F786" s="1">
        <v>1206</v>
      </c>
      <c r="G786" s="1">
        <v>238</v>
      </c>
      <c r="H786" s="1">
        <v>36</v>
      </c>
      <c r="I786" s="1">
        <v>9648</v>
      </c>
      <c r="J786" s="1">
        <v>9417</v>
      </c>
      <c r="K786" s="1">
        <v>237</v>
      </c>
      <c r="L786" s="1" t="s">
        <v>360</v>
      </c>
      <c r="M786" s="1" t="s">
        <v>357</v>
      </c>
      <c r="N786" s="8" t="s">
        <v>359</v>
      </c>
    </row>
    <row r="787" spans="1:14" x14ac:dyDescent="0.3">
      <c r="A787" s="6" t="s">
        <v>315</v>
      </c>
      <c r="B787" s="1" t="s">
        <v>23</v>
      </c>
      <c r="C787" s="7">
        <v>45675</v>
      </c>
      <c r="D787" s="1" t="s">
        <v>41</v>
      </c>
      <c r="E787" s="1" t="s">
        <v>42</v>
      </c>
      <c r="F787" s="1">
        <v>1206</v>
      </c>
      <c r="G787" s="1">
        <v>238</v>
      </c>
      <c r="H787" s="1">
        <v>36</v>
      </c>
      <c r="I787" s="1">
        <v>9648</v>
      </c>
      <c r="J787" s="1">
        <v>9417</v>
      </c>
      <c r="K787" s="1">
        <v>237</v>
      </c>
      <c r="L787" s="1" t="s">
        <v>360</v>
      </c>
      <c r="M787" s="1" t="s">
        <v>358</v>
      </c>
      <c r="N787" s="8" t="s">
        <v>359</v>
      </c>
    </row>
    <row r="788" spans="1:14" x14ac:dyDescent="0.3">
      <c r="A788" s="6" t="s">
        <v>316</v>
      </c>
      <c r="B788" s="1" t="s">
        <v>28</v>
      </c>
      <c r="C788" s="7">
        <v>45524</v>
      </c>
      <c r="D788" s="1" t="s">
        <v>15</v>
      </c>
      <c r="E788" s="1" t="s">
        <v>61</v>
      </c>
      <c r="F788" s="1">
        <v>2603</v>
      </c>
      <c r="G788" s="1">
        <v>690</v>
      </c>
      <c r="H788" s="1">
        <v>205</v>
      </c>
      <c r="I788" s="1">
        <v>13015</v>
      </c>
      <c r="J788" s="1">
        <v>12130</v>
      </c>
      <c r="K788" s="1">
        <v>20</v>
      </c>
      <c r="L788" s="1" t="s">
        <v>21</v>
      </c>
      <c r="M788" s="1" t="s">
        <v>11</v>
      </c>
      <c r="N788" s="8" t="s">
        <v>48</v>
      </c>
    </row>
    <row r="789" spans="1:14" x14ac:dyDescent="0.3">
      <c r="A789" s="6" t="s">
        <v>316</v>
      </c>
      <c r="B789" s="1" t="s">
        <v>28</v>
      </c>
      <c r="C789" s="7">
        <v>45524</v>
      </c>
      <c r="D789" s="1" t="s">
        <v>15</v>
      </c>
      <c r="E789" s="1" t="s">
        <v>61</v>
      </c>
      <c r="F789" s="1">
        <v>2603</v>
      </c>
      <c r="G789" s="1">
        <v>690</v>
      </c>
      <c r="H789" s="1">
        <v>205</v>
      </c>
      <c r="I789" s="1">
        <v>13015</v>
      </c>
      <c r="J789" s="1">
        <v>12130</v>
      </c>
      <c r="K789" s="1">
        <v>20</v>
      </c>
      <c r="L789" s="1" t="s">
        <v>21</v>
      </c>
      <c r="M789" s="1" t="s">
        <v>357</v>
      </c>
      <c r="N789" s="8" t="s">
        <v>359</v>
      </c>
    </row>
    <row r="790" spans="1:14" x14ac:dyDescent="0.3">
      <c r="A790" s="6" t="s">
        <v>316</v>
      </c>
      <c r="B790" s="1" t="s">
        <v>28</v>
      </c>
      <c r="C790" s="7">
        <v>45524</v>
      </c>
      <c r="D790" s="1" t="s">
        <v>15</v>
      </c>
      <c r="E790" s="1" t="s">
        <v>61</v>
      </c>
      <c r="F790" s="1">
        <v>2603</v>
      </c>
      <c r="G790" s="1">
        <v>690</v>
      </c>
      <c r="H790" s="1">
        <v>205</v>
      </c>
      <c r="I790" s="1">
        <v>13015</v>
      </c>
      <c r="J790" s="1">
        <v>12130</v>
      </c>
      <c r="K790" s="1">
        <v>20</v>
      </c>
      <c r="L790" s="1" t="s">
        <v>21</v>
      </c>
      <c r="M790" s="1" t="s">
        <v>358</v>
      </c>
      <c r="N790" s="8" t="s">
        <v>359</v>
      </c>
    </row>
    <row r="791" spans="1:14" x14ac:dyDescent="0.3">
      <c r="A791" s="6" t="s">
        <v>317</v>
      </c>
      <c r="B791" s="1" t="s">
        <v>14</v>
      </c>
      <c r="C791" s="7">
        <v>45687</v>
      </c>
      <c r="D791" s="1" t="s">
        <v>41</v>
      </c>
      <c r="E791" s="1" t="s">
        <v>88</v>
      </c>
      <c r="F791" s="1">
        <v>59</v>
      </c>
      <c r="G791" s="1">
        <v>163</v>
      </c>
      <c r="H791" s="1">
        <v>93</v>
      </c>
      <c r="I791" s="1">
        <v>590</v>
      </c>
      <c r="J791" s="1">
        <v>475</v>
      </c>
      <c r="K791" s="1">
        <v>293</v>
      </c>
      <c r="L791" s="1" t="s">
        <v>21</v>
      </c>
      <c r="M791" s="1" t="s">
        <v>11</v>
      </c>
      <c r="N791" s="8" t="s">
        <v>25</v>
      </c>
    </row>
    <row r="792" spans="1:14" x14ac:dyDescent="0.3">
      <c r="A792" s="6" t="s">
        <v>317</v>
      </c>
      <c r="B792" s="1" t="s">
        <v>14</v>
      </c>
      <c r="C792" s="7">
        <v>45687</v>
      </c>
      <c r="D792" s="1" t="s">
        <v>41</v>
      </c>
      <c r="E792" s="1" t="s">
        <v>88</v>
      </c>
      <c r="F792" s="1">
        <v>59</v>
      </c>
      <c r="G792" s="1">
        <v>163</v>
      </c>
      <c r="H792" s="1">
        <v>93</v>
      </c>
      <c r="I792" s="1">
        <v>590</v>
      </c>
      <c r="J792" s="1">
        <v>475</v>
      </c>
      <c r="K792" s="1">
        <v>293</v>
      </c>
      <c r="L792" s="1" t="s">
        <v>21</v>
      </c>
      <c r="M792" s="1" t="s">
        <v>357</v>
      </c>
      <c r="N792" s="8" t="s">
        <v>359</v>
      </c>
    </row>
    <row r="793" spans="1:14" x14ac:dyDescent="0.3">
      <c r="A793" s="6" t="s">
        <v>317</v>
      </c>
      <c r="B793" s="1" t="s">
        <v>14</v>
      </c>
      <c r="C793" s="7">
        <v>45687</v>
      </c>
      <c r="D793" s="1" t="s">
        <v>41</v>
      </c>
      <c r="E793" s="1" t="s">
        <v>88</v>
      </c>
      <c r="F793" s="1">
        <v>59</v>
      </c>
      <c r="G793" s="1">
        <v>163</v>
      </c>
      <c r="H793" s="1">
        <v>93</v>
      </c>
      <c r="I793" s="1">
        <v>590</v>
      </c>
      <c r="J793" s="1">
        <v>475</v>
      </c>
      <c r="K793" s="1">
        <v>293</v>
      </c>
      <c r="L793" s="1" t="s">
        <v>21</v>
      </c>
      <c r="M793" s="1" t="s">
        <v>358</v>
      </c>
      <c r="N793" s="8" t="s">
        <v>359</v>
      </c>
    </row>
    <row r="794" spans="1:14" x14ac:dyDescent="0.3">
      <c r="A794" s="6" t="s">
        <v>318</v>
      </c>
      <c r="B794" s="1" t="s">
        <v>14</v>
      </c>
      <c r="C794" s="7">
        <v>45708</v>
      </c>
      <c r="D794" s="1" t="s">
        <v>36</v>
      </c>
      <c r="E794" s="1" t="s">
        <v>39</v>
      </c>
      <c r="F794" s="1">
        <v>1877</v>
      </c>
      <c r="G794" s="1">
        <v>745</v>
      </c>
      <c r="H794" s="1">
        <v>225</v>
      </c>
      <c r="I794" s="1">
        <v>11262</v>
      </c>
      <c r="J794" s="1">
        <v>10967</v>
      </c>
      <c r="K794" s="1">
        <v>41</v>
      </c>
      <c r="L794" s="1" t="s">
        <v>32</v>
      </c>
      <c r="M794" s="1" t="s">
        <v>11</v>
      </c>
      <c r="N794" s="8" t="s">
        <v>31</v>
      </c>
    </row>
    <row r="795" spans="1:14" x14ac:dyDescent="0.3">
      <c r="A795" s="6" t="s">
        <v>318</v>
      </c>
      <c r="B795" s="1" t="s">
        <v>14</v>
      </c>
      <c r="C795" s="7">
        <v>45708</v>
      </c>
      <c r="D795" s="1" t="s">
        <v>36</v>
      </c>
      <c r="E795" s="1" t="s">
        <v>39</v>
      </c>
      <c r="F795" s="1">
        <v>1877</v>
      </c>
      <c r="G795" s="1">
        <v>745</v>
      </c>
      <c r="H795" s="1">
        <v>225</v>
      </c>
      <c r="I795" s="1">
        <v>11262</v>
      </c>
      <c r="J795" s="1">
        <v>10967</v>
      </c>
      <c r="K795" s="1">
        <v>41</v>
      </c>
      <c r="L795" s="1" t="s">
        <v>32</v>
      </c>
      <c r="M795" s="1" t="s">
        <v>357</v>
      </c>
      <c r="N795" s="8" t="s">
        <v>359</v>
      </c>
    </row>
    <row r="796" spans="1:14" x14ac:dyDescent="0.3">
      <c r="A796" s="6" t="s">
        <v>318</v>
      </c>
      <c r="B796" s="1" t="s">
        <v>14</v>
      </c>
      <c r="C796" s="7">
        <v>45708</v>
      </c>
      <c r="D796" s="1" t="s">
        <v>36</v>
      </c>
      <c r="E796" s="1" t="s">
        <v>39</v>
      </c>
      <c r="F796" s="1">
        <v>1877</v>
      </c>
      <c r="G796" s="1">
        <v>745</v>
      </c>
      <c r="H796" s="1">
        <v>225</v>
      </c>
      <c r="I796" s="1">
        <v>11262</v>
      </c>
      <c r="J796" s="1">
        <v>10967</v>
      </c>
      <c r="K796" s="1">
        <v>41</v>
      </c>
      <c r="L796" s="1" t="s">
        <v>32</v>
      </c>
      <c r="M796" s="1" t="s">
        <v>358</v>
      </c>
      <c r="N796" s="8" t="s">
        <v>359</v>
      </c>
    </row>
    <row r="797" spans="1:14" x14ac:dyDescent="0.3">
      <c r="A797" s="6" t="s">
        <v>319</v>
      </c>
      <c r="B797" s="1" t="s">
        <v>35</v>
      </c>
      <c r="C797" s="7">
        <v>45621</v>
      </c>
      <c r="D797" s="1" t="s">
        <v>29</v>
      </c>
      <c r="E797" s="1" t="s">
        <v>54</v>
      </c>
      <c r="F797" s="1">
        <v>4182</v>
      </c>
      <c r="G797" s="1">
        <v>640</v>
      </c>
      <c r="H797" s="1">
        <v>240</v>
      </c>
      <c r="I797" s="1">
        <v>50184</v>
      </c>
      <c r="J797" s="1">
        <v>49351</v>
      </c>
      <c r="K797" s="1">
        <v>10</v>
      </c>
      <c r="L797" s="1" t="s">
        <v>26</v>
      </c>
      <c r="M797" s="1" t="s">
        <v>11</v>
      </c>
      <c r="N797" s="8" t="s">
        <v>25</v>
      </c>
    </row>
    <row r="798" spans="1:14" x14ac:dyDescent="0.3">
      <c r="A798" s="6" t="s">
        <v>319</v>
      </c>
      <c r="B798" s="1" t="s">
        <v>35</v>
      </c>
      <c r="C798" s="7">
        <v>45621</v>
      </c>
      <c r="D798" s="1" t="s">
        <v>29</v>
      </c>
      <c r="E798" s="1" t="s">
        <v>54</v>
      </c>
      <c r="F798" s="1">
        <v>4182</v>
      </c>
      <c r="G798" s="1">
        <v>640</v>
      </c>
      <c r="H798" s="1">
        <v>240</v>
      </c>
      <c r="I798" s="1">
        <v>50184</v>
      </c>
      <c r="J798" s="1">
        <v>49351</v>
      </c>
      <c r="K798" s="1">
        <v>10</v>
      </c>
      <c r="L798" s="1" t="s">
        <v>26</v>
      </c>
      <c r="M798" s="1" t="s">
        <v>357</v>
      </c>
      <c r="N798" s="8" t="s">
        <v>359</v>
      </c>
    </row>
    <row r="799" spans="1:14" x14ac:dyDescent="0.3">
      <c r="A799" s="6" t="s">
        <v>319</v>
      </c>
      <c r="B799" s="1" t="s">
        <v>35</v>
      </c>
      <c r="C799" s="7">
        <v>45621</v>
      </c>
      <c r="D799" s="1" t="s">
        <v>29</v>
      </c>
      <c r="E799" s="1" t="s">
        <v>54</v>
      </c>
      <c r="F799" s="1">
        <v>4182</v>
      </c>
      <c r="G799" s="1">
        <v>640</v>
      </c>
      <c r="H799" s="1">
        <v>240</v>
      </c>
      <c r="I799" s="1">
        <v>50184</v>
      </c>
      <c r="J799" s="1">
        <v>49351</v>
      </c>
      <c r="K799" s="1">
        <v>10</v>
      </c>
      <c r="L799" s="1" t="s">
        <v>26</v>
      </c>
      <c r="M799" s="1" t="s">
        <v>358</v>
      </c>
      <c r="N799" s="8" t="s">
        <v>359</v>
      </c>
    </row>
    <row r="800" spans="1:14" x14ac:dyDescent="0.3">
      <c r="A800" s="6" t="s">
        <v>320</v>
      </c>
      <c r="B800" s="1" t="s">
        <v>14</v>
      </c>
      <c r="C800" s="7">
        <v>45569</v>
      </c>
      <c r="D800" s="1" t="s">
        <v>15</v>
      </c>
      <c r="E800" s="1" t="s">
        <v>16</v>
      </c>
      <c r="F800" s="1">
        <v>4187</v>
      </c>
      <c r="G800" s="1">
        <v>66</v>
      </c>
      <c r="H800" s="1">
        <v>31</v>
      </c>
      <c r="I800" s="1">
        <v>66992</v>
      </c>
      <c r="J800" s="1">
        <v>66614</v>
      </c>
      <c r="K800" s="1">
        <v>62</v>
      </c>
      <c r="L800" s="1" t="s">
        <v>360</v>
      </c>
      <c r="M800" s="1" t="s">
        <v>11</v>
      </c>
      <c r="N800" s="8" t="s">
        <v>48</v>
      </c>
    </row>
    <row r="801" spans="1:14" x14ac:dyDescent="0.3">
      <c r="A801" s="6" t="s">
        <v>320</v>
      </c>
      <c r="B801" s="1" t="s">
        <v>14</v>
      </c>
      <c r="C801" s="7">
        <v>45569</v>
      </c>
      <c r="D801" s="1" t="s">
        <v>15</v>
      </c>
      <c r="E801" s="1" t="s">
        <v>16</v>
      </c>
      <c r="F801" s="1">
        <v>4187</v>
      </c>
      <c r="G801" s="1">
        <v>66</v>
      </c>
      <c r="H801" s="1">
        <v>31</v>
      </c>
      <c r="I801" s="1">
        <v>66992</v>
      </c>
      <c r="J801" s="1">
        <v>66614</v>
      </c>
      <c r="K801" s="1">
        <v>62</v>
      </c>
      <c r="L801" s="1" t="s">
        <v>360</v>
      </c>
      <c r="M801" s="1" t="s">
        <v>357</v>
      </c>
      <c r="N801" s="8" t="s">
        <v>359</v>
      </c>
    </row>
    <row r="802" spans="1:14" x14ac:dyDescent="0.3">
      <c r="A802" s="6" t="s">
        <v>320</v>
      </c>
      <c r="B802" s="1" t="s">
        <v>14</v>
      </c>
      <c r="C802" s="7">
        <v>45569</v>
      </c>
      <c r="D802" s="1" t="s">
        <v>15</v>
      </c>
      <c r="E802" s="1" t="s">
        <v>16</v>
      </c>
      <c r="F802" s="1">
        <v>4187</v>
      </c>
      <c r="G802" s="1">
        <v>66</v>
      </c>
      <c r="H802" s="1">
        <v>31</v>
      </c>
      <c r="I802" s="1">
        <v>66992</v>
      </c>
      <c r="J802" s="1">
        <v>66614</v>
      </c>
      <c r="K802" s="1">
        <v>62</v>
      </c>
      <c r="L802" s="1" t="s">
        <v>360</v>
      </c>
      <c r="M802" s="1" t="s">
        <v>358</v>
      </c>
      <c r="N802" s="8" t="s">
        <v>359</v>
      </c>
    </row>
    <row r="803" spans="1:14" x14ac:dyDescent="0.3">
      <c r="A803" s="6" t="s">
        <v>321</v>
      </c>
      <c r="B803" s="1" t="s">
        <v>28</v>
      </c>
      <c r="C803" s="7">
        <v>45760</v>
      </c>
      <c r="D803" s="1" t="s">
        <v>15</v>
      </c>
      <c r="E803" s="1" t="s">
        <v>61</v>
      </c>
      <c r="F803" s="1">
        <v>4579</v>
      </c>
      <c r="G803" s="1">
        <v>125</v>
      </c>
      <c r="H803" s="1">
        <v>300</v>
      </c>
      <c r="I803" s="1">
        <v>59527</v>
      </c>
      <c r="J803" s="1">
        <v>59400</v>
      </c>
      <c r="K803" s="1">
        <v>269</v>
      </c>
      <c r="L803" s="1" t="s">
        <v>17</v>
      </c>
      <c r="M803" s="1" t="s">
        <v>11</v>
      </c>
      <c r="N803" s="8" t="s">
        <v>31</v>
      </c>
    </row>
    <row r="804" spans="1:14" x14ac:dyDescent="0.3">
      <c r="A804" s="6" t="s">
        <v>321</v>
      </c>
      <c r="B804" s="1" t="s">
        <v>28</v>
      </c>
      <c r="C804" s="7">
        <v>45760</v>
      </c>
      <c r="D804" s="1" t="s">
        <v>15</v>
      </c>
      <c r="E804" s="1" t="s">
        <v>61</v>
      </c>
      <c r="F804" s="1">
        <v>4579</v>
      </c>
      <c r="G804" s="1">
        <v>125</v>
      </c>
      <c r="H804" s="1">
        <v>300</v>
      </c>
      <c r="I804" s="1">
        <v>59527</v>
      </c>
      <c r="J804" s="1">
        <v>59400</v>
      </c>
      <c r="K804" s="1">
        <v>269</v>
      </c>
      <c r="L804" s="1" t="s">
        <v>17</v>
      </c>
      <c r="M804" s="1" t="s">
        <v>357</v>
      </c>
      <c r="N804" s="8" t="s">
        <v>359</v>
      </c>
    </row>
    <row r="805" spans="1:14" x14ac:dyDescent="0.3">
      <c r="A805" s="6" t="s">
        <v>321</v>
      </c>
      <c r="B805" s="1" t="s">
        <v>28</v>
      </c>
      <c r="C805" s="7">
        <v>45760</v>
      </c>
      <c r="D805" s="1" t="s">
        <v>15</v>
      </c>
      <c r="E805" s="1" t="s">
        <v>61</v>
      </c>
      <c r="F805" s="1">
        <v>4579</v>
      </c>
      <c r="G805" s="1">
        <v>125</v>
      </c>
      <c r="H805" s="1">
        <v>300</v>
      </c>
      <c r="I805" s="1">
        <v>59527</v>
      </c>
      <c r="J805" s="1">
        <v>59400</v>
      </c>
      <c r="K805" s="1">
        <v>269</v>
      </c>
      <c r="L805" s="1" t="s">
        <v>17</v>
      </c>
      <c r="M805" s="1" t="s">
        <v>358</v>
      </c>
      <c r="N805" s="8" t="s">
        <v>359</v>
      </c>
    </row>
    <row r="806" spans="1:14" x14ac:dyDescent="0.3">
      <c r="A806" s="6" t="s">
        <v>322</v>
      </c>
      <c r="B806" s="1" t="s">
        <v>28</v>
      </c>
      <c r="C806" s="7">
        <v>45601</v>
      </c>
      <c r="D806" s="1" t="s">
        <v>56</v>
      </c>
      <c r="E806" s="1" t="s">
        <v>63</v>
      </c>
      <c r="F806" s="1">
        <v>4561</v>
      </c>
      <c r="G806" s="1">
        <v>51</v>
      </c>
      <c r="H806" s="1">
        <v>441</v>
      </c>
      <c r="I806" s="1">
        <v>22805</v>
      </c>
      <c r="J806" s="1">
        <v>21890</v>
      </c>
      <c r="K806" s="1">
        <v>45</v>
      </c>
      <c r="L806" s="1" t="s">
        <v>21</v>
      </c>
      <c r="M806" s="1" t="s">
        <v>11</v>
      </c>
      <c r="N806" s="8" t="s">
        <v>25</v>
      </c>
    </row>
    <row r="807" spans="1:14" x14ac:dyDescent="0.3">
      <c r="A807" s="6" t="s">
        <v>322</v>
      </c>
      <c r="B807" s="1" t="s">
        <v>28</v>
      </c>
      <c r="C807" s="7">
        <v>45601</v>
      </c>
      <c r="D807" s="1" t="s">
        <v>56</v>
      </c>
      <c r="E807" s="1" t="s">
        <v>63</v>
      </c>
      <c r="F807" s="1">
        <v>4561</v>
      </c>
      <c r="G807" s="1">
        <v>51</v>
      </c>
      <c r="H807" s="1">
        <v>441</v>
      </c>
      <c r="I807" s="1">
        <v>22805</v>
      </c>
      <c r="J807" s="1">
        <v>21890</v>
      </c>
      <c r="K807" s="1">
        <v>45</v>
      </c>
      <c r="L807" s="1" t="s">
        <v>21</v>
      </c>
      <c r="M807" s="1" t="s">
        <v>357</v>
      </c>
      <c r="N807" s="8" t="s">
        <v>359</v>
      </c>
    </row>
    <row r="808" spans="1:14" x14ac:dyDescent="0.3">
      <c r="A808" s="6" t="s">
        <v>322</v>
      </c>
      <c r="B808" s="1" t="s">
        <v>28</v>
      </c>
      <c r="C808" s="7">
        <v>45601</v>
      </c>
      <c r="D808" s="1" t="s">
        <v>56</v>
      </c>
      <c r="E808" s="1" t="s">
        <v>63</v>
      </c>
      <c r="F808" s="1">
        <v>4561</v>
      </c>
      <c r="G808" s="1">
        <v>51</v>
      </c>
      <c r="H808" s="1">
        <v>441</v>
      </c>
      <c r="I808" s="1">
        <v>22805</v>
      </c>
      <c r="J808" s="1">
        <v>21890</v>
      </c>
      <c r="K808" s="1">
        <v>45</v>
      </c>
      <c r="L808" s="1" t="s">
        <v>21</v>
      </c>
      <c r="M808" s="1" t="s">
        <v>358</v>
      </c>
      <c r="N808" s="8" t="s">
        <v>359</v>
      </c>
    </row>
    <row r="809" spans="1:14" x14ac:dyDescent="0.3">
      <c r="A809" s="6" t="s">
        <v>323</v>
      </c>
      <c r="B809" s="1" t="s">
        <v>23</v>
      </c>
      <c r="C809" s="7">
        <v>45672</v>
      </c>
      <c r="D809" s="1" t="s">
        <v>15</v>
      </c>
      <c r="E809" s="1" t="s">
        <v>24</v>
      </c>
      <c r="F809" s="1">
        <v>3774</v>
      </c>
      <c r="G809" s="1">
        <v>239</v>
      </c>
      <c r="H809" s="1">
        <v>39</v>
      </c>
      <c r="I809" s="1">
        <v>60384</v>
      </c>
      <c r="J809" s="1">
        <v>59490</v>
      </c>
      <c r="K809" s="1">
        <v>241</v>
      </c>
      <c r="L809" s="1" t="s">
        <v>26</v>
      </c>
      <c r="M809" s="1" t="s">
        <v>11</v>
      </c>
      <c r="N809" s="8" t="s">
        <v>25</v>
      </c>
    </row>
    <row r="810" spans="1:14" x14ac:dyDescent="0.3">
      <c r="A810" s="6" t="s">
        <v>323</v>
      </c>
      <c r="B810" s="1" t="s">
        <v>23</v>
      </c>
      <c r="C810" s="7">
        <v>45672</v>
      </c>
      <c r="D810" s="1" t="s">
        <v>15</v>
      </c>
      <c r="E810" s="1" t="s">
        <v>24</v>
      </c>
      <c r="F810" s="1">
        <v>3774</v>
      </c>
      <c r="G810" s="1">
        <v>239</v>
      </c>
      <c r="H810" s="1">
        <v>39</v>
      </c>
      <c r="I810" s="1">
        <v>60384</v>
      </c>
      <c r="J810" s="1">
        <v>59490</v>
      </c>
      <c r="K810" s="1">
        <v>241</v>
      </c>
      <c r="L810" s="1" t="s">
        <v>26</v>
      </c>
      <c r="M810" s="1" t="s">
        <v>357</v>
      </c>
      <c r="N810" s="8" t="s">
        <v>359</v>
      </c>
    </row>
    <row r="811" spans="1:14" x14ac:dyDescent="0.3">
      <c r="A811" s="6" t="s">
        <v>323</v>
      </c>
      <c r="B811" s="1" t="s">
        <v>23</v>
      </c>
      <c r="C811" s="7">
        <v>45672</v>
      </c>
      <c r="D811" s="1" t="s">
        <v>15</v>
      </c>
      <c r="E811" s="1" t="s">
        <v>24</v>
      </c>
      <c r="F811" s="1">
        <v>3774</v>
      </c>
      <c r="G811" s="1">
        <v>239</v>
      </c>
      <c r="H811" s="1">
        <v>39</v>
      </c>
      <c r="I811" s="1">
        <v>60384</v>
      </c>
      <c r="J811" s="1">
        <v>59490</v>
      </c>
      <c r="K811" s="1">
        <v>241</v>
      </c>
      <c r="L811" s="1" t="s">
        <v>26</v>
      </c>
      <c r="M811" s="1" t="s">
        <v>358</v>
      </c>
      <c r="N811" s="8" t="s">
        <v>359</v>
      </c>
    </row>
    <row r="812" spans="1:14" x14ac:dyDescent="0.3">
      <c r="A812" s="6" t="s">
        <v>324</v>
      </c>
      <c r="B812" s="1" t="s">
        <v>28</v>
      </c>
      <c r="C812" s="7">
        <v>45582</v>
      </c>
      <c r="D812" s="1" t="s">
        <v>56</v>
      </c>
      <c r="E812" s="1" t="s">
        <v>63</v>
      </c>
      <c r="F812" s="1">
        <v>3575</v>
      </c>
      <c r="G812" s="1">
        <v>749</v>
      </c>
      <c r="H812" s="1">
        <v>111</v>
      </c>
      <c r="I812" s="1">
        <v>21450</v>
      </c>
      <c r="J812" s="1">
        <v>20785</v>
      </c>
      <c r="K812" s="1">
        <v>195</v>
      </c>
      <c r="L812" s="1" t="s">
        <v>21</v>
      </c>
      <c r="M812" s="1" t="s">
        <v>11</v>
      </c>
      <c r="N812" s="8" t="s">
        <v>31</v>
      </c>
    </row>
    <row r="813" spans="1:14" x14ac:dyDescent="0.3">
      <c r="A813" s="6" t="s">
        <v>324</v>
      </c>
      <c r="B813" s="1" t="s">
        <v>28</v>
      </c>
      <c r="C813" s="7">
        <v>45582</v>
      </c>
      <c r="D813" s="1" t="s">
        <v>56</v>
      </c>
      <c r="E813" s="1" t="s">
        <v>63</v>
      </c>
      <c r="F813" s="1">
        <v>3575</v>
      </c>
      <c r="G813" s="1">
        <v>749</v>
      </c>
      <c r="H813" s="1">
        <v>111</v>
      </c>
      <c r="I813" s="1">
        <v>21450</v>
      </c>
      <c r="J813" s="1">
        <v>20785</v>
      </c>
      <c r="K813" s="1">
        <v>195</v>
      </c>
      <c r="L813" s="1" t="s">
        <v>21</v>
      </c>
      <c r="M813" s="1" t="s">
        <v>357</v>
      </c>
      <c r="N813" s="8" t="s">
        <v>359</v>
      </c>
    </row>
    <row r="814" spans="1:14" x14ac:dyDescent="0.3">
      <c r="A814" s="6" t="s">
        <v>324</v>
      </c>
      <c r="B814" s="1" t="s">
        <v>28</v>
      </c>
      <c r="C814" s="7">
        <v>45582</v>
      </c>
      <c r="D814" s="1" t="s">
        <v>56</v>
      </c>
      <c r="E814" s="1" t="s">
        <v>63</v>
      </c>
      <c r="F814" s="1">
        <v>3575</v>
      </c>
      <c r="G814" s="1">
        <v>749</v>
      </c>
      <c r="H814" s="1">
        <v>111</v>
      </c>
      <c r="I814" s="1">
        <v>21450</v>
      </c>
      <c r="J814" s="1">
        <v>20785</v>
      </c>
      <c r="K814" s="1">
        <v>195</v>
      </c>
      <c r="L814" s="1" t="s">
        <v>21</v>
      </c>
      <c r="M814" s="1" t="s">
        <v>358</v>
      </c>
      <c r="N814" s="8" t="s">
        <v>359</v>
      </c>
    </row>
    <row r="815" spans="1:14" x14ac:dyDescent="0.3">
      <c r="A815" s="6" t="s">
        <v>325</v>
      </c>
      <c r="B815" s="1" t="s">
        <v>28</v>
      </c>
      <c r="C815" s="7">
        <v>45743</v>
      </c>
      <c r="D815" s="1" t="s">
        <v>19</v>
      </c>
      <c r="E815" s="1" t="s">
        <v>78</v>
      </c>
      <c r="F815" s="1">
        <v>4941</v>
      </c>
      <c r="G815" s="1">
        <v>414</v>
      </c>
      <c r="H815" s="1">
        <v>266</v>
      </c>
      <c r="I815" s="1">
        <v>39528</v>
      </c>
      <c r="J815" s="1">
        <v>39154</v>
      </c>
      <c r="K815" s="1">
        <v>217</v>
      </c>
      <c r="L815" s="1" t="s">
        <v>26</v>
      </c>
      <c r="M815" s="1" t="s">
        <v>11</v>
      </c>
      <c r="N815" s="8" t="s">
        <v>25</v>
      </c>
    </row>
    <row r="816" spans="1:14" x14ac:dyDescent="0.3">
      <c r="A816" s="6" t="s">
        <v>325</v>
      </c>
      <c r="B816" s="1" t="s">
        <v>28</v>
      </c>
      <c r="C816" s="7">
        <v>45743</v>
      </c>
      <c r="D816" s="1" t="s">
        <v>19</v>
      </c>
      <c r="E816" s="1" t="s">
        <v>78</v>
      </c>
      <c r="F816" s="1">
        <v>4941</v>
      </c>
      <c r="G816" s="1">
        <v>414</v>
      </c>
      <c r="H816" s="1">
        <v>266</v>
      </c>
      <c r="I816" s="1">
        <v>39528</v>
      </c>
      <c r="J816" s="1">
        <v>39154</v>
      </c>
      <c r="K816" s="1">
        <v>217</v>
      </c>
      <c r="L816" s="1" t="s">
        <v>26</v>
      </c>
      <c r="M816" s="1" t="s">
        <v>357</v>
      </c>
      <c r="N816" s="8" t="s">
        <v>359</v>
      </c>
    </row>
    <row r="817" spans="1:14" x14ac:dyDescent="0.3">
      <c r="A817" s="6" t="s">
        <v>325</v>
      </c>
      <c r="B817" s="1" t="s">
        <v>28</v>
      </c>
      <c r="C817" s="7">
        <v>45743</v>
      </c>
      <c r="D817" s="1" t="s">
        <v>19</v>
      </c>
      <c r="E817" s="1" t="s">
        <v>78</v>
      </c>
      <c r="F817" s="1">
        <v>4941</v>
      </c>
      <c r="G817" s="1">
        <v>414</v>
      </c>
      <c r="H817" s="1">
        <v>266</v>
      </c>
      <c r="I817" s="1">
        <v>39528</v>
      </c>
      <c r="J817" s="1">
        <v>39154</v>
      </c>
      <c r="K817" s="1">
        <v>217</v>
      </c>
      <c r="L817" s="1" t="s">
        <v>26</v>
      </c>
      <c r="M817" s="1" t="s">
        <v>358</v>
      </c>
      <c r="N817" s="8" t="s">
        <v>359</v>
      </c>
    </row>
    <row r="818" spans="1:14" x14ac:dyDescent="0.3">
      <c r="A818" s="6" t="s">
        <v>326</v>
      </c>
      <c r="B818" s="1" t="s">
        <v>23</v>
      </c>
      <c r="C818" s="7">
        <v>45577</v>
      </c>
      <c r="D818" s="1" t="s">
        <v>29</v>
      </c>
      <c r="E818" s="1" t="s">
        <v>101</v>
      </c>
      <c r="F818" s="1">
        <v>3641</v>
      </c>
      <c r="G818" s="1">
        <v>226</v>
      </c>
      <c r="H818" s="1">
        <v>46</v>
      </c>
      <c r="I818" s="1">
        <v>40051</v>
      </c>
      <c r="J818" s="1">
        <v>39319</v>
      </c>
      <c r="K818" s="1">
        <v>296</v>
      </c>
      <c r="L818" s="1" t="s">
        <v>32</v>
      </c>
      <c r="M818" s="1" t="s">
        <v>11</v>
      </c>
      <c r="N818" s="8" t="s">
        <v>31</v>
      </c>
    </row>
    <row r="819" spans="1:14" x14ac:dyDescent="0.3">
      <c r="A819" s="6" t="s">
        <v>326</v>
      </c>
      <c r="B819" s="1" t="s">
        <v>23</v>
      </c>
      <c r="C819" s="7">
        <v>45577</v>
      </c>
      <c r="D819" s="1" t="s">
        <v>29</v>
      </c>
      <c r="E819" s="1" t="s">
        <v>101</v>
      </c>
      <c r="F819" s="1">
        <v>3641</v>
      </c>
      <c r="G819" s="1">
        <v>226</v>
      </c>
      <c r="H819" s="1">
        <v>46</v>
      </c>
      <c r="I819" s="1">
        <v>40051</v>
      </c>
      <c r="J819" s="1">
        <v>39319</v>
      </c>
      <c r="K819" s="1">
        <v>296</v>
      </c>
      <c r="L819" s="1" t="s">
        <v>32</v>
      </c>
      <c r="M819" s="1" t="s">
        <v>357</v>
      </c>
      <c r="N819" s="8" t="s">
        <v>359</v>
      </c>
    </row>
    <row r="820" spans="1:14" x14ac:dyDescent="0.3">
      <c r="A820" s="6" t="s">
        <v>326</v>
      </c>
      <c r="B820" s="1" t="s">
        <v>23</v>
      </c>
      <c r="C820" s="7">
        <v>45577</v>
      </c>
      <c r="D820" s="1" t="s">
        <v>29</v>
      </c>
      <c r="E820" s="1" t="s">
        <v>101</v>
      </c>
      <c r="F820" s="1">
        <v>3641</v>
      </c>
      <c r="G820" s="1">
        <v>226</v>
      </c>
      <c r="H820" s="1">
        <v>46</v>
      </c>
      <c r="I820" s="1">
        <v>40051</v>
      </c>
      <c r="J820" s="1">
        <v>39319</v>
      </c>
      <c r="K820" s="1">
        <v>296</v>
      </c>
      <c r="L820" s="1" t="s">
        <v>32</v>
      </c>
      <c r="M820" s="1" t="s">
        <v>358</v>
      </c>
      <c r="N820" s="8" t="s">
        <v>359</v>
      </c>
    </row>
    <row r="821" spans="1:14" x14ac:dyDescent="0.3">
      <c r="A821" s="6" t="s">
        <v>327</v>
      </c>
      <c r="B821" s="1" t="s">
        <v>14</v>
      </c>
      <c r="C821" s="7">
        <v>45658</v>
      </c>
      <c r="D821" s="1" t="s">
        <v>36</v>
      </c>
      <c r="E821" s="1" t="s">
        <v>39</v>
      </c>
      <c r="F821" s="1">
        <v>3535</v>
      </c>
      <c r="G821" s="1">
        <v>494</v>
      </c>
      <c r="H821" s="1">
        <v>152</v>
      </c>
      <c r="I821" s="1">
        <v>53025</v>
      </c>
      <c r="J821" s="1">
        <v>52791</v>
      </c>
      <c r="K821" s="1">
        <v>44</v>
      </c>
      <c r="L821" s="1" t="s">
        <v>32</v>
      </c>
      <c r="M821" s="1" t="s">
        <v>11</v>
      </c>
      <c r="N821" s="8" t="s">
        <v>25</v>
      </c>
    </row>
    <row r="822" spans="1:14" x14ac:dyDescent="0.3">
      <c r="A822" s="6" t="s">
        <v>327</v>
      </c>
      <c r="B822" s="1" t="s">
        <v>14</v>
      </c>
      <c r="C822" s="7">
        <v>45658</v>
      </c>
      <c r="D822" s="1" t="s">
        <v>36</v>
      </c>
      <c r="E822" s="1" t="s">
        <v>39</v>
      </c>
      <c r="F822" s="1">
        <v>3535</v>
      </c>
      <c r="G822" s="1">
        <v>494</v>
      </c>
      <c r="H822" s="1">
        <v>152</v>
      </c>
      <c r="I822" s="1">
        <v>53025</v>
      </c>
      <c r="J822" s="1">
        <v>52791</v>
      </c>
      <c r="K822" s="1">
        <v>44</v>
      </c>
      <c r="L822" s="1" t="s">
        <v>32</v>
      </c>
      <c r="M822" s="1" t="s">
        <v>357</v>
      </c>
      <c r="N822" s="8" t="s">
        <v>359</v>
      </c>
    </row>
    <row r="823" spans="1:14" x14ac:dyDescent="0.3">
      <c r="A823" s="6" t="s">
        <v>327</v>
      </c>
      <c r="B823" s="1" t="s">
        <v>14</v>
      </c>
      <c r="C823" s="7">
        <v>45658</v>
      </c>
      <c r="D823" s="1" t="s">
        <v>36</v>
      </c>
      <c r="E823" s="1" t="s">
        <v>39</v>
      </c>
      <c r="F823" s="1">
        <v>3535</v>
      </c>
      <c r="G823" s="1">
        <v>494</v>
      </c>
      <c r="H823" s="1">
        <v>152</v>
      </c>
      <c r="I823" s="1">
        <v>53025</v>
      </c>
      <c r="J823" s="1">
        <v>52791</v>
      </c>
      <c r="K823" s="1">
        <v>44</v>
      </c>
      <c r="L823" s="1" t="s">
        <v>32</v>
      </c>
      <c r="M823" s="1" t="s">
        <v>358</v>
      </c>
      <c r="N823" s="8" t="s">
        <v>359</v>
      </c>
    </row>
    <row r="824" spans="1:14" x14ac:dyDescent="0.3">
      <c r="A824" s="6" t="s">
        <v>328</v>
      </c>
      <c r="B824" s="1" t="s">
        <v>35</v>
      </c>
      <c r="C824" s="7">
        <v>45509</v>
      </c>
      <c r="D824" s="1" t="s">
        <v>15</v>
      </c>
      <c r="E824" s="1" t="s">
        <v>50</v>
      </c>
      <c r="F824" s="1">
        <v>1741</v>
      </c>
      <c r="G824" s="1">
        <v>831</v>
      </c>
      <c r="H824" s="1">
        <v>345</v>
      </c>
      <c r="I824" s="1">
        <v>17410</v>
      </c>
      <c r="J824" s="1">
        <v>16844</v>
      </c>
      <c r="K824" s="1">
        <v>58</v>
      </c>
      <c r="L824" s="1" t="s">
        <v>26</v>
      </c>
      <c r="M824" s="1" t="s">
        <v>11</v>
      </c>
      <c r="N824" s="8" t="s">
        <v>31</v>
      </c>
    </row>
    <row r="825" spans="1:14" x14ac:dyDescent="0.3">
      <c r="A825" s="6" t="s">
        <v>328</v>
      </c>
      <c r="B825" s="1" t="s">
        <v>35</v>
      </c>
      <c r="C825" s="7">
        <v>45509</v>
      </c>
      <c r="D825" s="1" t="s">
        <v>15</v>
      </c>
      <c r="E825" s="1" t="s">
        <v>50</v>
      </c>
      <c r="F825" s="1">
        <v>1741</v>
      </c>
      <c r="G825" s="1">
        <v>831</v>
      </c>
      <c r="H825" s="1">
        <v>345</v>
      </c>
      <c r="I825" s="1">
        <v>17410</v>
      </c>
      <c r="J825" s="1">
        <v>16844</v>
      </c>
      <c r="K825" s="1">
        <v>58</v>
      </c>
      <c r="L825" s="1" t="s">
        <v>26</v>
      </c>
      <c r="M825" s="1" t="s">
        <v>357</v>
      </c>
      <c r="N825" s="8" t="s">
        <v>359</v>
      </c>
    </row>
    <row r="826" spans="1:14" x14ac:dyDescent="0.3">
      <c r="A826" s="6" t="s">
        <v>328</v>
      </c>
      <c r="B826" s="1" t="s">
        <v>35</v>
      </c>
      <c r="C826" s="7">
        <v>45509</v>
      </c>
      <c r="D826" s="1" t="s">
        <v>15</v>
      </c>
      <c r="E826" s="1" t="s">
        <v>50</v>
      </c>
      <c r="F826" s="1">
        <v>1741</v>
      </c>
      <c r="G826" s="1">
        <v>831</v>
      </c>
      <c r="H826" s="1">
        <v>345</v>
      </c>
      <c r="I826" s="1">
        <v>17410</v>
      </c>
      <c r="J826" s="1">
        <v>16844</v>
      </c>
      <c r="K826" s="1">
        <v>58</v>
      </c>
      <c r="L826" s="1" t="s">
        <v>26</v>
      </c>
      <c r="M826" s="1" t="s">
        <v>358</v>
      </c>
      <c r="N826" s="8" t="s">
        <v>359</v>
      </c>
    </row>
    <row r="827" spans="1:14" x14ac:dyDescent="0.3">
      <c r="A827" s="6" t="s">
        <v>329</v>
      </c>
      <c r="B827" s="1" t="s">
        <v>14</v>
      </c>
      <c r="C827" s="7">
        <v>45450</v>
      </c>
      <c r="D827" s="1" t="s">
        <v>36</v>
      </c>
      <c r="E827" s="1" t="s">
        <v>39</v>
      </c>
      <c r="F827" s="1">
        <v>1556</v>
      </c>
      <c r="G827" s="1">
        <v>195</v>
      </c>
      <c r="H827" s="1">
        <v>131</v>
      </c>
      <c r="I827" s="1">
        <v>9336</v>
      </c>
      <c r="J827" s="1">
        <v>8875</v>
      </c>
      <c r="K827" s="1">
        <v>137</v>
      </c>
      <c r="L827" s="1" t="s">
        <v>21</v>
      </c>
      <c r="M827" s="1" t="s">
        <v>11</v>
      </c>
      <c r="N827" s="8" t="s">
        <v>25</v>
      </c>
    </row>
    <row r="828" spans="1:14" x14ac:dyDescent="0.3">
      <c r="A828" s="6" t="s">
        <v>329</v>
      </c>
      <c r="B828" s="1" t="s">
        <v>14</v>
      </c>
      <c r="C828" s="7">
        <v>45450</v>
      </c>
      <c r="D828" s="1" t="s">
        <v>36</v>
      </c>
      <c r="E828" s="1" t="s">
        <v>39</v>
      </c>
      <c r="F828" s="1">
        <v>1556</v>
      </c>
      <c r="G828" s="1">
        <v>195</v>
      </c>
      <c r="H828" s="1">
        <v>131</v>
      </c>
      <c r="I828" s="1">
        <v>9336</v>
      </c>
      <c r="J828" s="1">
        <v>8875</v>
      </c>
      <c r="K828" s="1">
        <v>137</v>
      </c>
      <c r="L828" s="1" t="s">
        <v>21</v>
      </c>
      <c r="M828" s="1" t="s">
        <v>357</v>
      </c>
      <c r="N828" s="8" t="s">
        <v>359</v>
      </c>
    </row>
    <row r="829" spans="1:14" x14ac:dyDescent="0.3">
      <c r="A829" s="6" t="s">
        <v>329</v>
      </c>
      <c r="B829" s="1" t="s">
        <v>14</v>
      </c>
      <c r="C829" s="7">
        <v>45450</v>
      </c>
      <c r="D829" s="1" t="s">
        <v>36</v>
      </c>
      <c r="E829" s="1" t="s">
        <v>39</v>
      </c>
      <c r="F829" s="1">
        <v>1556</v>
      </c>
      <c r="G829" s="1">
        <v>195</v>
      </c>
      <c r="H829" s="1">
        <v>131</v>
      </c>
      <c r="I829" s="1">
        <v>9336</v>
      </c>
      <c r="J829" s="1">
        <v>8875</v>
      </c>
      <c r="K829" s="1">
        <v>137</v>
      </c>
      <c r="L829" s="1" t="s">
        <v>21</v>
      </c>
      <c r="M829" s="1" t="s">
        <v>358</v>
      </c>
      <c r="N829" s="8" t="s">
        <v>359</v>
      </c>
    </row>
    <row r="830" spans="1:14" x14ac:dyDescent="0.3">
      <c r="A830" s="6" t="s">
        <v>330</v>
      </c>
      <c r="B830" s="1" t="s">
        <v>35</v>
      </c>
      <c r="C830" s="7">
        <v>45753</v>
      </c>
      <c r="D830" s="1" t="s">
        <v>41</v>
      </c>
      <c r="E830" s="1" t="s">
        <v>46</v>
      </c>
      <c r="F830" s="1">
        <v>4236</v>
      </c>
      <c r="G830" s="1">
        <v>711</v>
      </c>
      <c r="H830" s="1">
        <v>298</v>
      </c>
      <c r="I830" s="1">
        <v>21180</v>
      </c>
      <c r="J830" s="1">
        <v>20516</v>
      </c>
      <c r="K830" s="1">
        <v>238</v>
      </c>
      <c r="L830" s="1" t="s">
        <v>17</v>
      </c>
      <c r="M830" s="1" t="s">
        <v>11</v>
      </c>
      <c r="N830" s="8" t="s">
        <v>48</v>
      </c>
    </row>
    <row r="831" spans="1:14" x14ac:dyDescent="0.3">
      <c r="A831" s="6" t="s">
        <v>330</v>
      </c>
      <c r="B831" s="1" t="s">
        <v>35</v>
      </c>
      <c r="C831" s="7">
        <v>45753</v>
      </c>
      <c r="D831" s="1" t="s">
        <v>41</v>
      </c>
      <c r="E831" s="1" t="s">
        <v>46</v>
      </c>
      <c r="F831" s="1">
        <v>4236</v>
      </c>
      <c r="G831" s="1">
        <v>711</v>
      </c>
      <c r="H831" s="1">
        <v>298</v>
      </c>
      <c r="I831" s="1">
        <v>21180</v>
      </c>
      <c r="J831" s="1">
        <v>20516</v>
      </c>
      <c r="K831" s="1">
        <v>238</v>
      </c>
      <c r="L831" s="1" t="s">
        <v>17</v>
      </c>
      <c r="M831" s="1" t="s">
        <v>357</v>
      </c>
      <c r="N831" s="8" t="s">
        <v>359</v>
      </c>
    </row>
    <row r="832" spans="1:14" x14ac:dyDescent="0.3">
      <c r="A832" s="6" t="s">
        <v>330</v>
      </c>
      <c r="B832" s="1" t="s">
        <v>35</v>
      </c>
      <c r="C832" s="7">
        <v>45753</v>
      </c>
      <c r="D832" s="1" t="s">
        <v>41</v>
      </c>
      <c r="E832" s="1" t="s">
        <v>46</v>
      </c>
      <c r="F832" s="1">
        <v>4236</v>
      </c>
      <c r="G832" s="1">
        <v>711</v>
      </c>
      <c r="H832" s="1">
        <v>298</v>
      </c>
      <c r="I832" s="1">
        <v>21180</v>
      </c>
      <c r="J832" s="1">
        <v>20516</v>
      </c>
      <c r="K832" s="1">
        <v>238</v>
      </c>
      <c r="L832" s="1" t="s">
        <v>17</v>
      </c>
      <c r="M832" s="1" t="s">
        <v>358</v>
      </c>
      <c r="N832" s="8" t="s">
        <v>359</v>
      </c>
    </row>
    <row r="833" spans="1:14" x14ac:dyDescent="0.3">
      <c r="A833" s="6" t="s">
        <v>331</v>
      </c>
      <c r="B833" s="1" t="s">
        <v>14</v>
      </c>
      <c r="C833" s="7">
        <v>45622</v>
      </c>
      <c r="D833" s="1" t="s">
        <v>19</v>
      </c>
      <c r="E833" s="1" t="s">
        <v>20</v>
      </c>
      <c r="F833" s="1">
        <v>4516</v>
      </c>
      <c r="G833" s="1">
        <v>836</v>
      </c>
      <c r="H833" s="1">
        <v>169</v>
      </c>
      <c r="I833" s="1">
        <v>49676</v>
      </c>
      <c r="J833" s="1">
        <v>49257</v>
      </c>
      <c r="K833" s="1">
        <v>282</v>
      </c>
      <c r="L833" s="1" t="s">
        <v>32</v>
      </c>
      <c r="M833" s="1" t="s">
        <v>11</v>
      </c>
      <c r="N833" s="8" t="s">
        <v>31</v>
      </c>
    </row>
    <row r="834" spans="1:14" x14ac:dyDescent="0.3">
      <c r="A834" s="6" t="s">
        <v>331</v>
      </c>
      <c r="B834" s="1" t="s">
        <v>14</v>
      </c>
      <c r="C834" s="7">
        <v>45622</v>
      </c>
      <c r="D834" s="1" t="s">
        <v>19</v>
      </c>
      <c r="E834" s="1" t="s">
        <v>20</v>
      </c>
      <c r="F834" s="1">
        <v>4516</v>
      </c>
      <c r="G834" s="1">
        <v>836</v>
      </c>
      <c r="H834" s="1">
        <v>169</v>
      </c>
      <c r="I834" s="1">
        <v>49676</v>
      </c>
      <c r="J834" s="1">
        <v>49257</v>
      </c>
      <c r="K834" s="1">
        <v>282</v>
      </c>
      <c r="L834" s="1" t="s">
        <v>32</v>
      </c>
      <c r="M834" s="1" t="s">
        <v>357</v>
      </c>
      <c r="N834" s="8" t="s">
        <v>359</v>
      </c>
    </row>
    <row r="835" spans="1:14" x14ac:dyDescent="0.3">
      <c r="A835" s="6" t="s">
        <v>331</v>
      </c>
      <c r="B835" s="1" t="s">
        <v>14</v>
      </c>
      <c r="C835" s="7">
        <v>45622</v>
      </c>
      <c r="D835" s="1" t="s">
        <v>19</v>
      </c>
      <c r="E835" s="1" t="s">
        <v>20</v>
      </c>
      <c r="F835" s="1">
        <v>4516</v>
      </c>
      <c r="G835" s="1">
        <v>836</v>
      </c>
      <c r="H835" s="1">
        <v>169</v>
      </c>
      <c r="I835" s="1">
        <v>49676</v>
      </c>
      <c r="J835" s="1">
        <v>49257</v>
      </c>
      <c r="K835" s="1">
        <v>282</v>
      </c>
      <c r="L835" s="1" t="s">
        <v>32</v>
      </c>
      <c r="M835" s="1" t="s">
        <v>358</v>
      </c>
      <c r="N835" s="8" t="s">
        <v>359</v>
      </c>
    </row>
    <row r="836" spans="1:14" x14ac:dyDescent="0.3">
      <c r="A836" s="6" t="s">
        <v>332</v>
      </c>
      <c r="B836" s="1" t="s">
        <v>23</v>
      </c>
      <c r="C836" s="7">
        <v>45537</v>
      </c>
      <c r="D836" s="1" t="s">
        <v>41</v>
      </c>
      <c r="E836" s="1" t="s">
        <v>42</v>
      </c>
      <c r="F836" s="1">
        <v>4905</v>
      </c>
      <c r="G836" s="1">
        <v>845</v>
      </c>
      <c r="H836" s="1">
        <v>129</v>
      </c>
      <c r="I836" s="1">
        <v>98100</v>
      </c>
      <c r="J836" s="1">
        <v>97772</v>
      </c>
      <c r="K836" s="1">
        <v>279</v>
      </c>
      <c r="L836" s="1" t="s">
        <v>21</v>
      </c>
      <c r="M836" s="1" t="s">
        <v>11</v>
      </c>
      <c r="N836" s="8" t="s">
        <v>25</v>
      </c>
    </row>
    <row r="837" spans="1:14" x14ac:dyDescent="0.3">
      <c r="A837" s="6" t="s">
        <v>332</v>
      </c>
      <c r="B837" s="1" t="s">
        <v>23</v>
      </c>
      <c r="C837" s="7">
        <v>45537</v>
      </c>
      <c r="D837" s="1" t="s">
        <v>41</v>
      </c>
      <c r="E837" s="1" t="s">
        <v>42</v>
      </c>
      <c r="F837" s="1">
        <v>4905</v>
      </c>
      <c r="G837" s="1">
        <v>845</v>
      </c>
      <c r="H837" s="1">
        <v>129</v>
      </c>
      <c r="I837" s="1">
        <v>98100</v>
      </c>
      <c r="J837" s="1">
        <v>97772</v>
      </c>
      <c r="K837" s="1">
        <v>279</v>
      </c>
      <c r="L837" s="1" t="s">
        <v>21</v>
      </c>
      <c r="M837" s="1" t="s">
        <v>357</v>
      </c>
      <c r="N837" s="8" t="s">
        <v>359</v>
      </c>
    </row>
    <row r="838" spans="1:14" x14ac:dyDescent="0.3">
      <c r="A838" s="6" t="s">
        <v>332</v>
      </c>
      <c r="B838" s="1" t="s">
        <v>23</v>
      </c>
      <c r="C838" s="7">
        <v>45537</v>
      </c>
      <c r="D838" s="1" t="s">
        <v>41</v>
      </c>
      <c r="E838" s="1" t="s">
        <v>42</v>
      </c>
      <c r="F838" s="1">
        <v>4905</v>
      </c>
      <c r="G838" s="1">
        <v>845</v>
      </c>
      <c r="H838" s="1">
        <v>129</v>
      </c>
      <c r="I838" s="1">
        <v>98100</v>
      </c>
      <c r="J838" s="1">
        <v>97772</v>
      </c>
      <c r="K838" s="1">
        <v>279</v>
      </c>
      <c r="L838" s="1" t="s">
        <v>21</v>
      </c>
      <c r="M838" s="1" t="s">
        <v>358</v>
      </c>
      <c r="N838" s="8" t="s">
        <v>359</v>
      </c>
    </row>
    <row r="839" spans="1:14" x14ac:dyDescent="0.3">
      <c r="A839" s="6" t="s">
        <v>333</v>
      </c>
      <c r="B839" s="1" t="s">
        <v>23</v>
      </c>
      <c r="C839" s="7">
        <v>45586</v>
      </c>
      <c r="D839" s="1" t="s">
        <v>56</v>
      </c>
      <c r="E839" s="1" t="s">
        <v>136</v>
      </c>
      <c r="F839" s="1">
        <v>4275</v>
      </c>
      <c r="G839" s="1">
        <v>680</v>
      </c>
      <c r="H839" s="1">
        <v>385</v>
      </c>
      <c r="I839" s="1">
        <v>64125</v>
      </c>
      <c r="J839" s="1">
        <v>63650</v>
      </c>
      <c r="K839" s="1">
        <v>104</v>
      </c>
      <c r="L839" s="1" t="s">
        <v>32</v>
      </c>
      <c r="M839" s="1" t="s">
        <v>11</v>
      </c>
      <c r="N839" s="8" t="s">
        <v>31</v>
      </c>
    </row>
    <row r="840" spans="1:14" x14ac:dyDescent="0.3">
      <c r="A840" s="6" t="s">
        <v>333</v>
      </c>
      <c r="B840" s="1" t="s">
        <v>23</v>
      </c>
      <c r="C840" s="7">
        <v>45586</v>
      </c>
      <c r="D840" s="1" t="s">
        <v>56</v>
      </c>
      <c r="E840" s="1" t="s">
        <v>136</v>
      </c>
      <c r="F840" s="1">
        <v>4275</v>
      </c>
      <c r="G840" s="1">
        <v>680</v>
      </c>
      <c r="H840" s="1">
        <v>385</v>
      </c>
      <c r="I840" s="1">
        <v>64125</v>
      </c>
      <c r="J840" s="1">
        <v>63650</v>
      </c>
      <c r="K840" s="1">
        <v>104</v>
      </c>
      <c r="L840" s="1" t="s">
        <v>32</v>
      </c>
      <c r="M840" s="1" t="s">
        <v>357</v>
      </c>
      <c r="N840" s="8" t="s">
        <v>25</v>
      </c>
    </row>
    <row r="841" spans="1:14" x14ac:dyDescent="0.3">
      <c r="A841" s="6" t="s">
        <v>333</v>
      </c>
      <c r="B841" s="1" t="s">
        <v>23</v>
      </c>
      <c r="C841" s="7">
        <v>45586</v>
      </c>
      <c r="D841" s="1" t="s">
        <v>56</v>
      </c>
      <c r="E841" s="1" t="s">
        <v>136</v>
      </c>
      <c r="F841" s="1">
        <v>4275</v>
      </c>
      <c r="G841" s="1">
        <v>680</v>
      </c>
      <c r="H841" s="1">
        <v>385</v>
      </c>
      <c r="I841" s="1">
        <v>64125</v>
      </c>
      <c r="J841" s="1">
        <v>63650</v>
      </c>
      <c r="K841" s="1">
        <v>104</v>
      </c>
      <c r="L841" s="1" t="s">
        <v>32</v>
      </c>
      <c r="M841" s="1" t="s">
        <v>358</v>
      </c>
      <c r="N841" s="8" t="s">
        <v>354</v>
      </c>
    </row>
    <row r="842" spans="1:14" x14ac:dyDescent="0.3">
      <c r="A842" s="6" t="s">
        <v>334</v>
      </c>
      <c r="B842" s="1" t="s">
        <v>23</v>
      </c>
      <c r="C842" s="7">
        <v>45738</v>
      </c>
      <c r="D842" s="1" t="s">
        <v>41</v>
      </c>
      <c r="E842" s="1" t="s">
        <v>42</v>
      </c>
      <c r="F842" s="1">
        <v>3166</v>
      </c>
      <c r="G842" s="1">
        <v>90</v>
      </c>
      <c r="H842" s="1">
        <v>341</v>
      </c>
      <c r="I842" s="1">
        <v>56988</v>
      </c>
      <c r="J842" s="1">
        <v>56125</v>
      </c>
      <c r="K842" s="1">
        <v>135</v>
      </c>
      <c r="L842" s="1" t="s">
        <v>21</v>
      </c>
      <c r="M842" s="1" t="s">
        <v>11</v>
      </c>
      <c r="N842" s="8" t="s">
        <v>31</v>
      </c>
    </row>
    <row r="843" spans="1:14" x14ac:dyDescent="0.3">
      <c r="A843" s="6" t="s">
        <v>334</v>
      </c>
      <c r="B843" s="1" t="s">
        <v>23</v>
      </c>
      <c r="C843" s="7">
        <v>45738</v>
      </c>
      <c r="D843" s="1" t="s">
        <v>41</v>
      </c>
      <c r="E843" s="1" t="s">
        <v>42</v>
      </c>
      <c r="F843" s="1">
        <v>3166</v>
      </c>
      <c r="G843" s="1">
        <v>90</v>
      </c>
      <c r="H843" s="1">
        <v>341</v>
      </c>
      <c r="I843" s="1">
        <v>56988</v>
      </c>
      <c r="J843" s="1">
        <v>56125</v>
      </c>
      <c r="K843" s="1">
        <v>135</v>
      </c>
      <c r="L843" s="1" t="s">
        <v>21</v>
      </c>
      <c r="M843" s="1" t="s">
        <v>357</v>
      </c>
      <c r="N843" s="8" t="s">
        <v>359</v>
      </c>
    </row>
    <row r="844" spans="1:14" x14ac:dyDescent="0.3">
      <c r="A844" s="6" t="s">
        <v>334</v>
      </c>
      <c r="B844" s="1" t="s">
        <v>23</v>
      </c>
      <c r="C844" s="7">
        <v>45738</v>
      </c>
      <c r="D844" s="1" t="s">
        <v>41</v>
      </c>
      <c r="E844" s="1" t="s">
        <v>42</v>
      </c>
      <c r="F844" s="1">
        <v>3166</v>
      </c>
      <c r="G844" s="1">
        <v>90</v>
      </c>
      <c r="H844" s="1">
        <v>341</v>
      </c>
      <c r="I844" s="1">
        <v>56988</v>
      </c>
      <c r="J844" s="1">
        <v>56125</v>
      </c>
      <c r="K844" s="1">
        <v>135</v>
      </c>
      <c r="L844" s="1" t="s">
        <v>21</v>
      </c>
      <c r="M844" s="1" t="s">
        <v>358</v>
      </c>
      <c r="N844" s="8" t="s">
        <v>359</v>
      </c>
    </row>
    <row r="845" spans="1:14" x14ac:dyDescent="0.3">
      <c r="A845" s="6" t="s">
        <v>335</v>
      </c>
      <c r="B845" s="1" t="s">
        <v>28</v>
      </c>
      <c r="C845" s="7">
        <v>45568</v>
      </c>
      <c r="D845" s="1" t="s">
        <v>56</v>
      </c>
      <c r="E845" s="1" t="s">
        <v>63</v>
      </c>
      <c r="F845" s="1">
        <v>1488</v>
      </c>
      <c r="G845" s="1">
        <v>417</v>
      </c>
      <c r="H845" s="1">
        <v>168</v>
      </c>
      <c r="I845" s="1">
        <v>19344</v>
      </c>
      <c r="J845" s="1">
        <v>18395</v>
      </c>
      <c r="K845" s="1">
        <v>30</v>
      </c>
      <c r="L845" s="1" t="s">
        <v>26</v>
      </c>
      <c r="M845" s="1" t="s">
        <v>11</v>
      </c>
      <c r="N845" s="8" t="s">
        <v>48</v>
      </c>
    </row>
    <row r="846" spans="1:14" x14ac:dyDescent="0.3">
      <c r="A846" s="6" t="s">
        <v>335</v>
      </c>
      <c r="B846" s="1" t="s">
        <v>28</v>
      </c>
      <c r="C846" s="7">
        <v>45568</v>
      </c>
      <c r="D846" s="1" t="s">
        <v>56</v>
      </c>
      <c r="E846" s="1" t="s">
        <v>63</v>
      </c>
      <c r="F846" s="1">
        <v>1488</v>
      </c>
      <c r="G846" s="1">
        <v>417</v>
      </c>
      <c r="H846" s="1">
        <v>168</v>
      </c>
      <c r="I846" s="1">
        <v>19344</v>
      </c>
      <c r="J846" s="1">
        <v>18395</v>
      </c>
      <c r="K846" s="1">
        <v>30</v>
      </c>
      <c r="L846" s="1" t="s">
        <v>26</v>
      </c>
      <c r="M846" s="1" t="s">
        <v>357</v>
      </c>
      <c r="N846" s="8" t="s">
        <v>359</v>
      </c>
    </row>
    <row r="847" spans="1:14" x14ac:dyDescent="0.3">
      <c r="A847" s="6" t="s">
        <v>335</v>
      </c>
      <c r="B847" s="1" t="s">
        <v>28</v>
      </c>
      <c r="C847" s="7">
        <v>45568</v>
      </c>
      <c r="D847" s="1" t="s">
        <v>56</v>
      </c>
      <c r="E847" s="1" t="s">
        <v>63</v>
      </c>
      <c r="F847" s="1">
        <v>1488</v>
      </c>
      <c r="G847" s="1">
        <v>417</v>
      </c>
      <c r="H847" s="1">
        <v>168</v>
      </c>
      <c r="I847" s="1">
        <v>19344</v>
      </c>
      <c r="J847" s="1">
        <v>18395</v>
      </c>
      <c r="K847" s="1">
        <v>30</v>
      </c>
      <c r="L847" s="1" t="s">
        <v>26</v>
      </c>
      <c r="M847" s="1" t="s">
        <v>358</v>
      </c>
      <c r="N847" s="8" t="s">
        <v>359</v>
      </c>
    </row>
    <row r="848" spans="1:14" x14ac:dyDescent="0.3">
      <c r="A848" s="6" t="s">
        <v>336</v>
      </c>
      <c r="B848" s="1" t="s">
        <v>14</v>
      </c>
      <c r="C848" s="7">
        <v>45786</v>
      </c>
      <c r="D848" s="1" t="s">
        <v>15</v>
      </c>
      <c r="E848" s="1" t="s">
        <v>16</v>
      </c>
      <c r="F848" s="1">
        <v>3367</v>
      </c>
      <c r="G848" s="1">
        <v>302</v>
      </c>
      <c r="H848" s="1">
        <v>57</v>
      </c>
      <c r="I848" s="1">
        <v>63973</v>
      </c>
      <c r="J848" s="1">
        <v>63789</v>
      </c>
      <c r="K848" s="1">
        <v>157</v>
      </c>
      <c r="L848" s="1" t="s">
        <v>21</v>
      </c>
      <c r="M848" s="1" t="s">
        <v>11</v>
      </c>
      <c r="N848" s="8" t="s">
        <v>48</v>
      </c>
    </row>
    <row r="849" spans="1:14" x14ac:dyDescent="0.3">
      <c r="A849" s="6" t="s">
        <v>336</v>
      </c>
      <c r="B849" s="1" t="s">
        <v>14</v>
      </c>
      <c r="C849" s="7">
        <v>45786</v>
      </c>
      <c r="D849" s="1" t="s">
        <v>15</v>
      </c>
      <c r="E849" s="1" t="s">
        <v>16</v>
      </c>
      <c r="F849" s="1">
        <v>3367</v>
      </c>
      <c r="G849" s="1">
        <v>302</v>
      </c>
      <c r="H849" s="1">
        <v>57</v>
      </c>
      <c r="I849" s="1">
        <v>63973</v>
      </c>
      <c r="J849" s="1">
        <v>63789</v>
      </c>
      <c r="K849" s="1">
        <v>157</v>
      </c>
      <c r="L849" s="1" t="s">
        <v>21</v>
      </c>
      <c r="M849" s="1" t="s">
        <v>357</v>
      </c>
      <c r="N849" s="8" t="s">
        <v>359</v>
      </c>
    </row>
    <row r="850" spans="1:14" x14ac:dyDescent="0.3">
      <c r="A850" s="6" t="s">
        <v>336</v>
      </c>
      <c r="B850" s="1" t="s">
        <v>14</v>
      </c>
      <c r="C850" s="7">
        <v>45786</v>
      </c>
      <c r="D850" s="1" t="s">
        <v>15</v>
      </c>
      <c r="E850" s="1" t="s">
        <v>16</v>
      </c>
      <c r="F850" s="1">
        <v>3367</v>
      </c>
      <c r="G850" s="1">
        <v>302</v>
      </c>
      <c r="H850" s="1">
        <v>57</v>
      </c>
      <c r="I850" s="1">
        <v>63973</v>
      </c>
      <c r="J850" s="1">
        <v>63789</v>
      </c>
      <c r="K850" s="1">
        <v>157</v>
      </c>
      <c r="L850" s="1" t="s">
        <v>21</v>
      </c>
      <c r="M850" s="1" t="s">
        <v>358</v>
      </c>
      <c r="N850" s="8" t="s">
        <v>359</v>
      </c>
    </row>
    <row r="851" spans="1:14" x14ac:dyDescent="0.3">
      <c r="A851" s="6" t="s">
        <v>337</v>
      </c>
      <c r="B851" s="1" t="s">
        <v>14</v>
      </c>
      <c r="C851" s="7">
        <v>45552</v>
      </c>
      <c r="D851" s="1" t="s">
        <v>19</v>
      </c>
      <c r="E851" s="1" t="s">
        <v>20</v>
      </c>
      <c r="F851" s="1">
        <v>571</v>
      </c>
      <c r="G851" s="1">
        <v>190</v>
      </c>
      <c r="H851" s="1">
        <v>352</v>
      </c>
      <c r="I851" s="1">
        <v>9707</v>
      </c>
      <c r="J851" s="1">
        <v>9418</v>
      </c>
      <c r="K851" s="1">
        <v>231</v>
      </c>
      <c r="L851" s="1" t="s">
        <v>32</v>
      </c>
      <c r="M851" s="1" t="s">
        <v>11</v>
      </c>
      <c r="N851" s="8" t="s">
        <v>25</v>
      </c>
    </row>
    <row r="852" spans="1:14" x14ac:dyDescent="0.3">
      <c r="A852" s="6" t="s">
        <v>337</v>
      </c>
      <c r="B852" s="1" t="s">
        <v>14</v>
      </c>
      <c r="C852" s="7">
        <v>45552</v>
      </c>
      <c r="D852" s="1" t="s">
        <v>19</v>
      </c>
      <c r="E852" s="1" t="s">
        <v>20</v>
      </c>
      <c r="F852" s="1">
        <v>571</v>
      </c>
      <c r="G852" s="1">
        <v>190</v>
      </c>
      <c r="H852" s="1">
        <v>352</v>
      </c>
      <c r="I852" s="1">
        <v>9707</v>
      </c>
      <c r="J852" s="1">
        <v>9418</v>
      </c>
      <c r="K852" s="1">
        <v>231</v>
      </c>
      <c r="L852" s="1" t="s">
        <v>32</v>
      </c>
      <c r="M852" s="1" t="s">
        <v>357</v>
      </c>
      <c r="N852" s="8" t="s">
        <v>359</v>
      </c>
    </row>
    <row r="853" spans="1:14" x14ac:dyDescent="0.3">
      <c r="A853" s="6" t="s">
        <v>337</v>
      </c>
      <c r="B853" s="1" t="s">
        <v>14</v>
      </c>
      <c r="C853" s="7">
        <v>45552</v>
      </c>
      <c r="D853" s="1" t="s">
        <v>19</v>
      </c>
      <c r="E853" s="1" t="s">
        <v>20</v>
      </c>
      <c r="F853" s="1">
        <v>571</v>
      </c>
      <c r="G853" s="1">
        <v>190</v>
      </c>
      <c r="H853" s="1">
        <v>352</v>
      </c>
      <c r="I853" s="1">
        <v>9707</v>
      </c>
      <c r="J853" s="1">
        <v>9418</v>
      </c>
      <c r="K853" s="1">
        <v>231</v>
      </c>
      <c r="L853" s="1" t="s">
        <v>32</v>
      </c>
      <c r="M853" s="1" t="s">
        <v>358</v>
      </c>
      <c r="N853" s="8" t="s">
        <v>359</v>
      </c>
    </row>
    <row r="854" spans="1:14" x14ac:dyDescent="0.3">
      <c r="A854" s="6" t="s">
        <v>338</v>
      </c>
      <c r="B854" s="1" t="s">
        <v>23</v>
      </c>
      <c r="C854" s="7">
        <v>45491</v>
      </c>
      <c r="D854" s="1" t="s">
        <v>19</v>
      </c>
      <c r="E854" s="1" t="s">
        <v>73</v>
      </c>
      <c r="F854" s="1">
        <v>4021</v>
      </c>
      <c r="G854" s="1">
        <v>794</v>
      </c>
      <c r="H854" s="1">
        <v>77</v>
      </c>
      <c r="I854" s="1">
        <v>36189</v>
      </c>
      <c r="J854" s="1">
        <v>35505</v>
      </c>
      <c r="K854" s="1">
        <v>174</v>
      </c>
      <c r="L854" s="1" t="s">
        <v>360</v>
      </c>
      <c r="M854" s="1" t="s">
        <v>11</v>
      </c>
      <c r="N854" s="8" t="s">
        <v>31</v>
      </c>
    </row>
    <row r="855" spans="1:14" x14ac:dyDescent="0.3">
      <c r="A855" s="6" t="s">
        <v>338</v>
      </c>
      <c r="B855" s="1" t="s">
        <v>23</v>
      </c>
      <c r="C855" s="7">
        <v>45491</v>
      </c>
      <c r="D855" s="1" t="s">
        <v>19</v>
      </c>
      <c r="E855" s="1" t="s">
        <v>73</v>
      </c>
      <c r="F855" s="1">
        <v>4021</v>
      </c>
      <c r="G855" s="1">
        <v>794</v>
      </c>
      <c r="H855" s="1">
        <v>77</v>
      </c>
      <c r="I855" s="1">
        <v>36189</v>
      </c>
      <c r="J855" s="1">
        <v>35505</v>
      </c>
      <c r="K855" s="1">
        <v>174</v>
      </c>
      <c r="L855" s="1" t="s">
        <v>360</v>
      </c>
      <c r="M855" s="1" t="s">
        <v>357</v>
      </c>
      <c r="N855" s="8" t="s">
        <v>359</v>
      </c>
    </row>
    <row r="856" spans="1:14" x14ac:dyDescent="0.3">
      <c r="A856" s="6" t="s">
        <v>338</v>
      </c>
      <c r="B856" s="1" t="s">
        <v>23</v>
      </c>
      <c r="C856" s="7">
        <v>45491</v>
      </c>
      <c r="D856" s="1" t="s">
        <v>19</v>
      </c>
      <c r="E856" s="1" t="s">
        <v>73</v>
      </c>
      <c r="F856" s="1">
        <v>4021</v>
      </c>
      <c r="G856" s="1">
        <v>794</v>
      </c>
      <c r="H856" s="1">
        <v>77</v>
      </c>
      <c r="I856" s="1">
        <v>36189</v>
      </c>
      <c r="J856" s="1">
        <v>35505</v>
      </c>
      <c r="K856" s="1">
        <v>174</v>
      </c>
      <c r="L856" s="1" t="s">
        <v>360</v>
      </c>
      <c r="M856" s="1" t="s">
        <v>358</v>
      </c>
      <c r="N856" s="8" t="s">
        <v>359</v>
      </c>
    </row>
    <row r="857" spans="1:14" x14ac:dyDescent="0.3">
      <c r="A857" s="6" t="s">
        <v>339</v>
      </c>
      <c r="B857" s="1" t="s">
        <v>23</v>
      </c>
      <c r="C857" s="7">
        <v>45560</v>
      </c>
      <c r="D857" s="1" t="s">
        <v>56</v>
      </c>
      <c r="E857" s="1" t="s">
        <v>136</v>
      </c>
      <c r="F857" s="1">
        <v>3389</v>
      </c>
      <c r="G857" s="1">
        <v>344</v>
      </c>
      <c r="H857" s="1">
        <v>229</v>
      </c>
      <c r="I857" s="1">
        <v>20334</v>
      </c>
      <c r="J857" s="1">
        <v>19443</v>
      </c>
      <c r="K857" s="1">
        <v>228</v>
      </c>
      <c r="L857" s="1" t="s">
        <v>26</v>
      </c>
      <c r="M857" s="1" t="s">
        <v>11</v>
      </c>
      <c r="N857" s="8" t="s">
        <v>48</v>
      </c>
    </row>
    <row r="858" spans="1:14" x14ac:dyDescent="0.3">
      <c r="A858" s="6" t="s">
        <v>339</v>
      </c>
      <c r="B858" s="1" t="s">
        <v>23</v>
      </c>
      <c r="C858" s="7">
        <v>45560</v>
      </c>
      <c r="D858" s="1" t="s">
        <v>56</v>
      </c>
      <c r="E858" s="1" t="s">
        <v>136</v>
      </c>
      <c r="F858" s="1">
        <v>3389</v>
      </c>
      <c r="G858" s="1">
        <v>344</v>
      </c>
      <c r="H858" s="1">
        <v>229</v>
      </c>
      <c r="I858" s="1">
        <v>20334</v>
      </c>
      <c r="J858" s="1">
        <v>19443</v>
      </c>
      <c r="K858" s="1">
        <v>228</v>
      </c>
      <c r="L858" s="1" t="s">
        <v>26</v>
      </c>
      <c r="M858" s="1" t="s">
        <v>357</v>
      </c>
      <c r="N858" s="8" t="s">
        <v>359</v>
      </c>
    </row>
    <row r="859" spans="1:14" x14ac:dyDescent="0.3">
      <c r="A859" s="6" t="s">
        <v>339</v>
      </c>
      <c r="B859" s="1" t="s">
        <v>23</v>
      </c>
      <c r="C859" s="7">
        <v>45560</v>
      </c>
      <c r="D859" s="1" t="s">
        <v>56</v>
      </c>
      <c r="E859" s="1" t="s">
        <v>136</v>
      </c>
      <c r="F859" s="1">
        <v>3389</v>
      </c>
      <c r="G859" s="1">
        <v>344</v>
      </c>
      <c r="H859" s="1">
        <v>229</v>
      </c>
      <c r="I859" s="1">
        <v>20334</v>
      </c>
      <c r="J859" s="1">
        <v>19443</v>
      </c>
      <c r="K859" s="1">
        <v>228</v>
      </c>
      <c r="L859" s="1" t="s">
        <v>26</v>
      </c>
      <c r="M859" s="1" t="s">
        <v>358</v>
      </c>
      <c r="N859" s="8" t="s">
        <v>359</v>
      </c>
    </row>
    <row r="860" spans="1:14" x14ac:dyDescent="0.3">
      <c r="A860" s="6" t="s">
        <v>340</v>
      </c>
      <c r="B860" s="1" t="s">
        <v>28</v>
      </c>
      <c r="C860" s="7">
        <v>45519</v>
      </c>
      <c r="D860" s="1" t="s">
        <v>15</v>
      </c>
      <c r="E860" s="1" t="s">
        <v>61</v>
      </c>
      <c r="F860" s="1">
        <v>1164</v>
      </c>
      <c r="G860" s="1">
        <v>616</v>
      </c>
      <c r="H860" s="1">
        <v>324</v>
      </c>
      <c r="I860" s="1">
        <v>6984</v>
      </c>
      <c r="J860" s="1">
        <v>6636</v>
      </c>
      <c r="K860" s="1">
        <v>82</v>
      </c>
      <c r="L860" s="1" t="s">
        <v>17</v>
      </c>
      <c r="M860" s="1" t="s">
        <v>11</v>
      </c>
      <c r="N860" s="8" t="s">
        <v>31</v>
      </c>
    </row>
    <row r="861" spans="1:14" x14ac:dyDescent="0.3">
      <c r="A861" s="6" t="s">
        <v>340</v>
      </c>
      <c r="B861" s="1" t="s">
        <v>28</v>
      </c>
      <c r="C861" s="7">
        <v>45519</v>
      </c>
      <c r="D861" s="1" t="s">
        <v>15</v>
      </c>
      <c r="E861" s="1" t="s">
        <v>61</v>
      </c>
      <c r="F861" s="1">
        <v>1164</v>
      </c>
      <c r="G861" s="1">
        <v>616</v>
      </c>
      <c r="H861" s="1">
        <v>324</v>
      </c>
      <c r="I861" s="1">
        <v>6984</v>
      </c>
      <c r="J861" s="1">
        <v>6636</v>
      </c>
      <c r="K861" s="1">
        <v>82</v>
      </c>
      <c r="L861" s="1" t="s">
        <v>17</v>
      </c>
      <c r="M861" s="1" t="s">
        <v>357</v>
      </c>
      <c r="N861" s="8" t="s">
        <v>359</v>
      </c>
    </row>
    <row r="862" spans="1:14" x14ac:dyDescent="0.3">
      <c r="A862" s="6" t="s">
        <v>340</v>
      </c>
      <c r="B862" s="1" t="s">
        <v>28</v>
      </c>
      <c r="C862" s="7">
        <v>45519</v>
      </c>
      <c r="D862" s="1" t="s">
        <v>15</v>
      </c>
      <c r="E862" s="1" t="s">
        <v>61</v>
      </c>
      <c r="F862" s="1">
        <v>1164</v>
      </c>
      <c r="G862" s="1">
        <v>616</v>
      </c>
      <c r="H862" s="1">
        <v>324</v>
      </c>
      <c r="I862" s="1">
        <v>6984</v>
      </c>
      <c r="J862" s="1">
        <v>6636</v>
      </c>
      <c r="K862" s="1">
        <v>82</v>
      </c>
      <c r="L862" s="1" t="s">
        <v>17</v>
      </c>
      <c r="M862" s="1" t="s">
        <v>358</v>
      </c>
      <c r="N862" s="8" t="s">
        <v>359</v>
      </c>
    </row>
    <row r="863" spans="1:14" x14ac:dyDescent="0.3">
      <c r="A863" s="6" t="s">
        <v>341</v>
      </c>
      <c r="B863" s="1" t="s">
        <v>23</v>
      </c>
      <c r="C863" s="7">
        <v>45764</v>
      </c>
      <c r="D863" s="1" t="s">
        <v>36</v>
      </c>
      <c r="E863" s="1" t="s">
        <v>52</v>
      </c>
      <c r="F863" s="1">
        <v>4780</v>
      </c>
      <c r="G863" s="1">
        <v>691</v>
      </c>
      <c r="H863" s="1">
        <v>380</v>
      </c>
      <c r="I863" s="1">
        <v>86040</v>
      </c>
      <c r="J863" s="1">
        <v>85743</v>
      </c>
      <c r="K863" s="1">
        <v>262</v>
      </c>
      <c r="L863" s="1" t="s">
        <v>26</v>
      </c>
      <c r="M863" s="1" t="s">
        <v>11</v>
      </c>
      <c r="N863" s="8" t="s">
        <v>48</v>
      </c>
    </row>
    <row r="864" spans="1:14" x14ac:dyDescent="0.3">
      <c r="A864" s="6" t="s">
        <v>341</v>
      </c>
      <c r="B864" s="1" t="s">
        <v>23</v>
      </c>
      <c r="C864" s="7">
        <v>45764</v>
      </c>
      <c r="D864" s="1" t="s">
        <v>36</v>
      </c>
      <c r="E864" s="1" t="s">
        <v>52</v>
      </c>
      <c r="F864" s="1">
        <v>4780</v>
      </c>
      <c r="G864" s="1">
        <v>691</v>
      </c>
      <c r="H864" s="1">
        <v>380</v>
      </c>
      <c r="I864" s="1">
        <v>86040</v>
      </c>
      <c r="J864" s="1">
        <v>85743</v>
      </c>
      <c r="K864" s="1">
        <v>262</v>
      </c>
      <c r="L864" s="1" t="s">
        <v>26</v>
      </c>
      <c r="M864" s="1" t="s">
        <v>357</v>
      </c>
      <c r="N864" s="8" t="s">
        <v>359</v>
      </c>
    </row>
    <row r="865" spans="1:14" x14ac:dyDescent="0.3">
      <c r="A865" s="6" t="s">
        <v>341</v>
      </c>
      <c r="B865" s="1" t="s">
        <v>23</v>
      </c>
      <c r="C865" s="7">
        <v>45764</v>
      </c>
      <c r="D865" s="1" t="s">
        <v>36</v>
      </c>
      <c r="E865" s="1" t="s">
        <v>52</v>
      </c>
      <c r="F865" s="1">
        <v>4780</v>
      </c>
      <c r="G865" s="1">
        <v>691</v>
      </c>
      <c r="H865" s="1">
        <v>380</v>
      </c>
      <c r="I865" s="1">
        <v>86040</v>
      </c>
      <c r="J865" s="1">
        <v>85743</v>
      </c>
      <c r="K865" s="1">
        <v>262</v>
      </c>
      <c r="L865" s="1" t="s">
        <v>26</v>
      </c>
      <c r="M865" s="1" t="s">
        <v>358</v>
      </c>
      <c r="N865" s="8" t="s">
        <v>359</v>
      </c>
    </row>
    <row r="866" spans="1:14" x14ac:dyDescent="0.3">
      <c r="A866" s="6" t="s">
        <v>342</v>
      </c>
      <c r="B866" s="1" t="s">
        <v>35</v>
      </c>
      <c r="C866" s="7">
        <v>45624</v>
      </c>
      <c r="D866" s="1" t="s">
        <v>36</v>
      </c>
      <c r="E866" s="1" t="s">
        <v>37</v>
      </c>
      <c r="F866" s="1">
        <v>2751</v>
      </c>
      <c r="G866" s="1">
        <v>33</v>
      </c>
      <c r="H866" s="1">
        <v>430</v>
      </c>
      <c r="I866" s="1">
        <v>44016</v>
      </c>
      <c r="J866" s="1">
        <v>43415</v>
      </c>
      <c r="K866" s="1">
        <v>129</v>
      </c>
      <c r="L866" s="1" t="s">
        <v>360</v>
      </c>
      <c r="M866" s="1" t="s">
        <v>11</v>
      </c>
      <c r="N866" s="8" t="s">
        <v>48</v>
      </c>
    </row>
    <row r="867" spans="1:14" x14ac:dyDescent="0.3">
      <c r="A867" s="6" t="s">
        <v>342</v>
      </c>
      <c r="B867" s="1" t="s">
        <v>35</v>
      </c>
      <c r="C867" s="7">
        <v>45624</v>
      </c>
      <c r="D867" s="1" t="s">
        <v>36</v>
      </c>
      <c r="E867" s="1" t="s">
        <v>37</v>
      </c>
      <c r="F867" s="1">
        <v>2751</v>
      </c>
      <c r="G867" s="1">
        <v>33</v>
      </c>
      <c r="H867" s="1">
        <v>430</v>
      </c>
      <c r="I867" s="1">
        <v>44016</v>
      </c>
      <c r="J867" s="1">
        <v>43415</v>
      </c>
      <c r="K867" s="1">
        <v>129</v>
      </c>
      <c r="L867" s="1" t="s">
        <v>360</v>
      </c>
      <c r="M867" s="1" t="s">
        <v>357</v>
      </c>
      <c r="N867" s="8" t="s">
        <v>359</v>
      </c>
    </row>
    <row r="868" spans="1:14" x14ac:dyDescent="0.3">
      <c r="A868" s="6" t="s">
        <v>342</v>
      </c>
      <c r="B868" s="1" t="s">
        <v>35</v>
      </c>
      <c r="C868" s="7">
        <v>45624</v>
      </c>
      <c r="D868" s="1" t="s">
        <v>36</v>
      </c>
      <c r="E868" s="1" t="s">
        <v>37</v>
      </c>
      <c r="F868" s="1">
        <v>2751</v>
      </c>
      <c r="G868" s="1">
        <v>33</v>
      </c>
      <c r="H868" s="1">
        <v>430</v>
      </c>
      <c r="I868" s="1">
        <v>44016</v>
      </c>
      <c r="J868" s="1">
        <v>43415</v>
      </c>
      <c r="K868" s="1">
        <v>129</v>
      </c>
      <c r="L868" s="1" t="s">
        <v>360</v>
      </c>
      <c r="M868" s="1" t="s">
        <v>358</v>
      </c>
      <c r="N868" s="8" t="s">
        <v>359</v>
      </c>
    </row>
    <row r="869" spans="1:14" x14ac:dyDescent="0.3">
      <c r="A869" s="6" t="s">
        <v>343</v>
      </c>
      <c r="B869" s="1" t="s">
        <v>28</v>
      </c>
      <c r="C869" s="7">
        <v>45646</v>
      </c>
      <c r="D869" s="1" t="s">
        <v>36</v>
      </c>
      <c r="E869" s="1" t="s">
        <v>65</v>
      </c>
      <c r="F869" s="1">
        <v>2107</v>
      </c>
      <c r="G869" s="1">
        <v>550</v>
      </c>
      <c r="H869" s="1">
        <v>349</v>
      </c>
      <c r="I869" s="1">
        <v>35819</v>
      </c>
      <c r="J869" s="1">
        <v>35340</v>
      </c>
      <c r="K869" s="1">
        <v>191</v>
      </c>
      <c r="L869" s="1" t="s">
        <v>32</v>
      </c>
      <c r="M869" s="1" t="s">
        <v>11</v>
      </c>
      <c r="N869" s="8" t="s">
        <v>31</v>
      </c>
    </row>
    <row r="870" spans="1:14" x14ac:dyDescent="0.3">
      <c r="A870" s="6" t="s">
        <v>343</v>
      </c>
      <c r="B870" s="1" t="s">
        <v>28</v>
      </c>
      <c r="C870" s="7">
        <v>45646</v>
      </c>
      <c r="D870" s="1" t="s">
        <v>36</v>
      </c>
      <c r="E870" s="1" t="s">
        <v>65</v>
      </c>
      <c r="F870" s="1">
        <v>2107</v>
      </c>
      <c r="G870" s="1">
        <v>550</v>
      </c>
      <c r="H870" s="1">
        <v>349</v>
      </c>
      <c r="I870" s="1">
        <v>35819</v>
      </c>
      <c r="J870" s="1">
        <v>35340</v>
      </c>
      <c r="K870" s="1">
        <v>191</v>
      </c>
      <c r="L870" s="1" t="s">
        <v>32</v>
      </c>
      <c r="M870" s="1" t="s">
        <v>357</v>
      </c>
      <c r="N870" s="8" t="s">
        <v>359</v>
      </c>
    </row>
    <row r="871" spans="1:14" x14ac:dyDescent="0.3">
      <c r="A871" s="6" t="s">
        <v>343</v>
      </c>
      <c r="B871" s="1" t="s">
        <v>28</v>
      </c>
      <c r="C871" s="7">
        <v>45646</v>
      </c>
      <c r="D871" s="1" t="s">
        <v>36</v>
      </c>
      <c r="E871" s="1" t="s">
        <v>65</v>
      </c>
      <c r="F871" s="1">
        <v>2107</v>
      </c>
      <c r="G871" s="1">
        <v>550</v>
      </c>
      <c r="H871" s="1">
        <v>349</v>
      </c>
      <c r="I871" s="1">
        <v>35819</v>
      </c>
      <c r="J871" s="1">
        <v>35340</v>
      </c>
      <c r="K871" s="1">
        <v>191</v>
      </c>
      <c r="L871" s="1" t="s">
        <v>32</v>
      </c>
      <c r="M871" s="1" t="s">
        <v>358</v>
      </c>
      <c r="N871" s="8" t="s">
        <v>359</v>
      </c>
    </row>
    <row r="872" spans="1:14" x14ac:dyDescent="0.3">
      <c r="A872" s="6" t="s">
        <v>344</v>
      </c>
      <c r="B872" s="1" t="s">
        <v>35</v>
      </c>
      <c r="C872" s="7">
        <v>45602</v>
      </c>
      <c r="D872" s="1" t="s">
        <v>56</v>
      </c>
      <c r="E872" s="1" t="s">
        <v>57</v>
      </c>
      <c r="F872" s="1">
        <v>4663</v>
      </c>
      <c r="G872" s="1">
        <v>145</v>
      </c>
      <c r="H872" s="1">
        <v>225</v>
      </c>
      <c r="I872" s="1">
        <v>69945</v>
      </c>
      <c r="J872" s="1">
        <v>69596</v>
      </c>
      <c r="K872" s="1">
        <v>35</v>
      </c>
      <c r="L872" s="1" t="s">
        <v>32</v>
      </c>
      <c r="M872" s="1" t="s">
        <v>11</v>
      </c>
      <c r="N872" s="8" t="s">
        <v>31</v>
      </c>
    </row>
    <row r="873" spans="1:14" x14ac:dyDescent="0.3">
      <c r="A873" s="6" t="s">
        <v>344</v>
      </c>
      <c r="B873" s="1" t="s">
        <v>35</v>
      </c>
      <c r="C873" s="7">
        <v>45602</v>
      </c>
      <c r="D873" s="1" t="s">
        <v>56</v>
      </c>
      <c r="E873" s="1" t="s">
        <v>57</v>
      </c>
      <c r="F873" s="1">
        <v>4663</v>
      </c>
      <c r="G873" s="1">
        <v>145</v>
      </c>
      <c r="H873" s="1">
        <v>225</v>
      </c>
      <c r="I873" s="1">
        <v>69945</v>
      </c>
      <c r="J873" s="1">
        <v>69596</v>
      </c>
      <c r="K873" s="1">
        <v>35</v>
      </c>
      <c r="L873" s="1" t="s">
        <v>32</v>
      </c>
      <c r="M873" s="1" t="s">
        <v>357</v>
      </c>
      <c r="N873" s="8" t="s">
        <v>359</v>
      </c>
    </row>
    <row r="874" spans="1:14" x14ac:dyDescent="0.3">
      <c r="A874" s="6" t="s">
        <v>344</v>
      </c>
      <c r="B874" s="1" t="s">
        <v>35</v>
      </c>
      <c r="C874" s="7">
        <v>45602</v>
      </c>
      <c r="D874" s="1" t="s">
        <v>56</v>
      </c>
      <c r="E874" s="1" t="s">
        <v>57</v>
      </c>
      <c r="F874" s="1">
        <v>4663</v>
      </c>
      <c r="G874" s="1">
        <v>145</v>
      </c>
      <c r="H874" s="1">
        <v>225</v>
      </c>
      <c r="I874" s="1">
        <v>69945</v>
      </c>
      <c r="J874" s="1">
        <v>69596</v>
      </c>
      <c r="K874" s="1">
        <v>35</v>
      </c>
      <c r="L874" s="1" t="s">
        <v>32</v>
      </c>
      <c r="M874" s="1" t="s">
        <v>358</v>
      </c>
      <c r="N874" s="8" t="s">
        <v>359</v>
      </c>
    </row>
    <row r="875" spans="1:14" x14ac:dyDescent="0.3">
      <c r="A875" s="6" t="s">
        <v>345</v>
      </c>
      <c r="B875" s="1" t="s">
        <v>35</v>
      </c>
      <c r="C875" s="7">
        <v>45613</v>
      </c>
      <c r="D875" s="1" t="s">
        <v>19</v>
      </c>
      <c r="E875" s="1" t="s">
        <v>44</v>
      </c>
      <c r="F875" s="1">
        <v>880</v>
      </c>
      <c r="G875" s="1">
        <v>297</v>
      </c>
      <c r="H875" s="1">
        <v>345</v>
      </c>
      <c r="I875" s="1">
        <v>12320</v>
      </c>
      <c r="J875" s="1">
        <v>11978</v>
      </c>
      <c r="K875" s="1">
        <v>238</v>
      </c>
      <c r="L875" s="1" t="s">
        <v>360</v>
      </c>
      <c r="M875" s="1" t="s">
        <v>11</v>
      </c>
      <c r="N875" s="8" t="s">
        <v>25</v>
      </c>
    </row>
    <row r="876" spans="1:14" x14ac:dyDescent="0.3">
      <c r="A876" s="6" t="s">
        <v>345</v>
      </c>
      <c r="B876" s="1" t="s">
        <v>35</v>
      </c>
      <c r="C876" s="7">
        <v>45613</v>
      </c>
      <c r="D876" s="1" t="s">
        <v>19</v>
      </c>
      <c r="E876" s="1" t="s">
        <v>44</v>
      </c>
      <c r="F876" s="1">
        <v>880</v>
      </c>
      <c r="G876" s="1">
        <v>297</v>
      </c>
      <c r="H876" s="1">
        <v>345</v>
      </c>
      <c r="I876" s="1">
        <v>12320</v>
      </c>
      <c r="J876" s="1">
        <v>11978</v>
      </c>
      <c r="K876" s="1">
        <v>238</v>
      </c>
      <c r="L876" s="1" t="s">
        <v>360</v>
      </c>
      <c r="M876" s="1" t="s">
        <v>357</v>
      </c>
      <c r="N876" s="8" t="s">
        <v>354</v>
      </c>
    </row>
    <row r="877" spans="1:14" x14ac:dyDescent="0.3">
      <c r="A877" s="6" t="s">
        <v>345</v>
      </c>
      <c r="B877" s="1" t="s">
        <v>35</v>
      </c>
      <c r="C877" s="7">
        <v>45613</v>
      </c>
      <c r="D877" s="1" t="s">
        <v>19</v>
      </c>
      <c r="E877" s="1" t="s">
        <v>44</v>
      </c>
      <c r="F877" s="1">
        <v>880</v>
      </c>
      <c r="G877" s="1">
        <v>297</v>
      </c>
      <c r="H877" s="1">
        <v>345</v>
      </c>
      <c r="I877" s="1">
        <v>12320</v>
      </c>
      <c r="J877" s="1">
        <v>11978</v>
      </c>
      <c r="K877" s="1">
        <v>238</v>
      </c>
      <c r="L877" s="1" t="s">
        <v>360</v>
      </c>
      <c r="M877" s="1" t="s">
        <v>358</v>
      </c>
      <c r="N877" s="8" t="s">
        <v>359</v>
      </c>
    </row>
    <row r="878" spans="1:14" x14ac:dyDescent="0.3">
      <c r="A878" s="6" t="s">
        <v>346</v>
      </c>
      <c r="B878" s="1" t="s">
        <v>35</v>
      </c>
      <c r="C878" s="7">
        <v>45791</v>
      </c>
      <c r="D878" s="1" t="s">
        <v>19</v>
      </c>
      <c r="E878" s="1" t="s">
        <v>44</v>
      </c>
      <c r="F878" s="1">
        <v>2634</v>
      </c>
      <c r="G878" s="1">
        <v>726</v>
      </c>
      <c r="H878" s="1">
        <v>241</v>
      </c>
      <c r="I878" s="1">
        <v>28974</v>
      </c>
      <c r="J878" s="1">
        <v>28102</v>
      </c>
      <c r="K878" s="1">
        <v>277</v>
      </c>
      <c r="L878" s="1" t="s">
        <v>17</v>
      </c>
      <c r="M878" s="1" t="s">
        <v>11</v>
      </c>
      <c r="N878" s="8" t="s">
        <v>31</v>
      </c>
    </row>
    <row r="879" spans="1:14" x14ac:dyDescent="0.3">
      <c r="A879" s="6" t="s">
        <v>346</v>
      </c>
      <c r="B879" s="1" t="s">
        <v>35</v>
      </c>
      <c r="C879" s="7">
        <v>45791</v>
      </c>
      <c r="D879" s="1" t="s">
        <v>19</v>
      </c>
      <c r="E879" s="1" t="s">
        <v>44</v>
      </c>
      <c r="F879" s="1">
        <v>2634</v>
      </c>
      <c r="G879" s="1">
        <v>726</v>
      </c>
      <c r="H879" s="1">
        <v>241</v>
      </c>
      <c r="I879" s="1">
        <v>28974</v>
      </c>
      <c r="J879" s="1">
        <v>28102</v>
      </c>
      <c r="K879" s="1">
        <v>277</v>
      </c>
      <c r="L879" s="1" t="s">
        <v>17</v>
      </c>
      <c r="M879" s="1" t="s">
        <v>357</v>
      </c>
      <c r="N879" s="8" t="s">
        <v>359</v>
      </c>
    </row>
    <row r="880" spans="1:14" x14ac:dyDescent="0.3">
      <c r="A880" s="6" t="s">
        <v>346</v>
      </c>
      <c r="B880" s="1" t="s">
        <v>35</v>
      </c>
      <c r="C880" s="7">
        <v>45791</v>
      </c>
      <c r="D880" s="1" t="s">
        <v>19</v>
      </c>
      <c r="E880" s="1" t="s">
        <v>44</v>
      </c>
      <c r="F880" s="1">
        <v>2634</v>
      </c>
      <c r="G880" s="1">
        <v>726</v>
      </c>
      <c r="H880" s="1">
        <v>241</v>
      </c>
      <c r="I880" s="1">
        <v>28974</v>
      </c>
      <c r="J880" s="1">
        <v>28102</v>
      </c>
      <c r="K880" s="1">
        <v>277</v>
      </c>
      <c r="L880" s="1" t="s">
        <v>17</v>
      </c>
      <c r="M880" s="1" t="s">
        <v>358</v>
      </c>
      <c r="N880" s="8" t="s">
        <v>359</v>
      </c>
    </row>
    <row r="881" spans="1:14" x14ac:dyDescent="0.3">
      <c r="A881" s="6" t="s">
        <v>347</v>
      </c>
      <c r="B881" s="1" t="s">
        <v>35</v>
      </c>
      <c r="C881" s="7">
        <v>45462</v>
      </c>
      <c r="D881" s="1" t="s">
        <v>36</v>
      </c>
      <c r="E881" s="1" t="s">
        <v>37</v>
      </c>
      <c r="F881" s="1">
        <v>4731</v>
      </c>
      <c r="G881" s="1">
        <v>173</v>
      </c>
      <c r="H881" s="1">
        <v>276</v>
      </c>
      <c r="I881" s="1">
        <v>28386</v>
      </c>
      <c r="J881" s="1">
        <v>28185</v>
      </c>
      <c r="K881" s="1">
        <v>89</v>
      </c>
      <c r="L881" s="1" t="s">
        <v>26</v>
      </c>
      <c r="M881" s="1" t="s">
        <v>11</v>
      </c>
      <c r="N881" s="8" t="s">
        <v>31</v>
      </c>
    </row>
    <row r="882" spans="1:14" x14ac:dyDescent="0.3">
      <c r="A882" s="6" t="s">
        <v>347</v>
      </c>
      <c r="B882" s="1" t="s">
        <v>35</v>
      </c>
      <c r="C882" s="7">
        <v>45462</v>
      </c>
      <c r="D882" s="1" t="s">
        <v>36</v>
      </c>
      <c r="E882" s="1" t="s">
        <v>37</v>
      </c>
      <c r="F882" s="1">
        <v>4731</v>
      </c>
      <c r="G882" s="1">
        <v>173</v>
      </c>
      <c r="H882" s="1">
        <v>276</v>
      </c>
      <c r="I882" s="1">
        <v>28386</v>
      </c>
      <c r="J882" s="1">
        <v>28185</v>
      </c>
      <c r="K882" s="1">
        <v>89</v>
      </c>
      <c r="L882" s="1" t="s">
        <v>26</v>
      </c>
      <c r="M882" s="1" t="s">
        <v>357</v>
      </c>
      <c r="N882" s="8" t="s">
        <v>359</v>
      </c>
    </row>
    <row r="883" spans="1:14" x14ac:dyDescent="0.3">
      <c r="A883" s="6" t="s">
        <v>347</v>
      </c>
      <c r="B883" s="1" t="s">
        <v>35</v>
      </c>
      <c r="C883" s="7">
        <v>45462</v>
      </c>
      <c r="D883" s="1" t="s">
        <v>36</v>
      </c>
      <c r="E883" s="1" t="s">
        <v>37</v>
      </c>
      <c r="F883" s="1">
        <v>4731</v>
      </c>
      <c r="G883" s="1">
        <v>173</v>
      </c>
      <c r="H883" s="1">
        <v>276</v>
      </c>
      <c r="I883" s="1">
        <v>28386</v>
      </c>
      <c r="J883" s="1">
        <v>28185</v>
      </c>
      <c r="K883" s="1">
        <v>89</v>
      </c>
      <c r="L883" s="1" t="s">
        <v>26</v>
      </c>
      <c r="M883" s="1" t="s">
        <v>358</v>
      </c>
      <c r="N883" s="8" t="s">
        <v>359</v>
      </c>
    </row>
    <row r="884" spans="1:14" x14ac:dyDescent="0.3">
      <c r="A884" s="6" t="s">
        <v>348</v>
      </c>
      <c r="B884" s="1" t="s">
        <v>14</v>
      </c>
      <c r="C884" s="7">
        <v>45783</v>
      </c>
      <c r="D884" s="1" t="s">
        <v>41</v>
      </c>
      <c r="E884" s="1" t="s">
        <v>88</v>
      </c>
      <c r="F884" s="1">
        <v>1952</v>
      </c>
      <c r="G884" s="1">
        <v>344</v>
      </c>
      <c r="H884" s="1">
        <v>287</v>
      </c>
      <c r="I884" s="1">
        <v>15616</v>
      </c>
      <c r="J884" s="1">
        <v>15403</v>
      </c>
      <c r="K884" s="1">
        <v>235</v>
      </c>
      <c r="L884" s="1" t="s">
        <v>21</v>
      </c>
      <c r="M884" s="1" t="s">
        <v>11</v>
      </c>
      <c r="N884" s="8" t="s">
        <v>48</v>
      </c>
    </row>
    <row r="885" spans="1:14" x14ac:dyDescent="0.3">
      <c r="A885" s="6" t="s">
        <v>348</v>
      </c>
      <c r="B885" s="1" t="s">
        <v>14</v>
      </c>
      <c r="C885" s="7">
        <v>45783</v>
      </c>
      <c r="D885" s="1" t="s">
        <v>41</v>
      </c>
      <c r="E885" s="1" t="s">
        <v>88</v>
      </c>
      <c r="F885" s="1">
        <v>1952</v>
      </c>
      <c r="G885" s="1">
        <v>344</v>
      </c>
      <c r="H885" s="1">
        <v>287</v>
      </c>
      <c r="I885" s="1">
        <v>15616</v>
      </c>
      <c r="J885" s="1">
        <v>15403</v>
      </c>
      <c r="K885" s="1">
        <v>235</v>
      </c>
      <c r="L885" s="1" t="s">
        <v>21</v>
      </c>
      <c r="M885" s="1" t="s">
        <v>357</v>
      </c>
      <c r="N885" s="8" t="s">
        <v>25</v>
      </c>
    </row>
    <row r="886" spans="1:14" x14ac:dyDescent="0.3">
      <c r="A886" s="6" t="s">
        <v>348</v>
      </c>
      <c r="B886" s="1" t="s">
        <v>14</v>
      </c>
      <c r="C886" s="7">
        <v>45783</v>
      </c>
      <c r="D886" s="1" t="s">
        <v>41</v>
      </c>
      <c r="E886" s="1" t="s">
        <v>88</v>
      </c>
      <c r="F886" s="1">
        <v>1952</v>
      </c>
      <c r="G886" s="1">
        <v>344</v>
      </c>
      <c r="H886" s="1">
        <v>287</v>
      </c>
      <c r="I886" s="1">
        <v>15616</v>
      </c>
      <c r="J886" s="1">
        <v>15403</v>
      </c>
      <c r="K886" s="1">
        <v>235</v>
      </c>
      <c r="L886" s="1" t="s">
        <v>21</v>
      </c>
      <c r="M886" s="1" t="s">
        <v>358</v>
      </c>
      <c r="N886" s="8" t="s">
        <v>354</v>
      </c>
    </row>
    <row r="887" spans="1:14" x14ac:dyDescent="0.3">
      <c r="A887" s="6" t="s">
        <v>349</v>
      </c>
      <c r="B887" s="1" t="s">
        <v>14</v>
      </c>
      <c r="C887" s="7">
        <v>45699</v>
      </c>
      <c r="D887" s="1" t="s">
        <v>56</v>
      </c>
      <c r="E887" s="1" t="s">
        <v>95</v>
      </c>
      <c r="F887" s="1">
        <v>3440</v>
      </c>
      <c r="G887" s="1">
        <v>13</v>
      </c>
      <c r="H887" s="1">
        <v>20</v>
      </c>
      <c r="I887" s="1">
        <v>58480</v>
      </c>
      <c r="J887" s="1">
        <v>58146</v>
      </c>
      <c r="K887" s="1">
        <v>210</v>
      </c>
      <c r="L887" s="1" t="s">
        <v>32</v>
      </c>
      <c r="M887" s="1" t="s">
        <v>11</v>
      </c>
      <c r="N887" s="8" t="s">
        <v>25</v>
      </c>
    </row>
    <row r="888" spans="1:14" x14ac:dyDescent="0.3">
      <c r="A888" s="6" t="s">
        <v>349</v>
      </c>
      <c r="B888" s="1" t="s">
        <v>14</v>
      </c>
      <c r="C888" s="7">
        <v>45699</v>
      </c>
      <c r="D888" s="1" t="s">
        <v>56</v>
      </c>
      <c r="E888" s="1" t="s">
        <v>95</v>
      </c>
      <c r="F888" s="1">
        <v>3440</v>
      </c>
      <c r="G888" s="1">
        <v>13</v>
      </c>
      <c r="H888" s="1">
        <v>20</v>
      </c>
      <c r="I888" s="1">
        <v>58480</v>
      </c>
      <c r="J888" s="1">
        <v>58146</v>
      </c>
      <c r="K888" s="1">
        <v>210</v>
      </c>
      <c r="L888" s="1" t="s">
        <v>32</v>
      </c>
      <c r="M888" s="1" t="s">
        <v>357</v>
      </c>
      <c r="N888" s="8" t="s">
        <v>356</v>
      </c>
    </row>
    <row r="889" spans="1:14" x14ac:dyDescent="0.3">
      <c r="A889" s="6" t="s">
        <v>349</v>
      </c>
      <c r="B889" s="1" t="s">
        <v>14</v>
      </c>
      <c r="C889" s="7">
        <v>45699</v>
      </c>
      <c r="D889" s="1" t="s">
        <v>56</v>
      </c>
      <c r="E889" s="1" t="s">
        <v>95</v>
      </c>
      <c r="F889" s="1">
        <v>3440</v>
      </c>
      <c r="G889" s="1">
        <v>13</v>
      </c>
      <c r="H889" s="1">
        <v>20</v>
      </c>
      <c r="I889" s="1">
        <v>58480</v>
      </c>
      <c r="J889" s="1">
        <v>58146</v>
      </c>
      <c r="K889" s="1">
        <v>210</v>
      </c>
      <c r="L889" s="1" t="s">
        <v>32</v>
      </c>
      <c r="M889" s="1" t="s">
        <v>358</v>
      </c>
      <c r="N889" s="8" t="s">
        <v>359</v>
      </c>
    </row>
    <row r="890" spans="1:14" x14ac:dyDescent="0.3">
      <c r="A890" s="6" t="s">
        <v>350</v>
      </c>
      <c r="B890" s="1" t="s">
        <v>14</v>
      </c>
      <c r="C890" s="7">
        <v>45650</v>
      </c>
      <c r="D890" s="1" t="s">
        <v>19</v>
      </c>
      <c r="E890" s="1" t="s">
        <v>20</v>
      </c>
      <c r="F890" s="1">
        <v>2166</v>
      </c>
      <c r="G890" s="1">
        <v>354</v>
      </c>
      <c r="H890" s="1">
        <v>117</v>
      </c>
      <c r="I890" s="1">
        <v>10830</v>
      </c>
      <c r="J890" s="1">
        <v>10245</v>
      </c>
      <c r="K890" s="1">
        <v>24</v>
      </c>
      <c r="L890" s="1" t="s">
        <v>32</v>
      </c>
      <c r="M890" s="1" t="s">
        <v>11</v>
      </c>
      <c r="N890" s="8" t="s">
        <v>31</v>
      </c>
    </row>
    <row r="891" spans="1:14" x14ac:dyDescent="0.3">
      <c r="A891" s="6" t="s">
        <v>350</v>
      </c>
      <c r="B891" s="1" t="s">
        <v>14</v>
      </c>
      <c r="C891" s="7">
        <v>45650</v>
      </c>
      <c r="D891" s="1" t="s">
        <v>19</v>
      </c>
      <c r="E891" s="1" t="s">
        <v>20</v>
      </c>
      <c r="F891" s="1">
        <v>2166</v>
      </c>
      <c r="G891" s="1">
        <v>354</v>
      </c>
      <c r="H891" s="1">
        <v>117</v>
      </c>
      <c r="I891" s="1">
        <v>10830</v>
      </c>
      <c r="J891" s="1">
        <v>10245</v>
      </c>
      <c r="K891" s="1">
        <v>24</v>
      </c>
      <c r="L891" s="1" t="s">
        <v>32</v>
      </c>
      <c r="M891" s="1" t="s">
        <v>357</v>
      </c>
      <c r="N891" s="8" t="s">
        <v>359</v>
      </c>
    </row>
    <row r="892" spans="1:14" x14ac:dyDescent="0.3">
      <c r="A892" s="6" t="s">
        <v>350</v>
      </c>
      <c r="B892" s="1" t="s">
        <v>14</v>
      </c>
      <c r="C892" s="7">
        <v>45650</v>
      </c>
      <c r="D892" s="1" t="s">
        <v>19</v>
      </c>
      <c r="E892" s="1" t="s">
        <v>20</v>
      </c>
      <c r="F892" s="1">
        <v>2166</v>
      </c>
      <c r="G892" s="1">
        <v>354</v>
      </c>
      <c r="H892" s="1">
        <v>117</v>
      </c>
      <c r="I892" s="1">
        <v>10830</v>
      </c>
      <c r="J892" s="1">
        <v>10245</v>
      </c>
      <c r="K892" s="1">
        <v>24</v>
      </c>
      <c r="L892" s="1" t="s">
        <v>32</v>
      </c>
      <c r="M892" s="1" t="s">
        <v>358</v>
      </c>
      <c r="N892" s="8" t="s">
        <v>359</v>
      </c>
    </row>
    <row r="893" spans="1:14" x14ac:dyDescent="0.3">
      <c r="A893" s="6" t="s">
        <v>351</v>
      </c>
      <c r="B893" s="1" t="s">
        <v>35</v>
      </c>
      <c r="C893" s="7">
        <v>45589</v>
      </c>
      <c r="D893" s="1" t="s">
        <v>41</v>
      </c>
      <c r="E893" s="1" t="s">
        <v>46</v>
      </c>
      <c r="F893" s="1">
        <v>4303</v>
      </c>
      <c r="G893" s="1">
        <v>451</v>
      </c>
      <c r="H893" s="1">
        <v>286</v>
      </c>
      <c r="I893" s="1">
        <v>86060</v>
      </c>
      <c r="J893" s="1">
        <v>85823</v>
      </c>
      <c r="K893" s="1">
        <v>14</v>
      </c>
      <c r="L893" s="1" t="s">
        <v>26</v>
      </c>
      <c r="M893" s="1" t="s">
        <v>11</v>
      </c>
      <c r="N893" s="8" t="s">
        <v>25</v>
      </c>
    </row>
    <row r="894" spans="1:14" x14ac:dyDescent="0.3">
      <c r="A894" s="6" t="s">
        <v>351</v>
      </c>
      <c r="B894" s="1" t="s">
        <v>35</v>
      </c>
      <c r="C894" s="7">
        <v>45589</v>
      </c>
      <c r="D894" s="1" t="s">
        <v>41</v>
      </c>
      <c r="E894" s="1" t="s">
        <v>46</v>
      </c>
      <c r="F894" s="1">
        <v>4303</v>
      </c>
      <c r="G894" s="1">
        <v>451</v>
      </c>
      <c r="H894" s="1">
        <v>286</v>
      </c>
      <c r="I894" s="1">
        <v>86060</v>
      </c>
      <c r="J894" s="1">
        <v>85823</v>
      </c>
      <c r="K894" s="1">
        <v>14</v>
      </c>
      <c r="L894" s="1" t="s">
        <v>26</v>
      </c>
      <c r="M894" s="1" t="s">
        <v>357</v>
      </c>
      <c r="N894" s="8" t="s">
        <v>359</v>
      </c>
    </row>
    <row r="895" spans="1:14" x14ac:dyDescent="0.3">
      <c r="A895" s="6" t="s">
        <v>351</v>
      </c>
      <c r="B895" s="1" t="s">
        <v>35</v>
      </c>
      <c r="C895" s="7">
        <v>45589</v>
      </c>
      <c r="D895" s="1" t="s">
        <v>41</v>
      </c>
      <c r="E895" s="1" t="s">
        <v>46</v>
      </c>
      <c r="F895" s="1">
        <v>4303</v>
      </c>
      <c r="G895" s="1">
        <v>451</v>
      </c>
      <c r="H895" s="1">
        <v>286</v>
      </c>
      <c r="I895" s="1">
        <v>86060</v>
      </c>
      <c r="J895" s="1">
        <v>85823</v>
      </c>
      <c r="K895" s="1">
        <v>14</v>
      </c>
      <c r="L895" s="1" t="s">
        <v>26</v>
      </c>
      <c r="M895" s="1" t="s">
        <v>358</v>
      </c>
      <c r="N895" s="8" t="s">
        <v>359</v>
      </c>
    </row>
    <row r="896" spans="1:14" x14ac:dyDescent="0.3">
      <c r="A896" s="6" t="s">
        <v>352</v>
      </c>
      <c r="B896" s="1" t="s">
        <v>35</v>
      </c>
      <c r="C896" s="7">
        <v>45530</v>
      </c>
      <c r="D896" s="1" t="s">
        <v>41</v>
      </c>
      <c r="E896" s="1" t="s">
        <v>46</v>
      </c>
      <c r="F896" s="1">
        <v>2581</v>
      </c>
      <c r="G896" s="1">
        <v>517</v>
      </c>
      <c r="H896" s="1">
        <v>117</v>
      </c>
      <c r="I896" s="1">
        <v>23229</v>
      </c>
      <c r="J896" s="1">
        <v>22331</v>
      </c>
      <c r="K896" s="1">
        <v>70</v>
      </c>
      <c r="L896" s="1" t="s">
        <v>26</v>
      </c>
      <c r="M896" s="1" t="s">
        <v>11</v>
      </c>
      <c r="N896" s="8" t="s">
        <v>48</v>
      </c>
    </row>
    <row r="897" spans="1:14" x14ac:dyDescent="0.3">
      <c r="A897" s="6" t="s">
        <v>352</v>
      </c>
      <c r="B897" s="1" t="s">
        <v>35</v>
      </c>
      <c r="C897" s="7">
        <v>45530</v>
      </c>
      <c r="D897" s="1" t="s">
        <v>41</v>
      </c>
      <c r="E897" s="1" t="s">
        <v>46</v>
      </c>
      <c r="F897" s="1">
        <v>2581</v>
      </c>
      <c r="G897" s="1">
        <v>517</v>
      </c>
      <c r="H897" s="1">
        <v>117</v>
      </c>
      <c r="I897" s="1">
        <v>23229</v>
      </c>
      <c r="J897" s="1">
        <v>22331</v>
      </c>
      <c r="K897" s="1">
        <v>70</v>
      </c>
      <c r="L897" s="1" t="s">
        <v>26</v>
      </c>
      <c r="M897" s="1" t="s">
        <v>357</v>
      </c>
      <c r="N897" s="8" t="s">
        <v>359</v>
      </c>
    </row>
    <row r="898" spans="1:14" x14ac:dyDescent="0.3">
      <c r="A898" s="6" t="s">
        <v>352</v>
      </c>
      <c r="B898" s="1" t="s">
        <v>35</v>
      </c>
      <c r="C898" s="7">
        <v>45530</v>
      </c>
      <c r="D898" s="1" t="s">
        <v>41</v>
      </c>
      <c r="E898" s="1" t="s">
        <v>46</v>
      </c>
      <c r="F898" s="1">
        <v>2581</v>
      </c>
      <c r="G898" s="1">
        <v>517</v>
      </c>
      <c r="H898" s="1">
        <v>117</v>
      </c>
      <c r="I898" s="1">
        <v>23229</v>
      </c>
      <c r="J898" s="1">
        <v>22331</v>
      </c>
      <c r="K898" s="1">
        <v>70</v>
      </c>
      <c r="L898" s="1" t="s">
        <v>26</v>
      </c>
      <c r="M898" s="1" t="s">
        <v>358</v>
      </c>
      <c r="N898" s="8" t="s">
        <v>359</v>
      </c>
    </row>
    <row r="899" spans="1:14" x14ac:dyDescent="0.3">
      <c r="A899" s="6" t="s">
        <v>353</v>
      </c>
      <c r="B899" s="1" t="s">
        <v>14</v>
      </c>
      <c r="C899" s="7">
        <v>45535</v>
      </c>
      <c r="D899" s="1" t="s">
        <v>36</v>
      </c>
      <c r="E899" s="1" t="s">
        <v>39</v>
      </c>
      <c r="F899" s="1">
        <v>4494</v>
      </c>
      <c r="G899" s="1">
        <v>717</v>
      </c>
      <c r="H899" s="1">
        <v>45</v>
      </c>
      <c r="I899" s="1">
        <v>62916</v>
      </c>
      <c r="J899" s="1">
        <v>62688</v>
      </c>
      <c r="K899" s="1">
        <v>191</v>
      </c>
      <c r="L899" s="1" t="s">
        <v>17</v>
      </c>
      <c r="M899" s="1" t="s">
        <v>11</v>
      </c>
      <c r="N899" s="8" t="s">
        <v>25</v>
      </c>
    </row>
    <row r="900" spans="1:14" x14ac:dyDescent="0.3">
      <c r="A900" s="6" t="s">
        <v>353</v>
      </c>
      <c r="B900" s="1" t="s">
        <v>14</v>
      </c>
      <c r="C900" s="7">
        <v>45535</v>
      </c>
      <c r="D900" s="1" t="s">
        <v>36</v>
      </c>
      <c r="E900" s="1" t="s">
        <v>39</v>
      </c>
      <c r="F900" s="1">
        <v>4494</v>
      </c>
      <c r="G900" s="1">
        <v>717</v>
      </c>
      <c r="H900" s="1">
        <v>45</v>
      </c>
      <c r="I900" s="1">
        <v>62916</v>
      </c>
      <c r="J900" s="1">
        <v>62688</v>
      </c>
      <c r="K900" s="1">
        <v>191</v>
      </c>
      <c r="L900" s="1" t="s">
        <v>17</v>
      </c>
      <c r="M900" s="1" t="s">
        <v>357</v>
      </c>
      <c r="N900" s="8" t="s">
        <v>31</v>
      </c>
    </row>
    <row r="901" spans="1:14" x14ac:dyDescent="0.3">
      <c r="A901" s="9" t="s">
        <v>353</v>
      </c>
      <c r="B901" s="10" t="s">
        <v>14</v>
      </c>
      <c r="C901" s="11">
        <v>45535</v>
      </c>
      <c r="D901" s="10" t="s">
        <v>36</v>
      </c>
      <c r="E901" s="10" t="s">
        <v>39</v>
      </c>
      <c r="F901" s="10">
        <v>4494</v>
      </c>
      <c r="G901" s="10">
        <v>717</v>
      </c>
      <c r="H901" s="10">
        <v>45</v>
      </c>
      <c r="I901" s="10">
        <v>62916</v>
      </c>
      <c r="J901" s="10">
        <v>62688</v>
      </c>
      <c r="K901" s="10">
        <v>191</v>
      </c>
      <c r="L901" s="10" t="s">
        <v>17</v>
      </c>
      <c r="M901" s="10" t="s">
        <v>358</v>
      </c>
      <c r="N901" s="12" t="s">
        <v>355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9905-9CD7-4233-84D5-1837026CA19E}">
  <sheetPr codeName="Sheet7"/>
  <dimension ref="C3:J25"/>
  <sheetViews>
    <sheetView workbookViewId="0">
      <selection activeCell="C30" sqref="C30"/>
    </sheetView>
  </sheetViews>
  <sheetFormatPr defaultRowHeight="14.4" x14ac:dyDescent="0.3"/>
  <cols>
    <col min="1" max="1" width="20.21875" bestFit="1" customWidth="1"/>
    <col min="2" max="2" width="7.44140625" customWidth="1"/>
    <col min="3" max="3" width="20.21875" bestFit="1" customWidth="1"/>
    <col min="4" max="4" width="15.33203125" bestFit="1" customWidth="1"/>
    <col min="10" max="10" width="14" customWidth="1"/>
  </cols>
  <sheetData>
    <row r="3" spans="3:10" ht="36.6" x14ac:dyDescent="0.7">
      <c r="E3" s="36" t="s">
        <v>376</v>
      </c>
      <c r="F3" s="37"/>
      <c r="G3" s="37"/>
      <c r="H3" s="37"/>
      <c r="I3" s="37"/>
      <c r="J3" s="37"/>
    </row>
    <row r="12" spans="3:10" x14ac:dyDescent="0.3">
      <c r="C12" s="17" t="s">
        <v>362</v>
      </c>
      <c r="D12" s="1" t="s">
        <v>374</v>
      </c>
    </row>
    <row r="13" spans="3:10" x14ac:dyDescent="0.3">
      <c r="C13" s="18" t="s">
        <v>354</v>
      </c>
      <c r="D13" s="32">
        <v>161.19999999999999</v>
      </c>
    </row>
    <row r="14" spans="3:10" x14ac:dyDescent="0.3">
      <c r="C14" s="20" t="s">
        <v>25</v>
      </c>
      <c r="D14" s="31">
        <v>158.65420560747663</v>
      </c>
    </row>
    <row r="15" spans="3:10" x14ac:dyDescent="0.3">
      <c r="C15" s="20" t="s">
        <v>31</v>
      </c>
      <c r="D15" s="31">
        <v>151.52941176470588</v>
      </c>
    </row>
    <row r="16" spans="3:10" x14ac:dyDescent="0.3">
      <c r="C16" s="20" t="s">
        <v>48</v>
      </c>
      <c r="D16" s="31">
        <v>144.03883495145632</v>
      </c>
    </row>
    <row r="17" spans="3:10" x14ac:dyDescent="0.3">
      <c r="C17" s="20" t="s">
        <v>355</v>
      </c>
      <c r="D17" s="31">
        <v>114.85714285714286</v>
      </c>
    </row>
    <row r="18" spans="3:10" x14ac:dyDescent="0.3">
      <c r="C18" s="20" t="s">
        <v>356</v>
      </c>
      <c r="D18" s="31">
        <v>111.8</v>
      </c>
    </row>
    <row r="19" spans="3:10" x14ac:dyDescent="0.3">
      <c r="C19" s="20" t="s">
        <v>363</v>
      </c>
      <c r="D19" s="1">
        <v>150.58702064896755</v>
      </c>
    </row>
    <row r="25" spans="3:10" ht="18" x14ac:dyDescent="0.35">
      <c r="D25" s="21" t="s">
        <v>380</v>
      </c>
      <c r="E25" s="21"/>
      <c r="F25" s="21"/>
      <c r="G25" s="21"/>
      <c r="H25" s="21"/>
      <c r="I25" s="21"/>
      <c r="J25" s="21"/>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4387-B6B6-4A13-A61E-7485ADC7CBF2}">
  <sheetPr codeName="Sheet8"/>
  <dimension ref="A1:U301"/>
  <sheetViews>
    <sheetView topLeftCell="M1" workbookViewId="0">
      <pane ySplit="1" topLeftCell="A2" activePane="bottomLeft" state="frozen"/>
      <selection pane="bottomLeft" activeCell="E17" sqref="E17"/>
    </sheetView>
  </sheetViews>
  <sheetFormatPr defaultRowHeight="14.4" x14ac:dyDescent="0.3"/>
  <cols>
    <col min="3" max="3" width="11.21875" customWidth="1"/>
    <col min="16" max="16" width="15.44140625" bestFit="1" customWidth="1"/>
    <col min="17" max="17" width="16.88671875" bestFit="1" customWidth="1"/>
    <col min="20" max="20" width="12.5546875" bestFit="1" customWidth="1"/>
    <col min="21" max="21" width="23.5546875" bestFit="1" customWidth="1"/>
  </cols>
  <sheetData>
    <row r="1" spans="1:21" x14ac:dyDescent="0.3">
      <c r="A1" s="3" t="s">
        <v>0</v>
      </c>
      <c r="B1" s="4" t="s">
        <v>1</v>
      </c>
      <c r="C1" s="4" t="s">
        <v>2</v>
      </c>
      <c r="D1" s="4" t="s">
        <v>3</v>
      </c>
      <c r="E1" s="4" t="s">
        <v>4</v>
      </c>
      <c r="F1" s="4" t="s">
        <v>5</v>
      </c>
      <c r="G1" s="4" t="s">
        <v>6</v>
      </c>
      <c r="H1" s="4" t="s">
        <v>7</v>
      </c>
      <c r="I1" s="4" t="s">
        <v>8</v>
      </c>
      <c r="J1" s="4" t="s">
        <v>9</v>
      </c>
      <c r="K1" s="4" t="s">
        <v>10</v>
      </c>
      <c r="L1" s="4" t="s">
        <v>11</v>
      </c>
      <c r="M1" s="4" t="s">
        <v>357</v>
      </c>
      <c r="N1" s="4" t="s">
        <v>358</v>
      </c>
      <c r="O1" s="5" t="s">
        <v>12</v>
      </c>
      <c r="P1" s="4" t="s">
        <v>361</v>
      </c>
      <c r="Q1" s="4" t="s">
        <v>377</v>
      </c>
    </row>
    <row r="2" spans="1:21" x14ac:dyDescent="0.3">
      <c r="A2" s="6" t="s">
        <v>13</v>
      </c>
      <c r="B2" s="1" t="s">
        <v>14</v>
      </c>
      <c r="C2" s="7">
        <v>45649</v>
      </c>
      <c r="D2" s="1" t="s">
        <v>15</v>
      </c>
      <c r="E2" s="1" t="s">
        <v>16</v>
      </c>
      <c r="F2" s="1">
        <v>1461</v>
      </c>
      <c r="G2" s="1">
        <v>184</v>
      </c>
      <c r="H2" s="1">
        <v>344</v>
      </c>
      <c r="I2" s="1">
        <v>21915</v>
      </c>
      <c r="J2" s="1">
        <v>21675</v>
      </c>
      <c r="K2" s="1">
        <v>15</v>
      </c>
      <c r="L2" s="1" t="s">
        <v>48</v>
      </c>
      <c r="M2" s="1" t="s">
        <v>354</v>
      </c>
      <c r="N2" s="1" t="s">
        <v>359</v>
      </c>
      <c r="O2" s="8" t="s">
        <v>17</v>
      </c>
      <c r="P2" s="14">
        <f>(Table1_147[[#This Row],[Likes]]+Table1_147[[#This Row],[Shares]]+Table1_147[[#This Row],[Comments]])/Table1_147[[#This Row],[Impressions]]</f>
        <v>9.0759753593429152E-2</v>
      </c>
      <c r="Q2" s="33">
        <f>(Table1_147[[#This Row],[Likes]]+Table1_147[[#This Row],[Shares]]+Table1_147[[#This Row],[Comments]])</f>
        <v>1989</v>
      </c>
    </row>
    <row r="3" spans="1:21" x14ac:dyDescent="0.3">
      <c r="A3" s="6" t="s">
        <v>18</v>
      </c>
      <c r="B3" s="1" t="s">
        <v>14</v>
      </c>
      <c r="C3" s="7">
        <v>45750</v>
      </c>
      <c r="D3" s="1" t="s">
        <v>19</v>
      </c>
      <c r="E3" s="1" t="s">
        <v>20</v>
      </c>
      <c r="F3" s="1">
        <v>4054</v>
      </c>
      <c r="G3" s="1">
        <v>389</v>
      </c>
      <c r="H3" s="1">
        <v>493</v>
      </c>
      <c r="I3" s="1">
        <v>64864</v>
      </c>
      <c r="J3" s="1">
        <v>64383</v>
      </c>
      <c r="K3" s="1">
        <v>117</v>
      </c>
      <c r="L3" s="1" t="s">
        <v>25</v>
      </c>
      <c r="M3" s="1" t="s">
        <v>355</v>
      </c>
      <c r="N3" s="1" t="s">
        <v>359</v>
      </c>
      <c r="O3" s="8" t="s">
        <v>21</v>
      </c>
      <c r="P3" s="15">
        <f>(Table1_147[[#This Row],[Likes]]+Table1_147[[#This Row],[Shares]]+Table1_147[[#This Row],[Comments]])/Table1_147[[#This Row],[Impressions]]</f>
        <v>7.6097681302417369E-2</v>
      </c>
      <c r="Q3" s="1">
        <f>(Table1_147[[#This Row],[Likes]]+Table1_147[[#This Row],[Shares]]+Table1_147[[#This Row],[Comments]])</f>
        <v>4936</v>
      </c>
    </row>
    <row r="4" spans="1:21" x14ac:dyDescent="0.3">
      <c r="A4" s="6" t="s">
        <v>22</v>
      </c>
      <c r="B4" s="1" t="s">
        <v>23</v>
      </c>
      <c r="C4" s="7">
        <v>45789</v>
      </c>
      <c r="D4" s="1" t="s">
        <v>15</v>
      </c>
      <c r="E4" s="1" t="s">
        <v>24</v>
      </c>
      <c r="F4" s="1">
        <v>2795</v>
      </c>
      <c r="G4" s="1">
        <v>105</v>
      </c>
      <c r="H4" s="1">
        <v>49</v>
      </c>
      <c r="I4" s="1">
        <v>53105</v>
      </c>
      <c r="J4" s="1">
        <v>52307</v>
      </c>
      <c r="K4" s="1">
        <v>204</v>
      </c>
      <c r="L4" s="1" t="s">
        <v>25</v>
      </c>
      <c r="M4" s="1" t="s">
        <v>359</v>
      </c>
      <c r="N4" s="1" t="s">
        <v>359</v>
      </c>
      <c r="O4" s="8" t="s">
        <v>26</v>
      </c>
      <c r="P4" s="15">
        <f>(Table1_147[[#This Row],[Likes]]+Table1_147[[#This Row],[Shares]]+Table1_147[[#This Row],[Comments]])/Table1_147[[#This Row],[Impressions]]</f>
        <v>5.5531494209584788E-2</v>
      </c>
      <c r="Q4" s="1">
        <f>(Table1_147[[#This Row],[Likes]]+Table1_147[[#This Row],[Shares]]+Table1_147[[#This Row],[Comments]])</f>
        <v>2949</v>
      </c>
    </row>
    <row r="5" spans="1:21" ht="21" x14ac:dyDescent="0.4">
      <c r="A5" s="6" t="s">
        <v>27</v>
      </c>
      <c r="B5" s="1" t="s">
        <v>28</v>
      </c>
      <c r="C5" s="7">
        <v>45516</v>
      </c>
      <c r="D5" s="1" t="s">
        <v>29</v>
      </c>
      <c r="E5" s="1" t="s">
        <v>30</v>
      </c>
      <c r="F5" s="1">
        <v>2404</v>
      </c>
      <c r="G5" s="1">
        <v>363</v>
      </c>
      <c r="H5" s="1">
        <v>138</v>
      </c>
      <c r="I5" s="1">
        <v>19232</v>
      </c>
      <c r="J5" s="1">
        <v>18636</v>
      </c>
      <c r="K5" s="1">
        <v>128</v>
      </c>
      <c r="L5" s="1" t="s">
        <v>31</v>
      </c>
      <c r="M5" s="1" t="s">
        <v>359</v>
      </c>
      <c r="N5" s="1" t="s">
        <v>359</v>
      </c>
      <c r="O5" s="8" t="s">
        <v>32</v>
      </c>
      <c r="P5" s="15">
        <f>(Table1_147[[#This Row],[Likes]]+Table1_147[[#This Row],[Shares]]+Table1_147[[#This Row],[Comments]])/Table1_147[[#This Row],[Impressions]]</f>
        <v>0.15105033277870217</v>
      </c>
      <c r="Q5" s="1">
        <f>(Table1_147[[#This Row],[Likes]]+Table1_147[[#This Row],[Shares]]+Table1_147[[#This Row],[Comments]])</f>
        <v>2905</v>
      </c>
      <c r="T5" s="34" t="s">
        <v>379</v>
      </c>
    </row>
    <row r="6" spans="1:21" x14ac:dyDescent="0.3">
      <c r="A6" s="6" t="s">
        <v>33</v>
      </c>
      <c r="B6" s="1" t="s">
        <v>23</v>
      </c>
      <c r="C6" s="7">
        <v>45469</v>
      </c>
      <c r="D6" s="1" t="s">
        <v>15</v>
      </c>
      <c r="E6" s="1" t="s">
        <v>24</v>
      </c>
      <c r="F6" s="1">
        <v>3557</v>
      </c>
      <c r="G6" s="1">
        <v>687</v>
      </c>
      <c r="H6" s="1">
        <v>424</v>
      </c>
      <c r="I6" s="1">
        <v>71140</v>
      </c>
      <c r="J6" s="1">
        <v>70701</v>
      </c>
      <c r="K6" s="1">
        <v>224</v>
      </c>
      <c r="L6" s="1" t="s">
        <v>31</v>
      </c>
      <c r="M6" s="1" t="s">
        <v>25</v>
      </c>
      <c r="N6" s="1" t="s">
        <v>359</v>
      </c>
      <c r="O6" s="8" t="s">
        <v>17</v>
      </c>
      <c r="P6" s="15">
        <f>(Table1_147[[#This Row],[Likes]]+Table1_147[[#This Row],[Shares]]+Table1_147[[#This Row],[Comments]])/Table1_147[[#This Row],[Impressions]]</f>
        <v>6.5617093055946027E-2</v>
      </c>
      <c r="Q6" s="1">
        <f>(Table1_147[[#This Row],[Likes]]+Table1_147[[#This Row],[Shares]]+Table1_147[[#This Row],[Comments]])</f>
        <v>4668</v>
      </c>
    </row>
    <row r="7" spans="1:21" x14ac:dyDescent="0.3">
      <c r="A7" s="6" t="s">
        <v>34</v>
      </c>
      <c r="B7" s="1" t="s">
        <v>35</v>
      </c>
      <c r="C7" s="7">
        <v>45596</v>
      </c>
      <c r="D7" s="1" t="s">
        <v>36</v>
      </c>
      <c r="E7" s="1" t="s">
        <v>37</v>
      </c>
      <c r="F7" s="1">
        <v>2945</v>
      </c>
      <c r="G7" s="1">
        <v>930</v>
      </c>
      <c r="H7" s="1">
        <v>355</v>
      </c>
      <c r="I7" s="1">
        <v>23560</v>
      </c>
      <c r="J7" s="1">
        <v>23275</v>
      </c>
      <c r="K7" s="1">
        <v>256</v>
      </c>
      <c r="L7" s="1" t="s">
        <v>25</v>
      </c>
      <c r="M7" s="1" t="s">
        <v>359</v>
      </c>
      <c r="N7" s="1" t="s">
        <v>359</v>
      </c>
      <c r="O7" s="8" t="s">
        <v>21</v>
      </c>
      <c r="P7" s="15">
        <f>(Table1_147[[#This Row],[Likes]]+Table1_147[[#This Row],[Shares]]+Table1_147[[#This Row],[Comments]])/Table1_147[[#This Row],[Impressions]]</f>
        <v>0.17954159592529711</v>
      </c>
      <c r="Q7" s="1">
        <f>(Table1_147[[#This Row],[Likes]]+Table1_147[[#This Row],[Shares]]+Table1_147[[#This Row],[Comments]])</f>
        <v>4230</v>
      </c>
    </row>
    <row r="8" spans="1:21" x14ac:dyDescent="0.3">
      <c r="A8" s="6" t="s">
        <v>38</v>
      </c>
      <c r="B8" s="1" t="s">
        <v>14</v>
      </c>
      <c r="C8" s="7">
        <v>45467</v>
      </c>
      <c r="D8" s="1" t="s">
        <v>36</v>
      </c>
      <c r="E8" s="1" t="s">
        <v>39</v>
      </c>
      <c r="F8" s="1">
        <v>3860</v>
      </c>
      <c r="G8" s="1">
        <v>201</v>
      </c>
      <c r="H8" s="1">
        <v>279</v>
      </c>
      <c r="I8" s="1">
        <v>61760</v>
      </c>
      <c r="J8" s="1">
        <v>61660</v>
      </c>
      <c r="K8" s="1">
        <v>235</v>
      </c>
      <c r="L8" s="1" t="s">
        <v>25</v>
      </c>
      <c r="M8" s="1" t="s">
        <v>359</v>
      </c>
      <c r="N8" s="1" t="s">
        <v>359</v>
      </c>
      <c r="O8" s="8" t="s">
        <v>21</v>
      </c>
      <c r="P8" s="15">
        <f>(Table1_147[[#This Row],[Likes]]+Table1_147[[#This Row],[Shares]]+Table1_147[[#This Row],[Comments]])/Table1_147[[#This Row],[Impressions]]</f>
        <v>7.0272020725388601E-2</v>
      </c>
      <c r="Q8" s="1">
        <f>(Table1_147[[#This Row],[Likes]]+Table1_147[[#This Row],[Shares]]+Table1_147[[#This Row],[Comments]])</f>
        <v>4340</v>
      </c>
      <c r="T8" s="17" t="s">
        <v>362</v>
      </c>
      <c r="U8" s="1" t="s">
        <v>378</v>
      </c>
    </row>
    <row r="9" spans="1:21" x14ac:dyDescent="0.3">
      <c r="A9" s="6" t="s">
        <v>40</v>
      </c>
      <c r="B9" s="1" t="s">
        <v>23</v>
      </c>
      <c r="C9" s="7">
        <v>45486</v>
      </c>
      <c r="D9" s="1" t="s">
        <v>41</v>
      </c>
      <c r="E9" s="1" t="s">
        <v>42</v>
      </c>
      <c r="F9" s="1">
        <v>3929</v>
      </c>
      <c r="G9" s="1">
        <v>262</v>
      </c>
      <c r="H9" s="1">
        <v>278</v>
      </c>
      <c r="I9" s="1">
        <v>43219</v>
      </c>
      <c r="J9" s="1">
        <v>42841</v>
      </c>
      <c r="K9" s="1">
        <v>39</v>
      </c>
      <c r="L9" s="1" t="s">
        <v>31</v>
      </c>
      <c r="M9" s="1" t="s">
        <v>359</v>
      </c>
      <c r="N9" s="1" t="s">
        <v>359</v>
      </c>
      <c r="O9" s="8" t="s">
        <v>32</v>
      </c>
      <c r="P9" s="15">
        <f>(Table1_147[[#This Row],[Likes]]+Table1_147[[#This Row],[Shares]]+Table1_147[[#This Row],[Comments]])/Table1_147[[#This Row],[Impressions]]</f>
        <v>0.10340359564080613</v>
      </c>
      <c r="Q9" s="1">
        <f>(Table1_147[[#This Row],[Likes]]+Table1_147[[#This Row],[Shares]]+Table1_147[[#This Row],[Comments]])</f>
        <v>4469</v>
      </c>
      <c r="T9" s="18" t="s">
        <v>35</v>
      </c>
      <c r="U9" s="35">
        <v>305242</v>
      </c>
    </row>
    <row r="10" spans="1:21" x14ac:dyDescent="0.3">
      <c r="A10" s="6" t="s">
        <v>43</v>
      </c>
      <c r="B10" s="1" t="s">
        <v>35</v>
      </c>
      <c r="C10" s="7">
        <v>45534</v>
      </c>
      <c r="D10" s="1" t="s">
        <v>19</v>
      </c>
      <c r="E10" s="1" t="s">
        <v>44</v>
      </c>
      <c r="F10" s="1">
        <v>3784</v>
      </c>
      <c r="G10" s="1">
        <v>808</v>
      </c>
      <c r="H10" s="1">
        <v>404</v>
      </c>
      <c r="I10" s="1">
        <v>56760</v>
      </c>
      <c r="J10" s="1">
        <v>56343</v>
      </c>
      <c r="K10" s="1">
        <v>131</v>
      </c>
      <c r="L10" s="1" t="s">
        <v>25</v>
      </c>
      <c r="M10" s="1" t="s">
        <v>359</v>
      </c>
      <c r="N10" s="1" t="s">
        <v>359</v>
      </c>
      <c r="O10" s="8" t="s">
        <v>21</v>
      </c>
      <c r="P10" s="15">
        <f>(Table1_147[[#This Row],[Likes]]+Table1_147[[#This Row],[Shares]]+Table1_147[[#This Row],[Comments]])/Table1_147[[#This Row],[Impressions]]</f>
        <v>8.8019732205778717E-2</v>
      </c>
      <c r="Q10" s="1">
        <f>(Table1_147[[#This Row],[Likes]]+Table1_147[[#This Row],[Shares]]+Table1_147[[#This Row],[Comments]])</f>
        <v>4996</v>
      </c>
      <c r="T10" s="20" t="s">
        <v>28</v>
      </c>
      <c r="U10" s="1">
        <v>263579</v>
      </c>
    </row>
    <row r="11" spans="1:21" x14ac:dyDescent="0.3">
      <c r="A11" s="6" t="s">
        <v>45</v>
      </c>
      <c r="B11" s="1" t="s">
        <v>35</v>
      </c>
      <c r="C11" s="7">
        <v>45727</v>
      </c>
      <c r="D11" s="1" t="s">
        <v>41</v>
      </c>
      <c r="E11" s="1" t="s">
        <v>46</v>
      </c>
      <c r="F11" s="1">
        <v>4241</v>
      </c>
      <c r="G11" s="1">
        <v>902</v>
      </c>
      <c r="H11" s="1">
        <v>47</v>
      </c>
      <c r="I11" s="1">
        <v>72097</v>
      </c>
      <c r="J11" s="1">
        <v>71598</v>
      </c>
      <c r="K11" s="1">
        <v>167</v>
      </c>
      <c r="L11" s="1" t="s">
        <v>25</v>
      </c>
      <c r="M11" s="1" t="s">
        <v>359</v>
      </c>
      <c r="N11" s="1" t="s">
        <v>359</v>
      </c>
      <c r="O11" s="8" t="s">
        <v>21</v>
      </c>
      <c r="P11" s="15">
        <f>(Table1_147[[#This Row],[Likes]]+Table1_147[[#This Row],[Shares]]+Table1_147[[#This Row],[Comments]])/Table1_147[[#This Row],[Impressions]]</f>
        <v>7.198635172059864E-2</v>
      </c>
      <c r="Q11" s="1">
        <f>(Table1_147[[#This Row],[Likes]]+Table1_147[[#This Row],[Shares]]+Table1_147[[#This Row],[Comments]])</f>
        <v>5190</v>
      </c>
      <c r="T11" s="20" t="s">
        <v>14</v>
      </c>
      <c r="U11" s="1">
        <v>256005</v>
      </c>
    </row>
    <row r="12" spans="1:21" x14ac:dyDescent="0.3">
      <c r="A12" s="6" t="s">
        <v>47</v>
      </c>
      <c r="B12" s="1" t="s">
        <v>28</v>
      </c>
      <c r="C12" s="7">
        <v>45690</v>
      </c>
      <c r="D12" s="1" t="s">
        <v>29</v>
      </c>
      <c r="E12" s="1" t="s">
        <v>30</v>
      </c>
      <c r="F12" s="1">
        <v>1792</v>
      </c>
      <c r="G12" s="1">
        <v>614</v>
      </c>
      <c r="H12" s="1">
        <v>497</v>
      </c>
      <c r="I12" s="1">
        <v>25088</v>
      </c>
      <c r="J12" s="1">
        <v>24675</v>
      </c>
      <c r="K12" s="1">
        <v>65</v>
      </c>
      <c r="L12" s="1" t="s">
        <v>48</v>
      </c>
      <c r="M12" s="1" t="s">
        <v>359</v>
      </c>
      <c r="N12" s="1" t="s">
        <v>359</v>
      </c>
      <c r="O12" s="8" t="s">
        <v>32</v>
      </c>
      <c r="P12" s="15">
        <f>(Table1_147[[#This Row],[Likes]]+Table1_147[[#This Row],[Shares]]+Table1_147[[#This Row],[Comments]])/Table1_147[[#This Row],[Impressions]]</f>
        <v>0.11571269132653061</v>
      </c>
      <c r="Q12" s="1">
        <f>(Table1_147[[#This Row],[Likes]]+Table1_147[[#This Row],[Shares]]+Table1_147[[#This Row],[Comments]])</f>
        <v>2903</v>
      </c>
      <c r="T12" s="20" t="s">
        <v>23</v>
      </c>
      <c r="U12" s="1">
        <v>212941</v>
      </c>
    </row>
    <row r="13" spans="1:21" x14ac:dyDescent="0.3">
      <c r="A13" s="6" t="s">
        <v>49</v>
      </c>
      <c r="B13" s="1" t="s">
        <v>35</v>
      </c>
      <c r="C13" s="7">
        <v>45494</v>
      </c>
      <c r="D13" s="1" t="s">
        <v>15</v>
      </c>
      <c r="E13" s="1" t="s">
        <v>50</v>
      </c>
      <c r="F13" s="1">
        <v>1946</v>
      </c>
      <c r="G13" s="1">
        <v>686</v>
      </c>
      <c r="H13" s="1">
        <v>377</v>
      </c>
      <c r="I13" s="1">
        <v>23352</v>
      </c>
      <c r="J13" s="1">
        <v>22982</v>
      </c>
      <c r="K13" s="1">
        <v>213</v>
      </c>
      <c r="L13" s="1" t="s">
        <v>48</v>
      </c>
      <c r="M13" s="1" t="s">
        <v>359</v>
      </c>
      <c r="N13" s="1" t="s">
        <v>359</v>
      </c>
      <c r="O13" s="8" t="s">
        <v>26</v>
      </c>
      <c r="P13" s="15">
        <f>(Table1_147[[#This Row],[Likes]]+Table1_147[[#This Row],[Shares]]+Table1_147[[#This Row],[Comments]])/Table1_147[[#This Row],[Impressions]]</f>
        <v>0.12885405960945528</v>
      </c>
      <c r="Q13" s="1">
        <f>(Table1_147[[#This Row],[Likes]]+Table1_147[[#This Row],[Shares]]+Table1_147[[#This Row],[Comments]])</f>
        <v>3009</v>
      </c>
      <c r="T13" s="20" t="s">
        <v>363</v>
      </c>
      <c r="U13" s="1">
        <v>1037767</v>
      </c>
    </row>
    <row r="14" spans="1:21" x14ac:dyDescent="0.3">
      <c r="A14" s="6" t="s">
        <v>51</v>
      </c>
      <c r="B14" s="1" t="s">
        <v>23</v>
      </c>
      <c r="C14" s="7">
        <v>45614</v>
      </c>
      <c r="D14" s="1" t="s">
        <v>36</v>
      </c>
      <c r="E14" s="1" t="s">
        <v>52</v>
      </c>
      <c r="F14" s="1">
        <v>1171</v>
      </c>
      <c r="G14" s="1">
        <v>286</v>
      </c>
      <c r="H14" s="1">
        <v>231</v>
      </c>
      <c r="I14" s="1">
        <v>22249</v>
      </c>
      <c r="J14" s="1">
        <v>21282</v>
      </c>
      <c r="K14" s="1">
        <v>114</v>
      </c>
      <c r="L14" s="1" t="s">
        <v>31</v>
      </c>
      <c r="M14" s="1" t="s">
        <v>359</v>
      </c>
      <c r="N14" s="1" t="s">
        <v>359</v>
      </c>
      <c r="O14" s="8" t="s">
        <v>17</v>
      </c>
      <c r="P14" s="15">
        <f>(Table1_147[[#This Row],[Likes]]+Table1_147[[#This Row],[Shares]]+Table1_147[[#This Row],[Comments]])/Table1_147[[#This Row],[Impressions]]</f>
        <v>7.5868578363072495E-2</v>
      </c>
      <c r="Q14" s="1">
        <f>(Table1_147[[#This Row],[Likes]]+Table1_147[[#This Row],[Shares]]+Table1_147[[#This Row],[Comments]])</f>
        <v>1688</v>
      </c>
    </row>
    <row r="15" spans="1:21" x14ac:dyDescent="0.3">
      <c r="A15" s="6" t="s">
        <v>53</v>
      </c>
      <c r="B15" s="1" t="s">
        <v>35</v>
      </c>
      <c r="C15" s="7">
        <v>45704</v>
      </c>
      <c r="D15" s="1" t="s">
        <v>29</v>
      </c>
      <c r="E15" s="1" t="s">
        <v>54</v>
      </c>
      <c r="F15" s="1">
        <v>4242</v>
      </c>
      <c r="G15" s="1">
        <v>555</v>
      </c>
      <c r="H15" s="1">
        <v>131</v>
      </c>
      <c r="I15" s="1">
        <v>33936</v>
      </c>
      <c r="J15" s="1">
        <v>33802</v>
      </c>
      <c r="K15" s="1">
        <v>265</v>
      </c>
      <c r="L15" s="1" t="s">
        <v>48</v>
      </c>
      <c r="M15" s="1" t="s">
        <v>359</v>
      </c>
      <c r="N15" s="1" t="s">
        <v>359</v>
      </c>
      <c r="O15" s="8" t="s">
        <v>360</v>
      </c>
      <c r="P15" s="15">
        <f>(Table1_147[[#This Row],[Likes]]+Table1_147[[#This Row],[Shares]]+Table1_147[[#This Row],[Comments]])/Table1_147[[#This Row],[Impressions]]</f>
        <v>0.14521452145214522</v>
      </c>
      <c r="Q15" s="1">
        <f>(Table1_147[[#This Row],[Likes]]+Table1_147[[#This Row],[Shares]]+Table1_147[[#This Row],[Comments]])</f>
        <v>4928</v>
      </c>
    </row>
    <row r="16" spans="1:21" x14ac:dyDescent="0.3">
      <c r="A16" s="6" t="s">
        <v>55</v>
      </c>
      <c r="B16" s="1" t="s">
        <v>35</v>
      </c>
      <c r="C16" s="7">
        <v>45589</v>
      </c>
      <c r="D16" s="1" t="s">
        <v>56</v>
      </c>
      <c r="E16" s="1" t="s">
        <v>57</v>
      </c>
      <c r="F16" s="1">
        <v>3888</v>
      </c>
      <c r="G16" s="1">
        <v>604</v>
      </c>
      <c r="H16" s="1">
        <v>128</v>
      </c>
      <c r="I16" s="1">
        <v>77760</v>
      </c>
      <c r="J16" s="1">
        <v>77167</v>
      </c>
      <c r="K16" s="1">
        <v>20</v>
      </c>
      <c r="L16" s="1" t="s">
        <v>48</v>
      </c>
      <c r="M16" s="1" t="s">
        <v>359</v>
      </c>
      <c r="N16" s="1" t="s">
        <v>359</v>
      </c>
      <c r="O16" s="8" t="s">
        <v>17</v>
      </c>
      <c r="P16" s="15">
        <f>(Table1_147[[#This Row],[Likes]]+Table1_147[[#This Row],[Shares]]+Table1_147[[#This Row],[Comments]])/Table1_147[[#This Row],[Impressions]]</f>
        <v>5.941358024691358E-2</v>
      </c>
      <c r="Q16" s="1">
        <f>(Table1_147[[#This Row],[Likes]]+Table1_147[[#This Row],[Shares]]+Table1_147[[#This Row],[Comments]])</f>
        <v>4620</v>
      </c>
    </row>
    <row r="17" spans="1:17" x14ac:dyDescent="0.3">
      <c r="A17" s="6" t="s">
        <v>58</v>
      </c>
      <c r="B17" s="1" t="s">
        <v>35</v>
      </c>
      <c r="C17" s="7">
        <v>45530</v>
      </c>
      <c r="D17" s="1" t="s">
        <v>19</v>
      </c>
      <c r="E17" s="1" t="s">
        <v>44</v>
      </c>
      <c r="F17" s="1">
        <v>3452</v>
      </c>
      <c r="G17" s="1">
        <v>377</v>
      </c>
      <c r="H17" s="1">
        <v>360</v>
      </c>
      <c r="I17" s="1">
        <v>55232</v>
      </c>
      <c r="J17" s="1">
        <v>55075</v>
      </c>
      <c r="K17" s="1">
        <v>87</v>
      </c>
      <c r="L17" s="1" t="s">
        <v>48</v>
      </c>
      <c r="M17" s="1" t="s">
        <v>359</v>
      </c>
      <c r="N17" s="1" t="s">
        <v>359</v>
      </c>
      <c r="O17" s="8" t="s">
        <v>26</v>
      </c>
      <c r="P17" s="15">
        <f>(Table1_147[[#This Row],[Likes]]+Table1_147[[#This Row],[Shares]]+Table1_147[[#This Row],[Comments]])/Table1_147[[#This Row],[Impressions]]</f>
        <v>7.5843713789107758E-2</v>
      </c>
      <c r="Q17" s="1">
        <f>(Table1_147[[#This Row],[Likes]]+Table1_147[[#This Row],[Shares]]+Table1_147[[#This Row],[Comments]])</f>
        <v>4189</v>
      </c>
    </row>
    <row r="18" spans="1:17" x14ac:dyDescent="0.3">
      <c r="A18" s="6" t="s">
        <v>59</v>
      </c>
      <c r="B18" s="1" t="s">
        <v>35</v>
      </c>
      <c r="C18" s="7">
        <v>45782</v>
      </c>
      <c r="D18" s="1" t="s">
        <v>19</v>
      </c>
      <c r="E18" s="1" t="s">
        <v>44</v>
      </c>
      <c r="F18" s="1">
        <v>4441</v>
      </c>
      <c r="G18" s="1">
        <v>511</v>
      </c>
      <c r="H18" s="1">
        <v>70</v>
      </c>
      <c r="I18" s="1">
        <v>53292</v>
      </c>
      <c r="J18" s="1">
        <v>53082</v>
      </c>
      <c r="K18" s="1">
        <v>159</v>
      </c>
      <c r="L18" s="1" t="s">
        <v>31</v>
      </c>
      <c r="M18" s="1" t="s">
        <v>359</v>
      </c>
      <c r="N18" s="1" t="s">
        <v>359</v>
      </c>
      <c r="O18" s="8" t="s">
        <v>32</v>
      </c>
      <c r="P18" s="15">
        <f>(Table1_147[[#This Row],[Likes]]+Table1_147[[#This Row],[Shares]]+Table1_147[[#This Row],[Comments]])/Table1_147[[#This Row],[Impressions]]</f>
        <v>9.4235532537716729E-2</v>
      </c>
      <c r="Q18" s="1">
        <f>(Table1_147[[#This Row],[Likes]]+Table1_147[[#This Row],[Shares]]+Table1_147[[#This Row],[Comments]])</f>
        <v>5022</v>
      </c>
    </row>
    <row r="19" spans="1:17" x14ac:dyDescent="0.3">
      <c r="A19" s="6" t="s">
        <v>60</v>
      </c>
      <c r="B19" s="1" t="s">
        <v>28</v>
      </c>
      <c r="C19" s="7">
        <v>45523</v>
      </c>
      <c r="D19" s="1" t="s">
        <v>15</v>
      </c>
      <c r="E19" s="1" t="s">
        <v>61</v>
      </c>
      <c r="F19" s="1">
        <v>3000</v>
      </c>
      <c r="G19" s="1">
        <v>382</v>
      </c>
      <c r="H19" s="1">
        <v>325</v>
      </c>
      <c r="I19" s="1">
        <v>36000</v>
      </c>
      <c r="J19" s="1">
        <v>35819</v>
      </c>
      <c r="K19" s="1">
        <v>19</v>
      </c>
      <c r="L19" s="1" t="s">
        <v>48</v>
      </c>
      <c r="M19" s="1" t="s">
        <v>359</v>
      </c>
      <c r="N19" s="1" t="s">
        <v>359</v>
      </c>
      <c r="O19" s="8" t="s">
        <v>17</v>
      </c>
      <c r="P19" s="15">
        <f>(Table1_147[[#This Row],[Likes]]+Table1_147[[#This Row],[Shares]]+Table1_147[[#This Row],[Comments]])/Table1_147[[#This Row],[Impressions]]</f>
        <v>0.10297222222222223</v>
      </c>
      <c r="Q19" s="1">
        <f>(Table1_147[[#This Row],[Likes]]+Table1_147[[#This Row],[Shares]]+Table1_147[[#This Row],[Comments]])</f>
        <v>3707</v>
      </c>
    </row>
    <row r="20" spans="1:17" x14ac:dyDescent="0.3">
      <c r="A20" s="6" t="s">
        <v>62</v>
      </c>
      <c r="B20" s="1" t="s">
        <v>28</v>
      </c>
      <c r="C20" s="7">
        <v>45466</v>
      </c>
      <c r="D20" s="1" t="s">
        <v>56</v>
      </c>
      <c r="E20" s="1" t="s">
        <v>63</v>
      </c>
      <c r="F20" s="1">
        <v>1071</v>
      </c>
      <c r="G20" s="1">
        <v>519</v>
      </c>
      <c r="H20" s="1">
        <v>22</v>
      </c>
      <c r="I20" s="1">
        <v>16065</v>
      </c>
      <c r="J20" s="1">
        <v>15865</v>
      </c>
      <c r="K20" s="1">
        <v>103</v>
      </c>
      <c r="L20" s="1" t="s">
        <v>25</v>
      </c>
      <c r="M20" s="1" t="s">
        <v>359</v>
      </c>
      <c r="N20" s="1" t="s">
        <v>359</v>
      </c>
      <c r="O20" s="8" t="s">
        <v>32</v>
      </c>
      <c r="P20" s="15">
        <f>(Table1_147[[#This Row],[Likes]]+Table1_147[[#This Row],[Shares]]+Table1_147[[#This Row],[Comments]])/Table1_147[[#This Row],[Impressions]]</f>
        <v>0.10034235916588857</v>
      </c>
      <c r="Q20" s="1">
        <f>(Table1_147[[#This Row],[Likes]]+Table1_147[[#This Row],[Shares]]+Table1_147[[#This Row],[Comments]])</f>
        <v>1612</v>
      </c>
    </row>
    <row r="21" spans="1:17" x14ac:dyDescent="0.3">
      <c r="A21" s="6" t="s">
        <v>64</v>
      </c>
      <c r="B21" s="1" t="s">
        <v>28</v>
      </c>
      <c r="C21" s="7">
        <v>45544</v>
      </c>
      <c r="D21" s="1" t="s">
        <v>36</v>
      </c>
      <c r="E21" s="1" t="s">
        <v>65</v>
      </c>
      <c r="F21" s="1">
        <v>4054</v>
      </c>
      <c r="G21" s="1">
        <v>488</v>
      </c>
      <c r="H21" s="1">
        <v>373</v>
      </c>
      <c r="I21" s="1">
        <v>77026</v>
      </c>
      <c r="J21" s="1">
        <v>76881</v>
      </c>
      <c r="K21" s="1">
        <v>25</v>
      </c>
      <c r="L21" s="1" t="s">
        <v>25</v>
      </c>
      <c r="M21" s="1" t="s">
        <v>359</v>
      </c>
      <c r="N21" s="1" t="s">
        <v>359</v>
      </c>
      <c r="O21" s="8" t="s">
        <v>17</v>
      </c>
      <c r="P21" s="15">
        <f>(Table1_147[[#This Row],[Likes]]+Table1_147[[#This Row],[Shares]]+Table1_147[[#This Row],[Comments]])/Table1_147[[#This Row],[Impressions]]</f>
        <v>6.3809622724794221E-2</v>
      </c>
      <c r="Q21" s="1">
        <f>(Table1_147[[#This Row],[Likes]]+Table1_147[[#This Row],[Shares]]+Table1_147[[#This Row],[Comments]])</f>
        <v>4915</v>
      </c>
    </row>
    <row r="22" spans="1:17" x14ac:dyDescent="0.3">
      <c r="A22" s="6" t="s">
        <v>66</v>
      </c>
      <c r="B22" s="1" t="s">
        <v>28</v>
      </c>
      <c r="C22" s="7">
        <v>45661</v>
      </c>
      <c r="D22" s="1" t="s">
        <v>15</v>
      </c>
      <c r="E22" s="1" t="s">
        <v>61</v>
      </c>
      <c r="F22" s="1">
        <v>4838</v>
      </c>
      <c r="G22" s="1">
        <v>640</v>
      </c>
      <c r="H22" s="1">
        <v>128</v>
      </c>
      <c r="I22" s="1">
        <v>72570</v>
      </c>
      <c r="J22" s="1">
        <v>72396</v>
      </c>
      <c r="K22" s="1">
        <v>83</v>
      </c>
      <c r="L22" s="1" t="s">
        <v>48</v>
      </c>
      <c r="M22" s="1" t="s">
        <v>359</v>
      </c>
      <c r="N22" s="1" t="s">
        <v>359</v>
      </c>
      <c r="O22" s="8" t="s">
        <v>32</v>
      </c>
      <c r="P22" s="15">
        <f>(Table1_147[[#This Row],[Likes]]+Table1_147[[#This Row],[Shares]]+Table1_147[[#This Row],[Comments]])/Table1_147[[#This Row],[Impressions]]</f>
        <v>7.7249552156538517E-2</v>
      </c>
      <c r="Q22" s="1">
        <f>(Table1_147[[#This Row],[Likes]]+Table1_147[[#This Row],[Shares]]+Table1_147[[#This Row],[Comments]])</f>
        <v>5606</v>
      </c>
    </row>
    <row r="23" spans="1:17" x14ac:dyDescent="0.3">
      <c r="A23" s="6" t="s">
        <v>67</v>
      </c>
      <c r="B23" s="1" t="s">
        <v>35</v>
      </c>
      <c r="C23" s="7">
        <v>45715</v>
      </c>
      <c r="D23" s="1" t="s">
        <v>19</v>
      </c>
      <c r="E23" s="1" t="s">
        <v>44</v>
      </c>
      <c r="F23" s="1">
        <v>1570</v>
      </c>
      <c r="G23" s="1">
        <v>187</v>
      </c>
      <c r="H23" s="1">
        <v>260</v>
      </c>
      <c r="I23" s="1">
        <v>25120</v>
      </c>
      <c r="J23" s="1">
        <v>24613</v>
      </c>
      <c r="K23" s="1">
        <v>133</v>
      </c>
      <c r="L23" s="1" t="s">
        <v>25</v>
      </c>
      <c r="M23" s="1" t="s">
        <v>359</v>
      </c>
      <c r="N23" s="1" t="s">
        <v>359</v>
      </c>
      <c r="O23" s="8" t="s">
        <v>32</v>
      </c>
      <c r="P23" s="15">
        <f>(Table1_147[[#This Row],[Likes]]+Table1_147[[#This Row],[Shares]]+Table1_147[[#This Row],[Comments]])/Table1_147[[#This Row],[Impressions]]</f>
        <v>8.0294585987261149E-2</v>
      </c>
      <c r="Q23" s="1">
        <f>(Table1_147[[#This Row],[Likes]]+Table1_147[[#This Row],[Shares]]+Table1_147[[#This Row],[Comments]])</f>
        <v>2017</v>
      </c>
    </row>
    <row r="24" spans="1:17" x14ac:dyDescent="0.3">
      <c r="A24" s="6" t="s">
        <v>68</v>
      </c>
      <c r="B24" s="1" t="s">
        <v>35</v>
      </c>
      <c r="C24" s="7">
        <v>45602</v>
      </c>
      <c r="D24" s="1" t="s">
        <v>56</v>
      </c>
      <c r="E24" s="1" t="s">
        <v>57</v>
      </c>
      <c r="F24" s="1">
        <v>1606</v>
      </c>
      <c r="G24" s="1">
        <v>547</v>
      </c>
      <c r="H24" s="1">
        <v>316</v>
      </c>
      <c r="I24" s="1">
        <v>32120</v>
      </c>
      <c r="J24" s="1">
        <v>31736</v>
      </c>
      <c r="K24" s="1">
        <v>225</v>
      </c>
      <c r="L24" s="1" t="s">
        <v>25</v>
      </c>
      <c r="M24" s="1" t="s">
        <v>354</v>
      </c>
      <c r="N24" s="1" t="s">
        <v>359</v>
      </c>
      <c r="O24" s="8" t="s">
        <v>21</v>
      </c>
      <c r="P24" s="15">
        <f>(Table1_147[[#This Row],[Likes]]+Table1_147[[#This Row],[Shares]]+Table1_147[[#This Row],[Comments]])/Table1_147[[#This Row],[Impressions]]</f>
        <v>7.6867995018679955E-2</v>
      </c>
      <c r="Q24" s="1">
        <f>(Table1_147[[#This Row],[Likes]]+Table1_147[[#This Row],[Shares]]+Table1_147[[#This Row],[Comments]])</f>
        <v>2469</v>
      </c>
    </row>
    <row r="25" spans="1:17" x14ac:dyDescent="0.3">
      <c r="A25" s="6" t="s">
        <v>69</v>
      </c>
      <c r="B25" s="1" t="s">
        <v>35</v>
      </c>
      <c r="C25" s="7">
        <v>45680</v>
      </c>
      <c r="D25" s="1" t="s">
        <v>56</v>
      </c>
      <c r="E25" s="1" t="s">
        <v>57</v>
      </c>
      <c r="F25" s="1">
        <v>3961</v>
      </c>
      <c r="G25" s="1">
        <v>761</v>
      </c>
      <c r="H25" s="1">
        <v>131</v>
      </c>
      <c r="I25" s="1">
        <v>67337</v>
      </c>
      <c r="J25" s="1">
        <v>66615</v>
      </c>
      <c r="K25" s="1">
        <v>161</v>
      </c>
      <c r="L25" s="1" t="s">
        <v>48</v>
      </c>
      <c r="M25" s="1" t="s">
        <v>359</v>
      </c>
      <c r="N25" s="1" t="s">
        <v>359</v>
      </c>
      <c r="O25" s="8" t="s">
        <v>26</v>
      </c>
      <c r="P25" s="15">
        <f>(Table1_147[[#This Row],[Likes]]+Table1_147[[#This Row],[Shares]]+Table1_147[[#This Row],[Comments]])/Table1_147[[#This Row],[Impressions]]</f>
        <v>7.2070332803659209E-2</v>
      </c>
      <c r="Q25" s="1">
        <f>(Table1_147[[#This Row],[Likes]]+Table1_147[[#This Row],[Shares]]+Table1_147[[#This Row],[Comments]])</f>
        <v>4853</v>
      </c>
    </row>
    <row r="26" spans="1:17" x14ac:dyDescent="0.3">
      <c r="A26" s="6" t="s">
        <v>70</v>
      </c>
      <c r="B26" s="1" t="s">
        <v>14</v>
      </c>
      <c r="C26" s="7">
        <v>45757</v>
      </c>
      <c r="D26" s="1" t="s">
        <v>36</v>
      </c>
      <c r="E26" s="1" t="s">
        <v>39</v>
      </c>
      <c r="F26" s="1">
        <v>3128</v>
      </c>
      <c r="G26" s="1">
        <v>211</v>
      </c>
      <c r="H26" s="1">
        <v>197</v>
      </c>
      <c r="I26" s="1">
        <v>59432</v>
      </c>
      <c r="J26" s="1">
        <v>59182</v>
      </c>
      <c r="K26" s="1">
        <v>238</v>
      </c>
      <c r="L26" s="1" t="s">
        <v>31</v>
      </c>
      <c r="M26" s="1" t="s">
        <v>359</v>
      </c>
      <c r="N26" s="1" t="s">
        <v>359</v>
      </c>
      <c r="O26" s="8" t="s">
        <v>360</v>
      </c>
      <c r="P26" s="15">
        <f>(Table1_147[[#This Row],[Likes]]+Table1_147[[#This Row],[Shares]]+Table1_147[[#This Row],[Comments]])/Table1_147[[#This Row],[Impressions]]</f>
        <v>5.9496567505720827E-2</v>
      </c>
      <c r="Q26" s="1">
        <f>(Table1_147[[#This Row],[Likes]]+Table1_147[[#This Row],[Shares]]+Table1_147[[#This Row],[Comments]])</f>
        <v>3536</v>
      </c>
    </row>
    <row r="27" spans="1:17" x14ac:dyDescent="0.3">
      <c r="A27" s="6" t="s">
        <v>71</v>
      </c>
      <c r="B27" s="1" t="s">
        <v>23</v>
      </c>
      <c r="C27" s="7">
        <v>45752</v>
      </c>
      <c r="D27" s="1" t="s">
        <v>15</v>
      </c>
      <c r="E27" s="1" t="s">
        <v>24</v>
      </c>
      <c r="F27" s="1">
        <v>3009</v>
      </c>
      <c r="G27" s="1">
        <v>413</v>
      </c>
      <c r="H27" s="1">
        <v>358</v>
      </c>
      <c r="I27" s="1">
        <v>42126</v>
      </c>
      <c r="J27" s="1">
        <v>41309</v>
      </c>
      <c r="K27" s="1">
        <v>211</v>
      </c>
      <c r="L27" s="1" t="s">
        <v>48</v>
      </c>
      <c r="M27" s="1" t="s">
        <v>359</v>
      </c>
      <c r="N27" s="1" t="s">
        <v>359</v>
      </c>
      <c r="O27" s="8" t="s">
        <v>21</v>
      </c>
      <c r="P27" s="15">
        <f>(Table1_147[[#This Row],[Likes]]+Table1_147[[#This Row],[Shares]]+Table1_147[[#This Row],[Comments]])/Table1_147[[#This Row],[Impressions]]</f>
        <v>8.9730807577268201E-2</v>
      </c>
      <c r="Q27" s="1">
        <f>(Table1_147[[#This Row],[Likes]]+Table1_147[[#This Row],[Shares]]+Table1_147[[#This Row],[Comments]])</f>
        <v>3780</v>
      </c>
    </row>
    <row r="28" spans="1:17" x14ac:dyDescent="0.3">
      <c r="A28" s="6" t="s">
        <v>72</v>
      </c>
      <c r="B28" s="1" t="s">
        <v>23</v>
      </c>
      <c r="C28" s="7">
        <v>45552</v>
      </c>
      <c r="D28" s="1" t="s">
        <v>19</v>
      </c>
      <c r="E28" s="1" t="s">
        <v>73</v>
      </c>
      <c r="F28" s="1">
        <v>2076</v>
      </c>
      <c r="G28" s="1">
        <v>195</v>
      </c>
      <c r="H28" s="1">
        <v>104</v>
      </c>
      <c r="I28" s="1">
        <v>33216</v>
      </c>
      <c r="J28" s="1">
        <v>32244</v>
      </c>
      <c r="K28" s="1">
        <v>51</v>
      </c>
      <c r="L28" s="1" t="s">
        <v>48</v>
      </c>
      <c r="M28" s="1" t="s">
        <v>359</v>
      </c>
      <c r="N28" s="1" t="s">
        <v>359</v>
      </c>
      <c r="O28" s="8" t="s">
        <v>32</v>
      </c>
      <c r="P28" s="15">
        <f>(Table1_147[[#This Row],[Likes]]+Table1_147[[#This Row],[Shares]]+Table1_147[[#This Row],[Comments]])/Table1_147[[#This Row],[Impressions]]</f>
        <v>7.1501685934489398E-2</v>
      </c>
      <c r="Q28" s="1">
        <f>(Table1_147[[#This Row],[Likes]]+Table1_147[[#This Row],[Shares]]+Table1_147[[#This Row],[Comments]])</f>
        <v>2375</v>
      </c>
    </row>
    <row r="29" spans="1:17" x14ac:dyDescent="0.3">
      <c r="A29" s="6" t="s">
        <v>74</v>
      </c>
      <c r="B29" s="1" t="s">
        <v>28</v>
      </c>
      <c r="C29" s="7">
        <v>45720</v>
      </c>
      <c r="D29" s="1" t="s">
        <v>56</v>
      </c>
      <c r="E29" s="1" t="s">
        <v>63</v>
      </c>
      <c r="F29" s="1">
        <v>432</v>
      </c>
      <c r="G29" s="1">
        <v>624</v>
      </c>
      <c r="H29" s="1">
        <v>123</v>
      </c>
      <c r="I29" s="1">
        <v>6912</v>
      </c>
      <c r="J29" s="1">
        <v>6259</v>
      </c>
      <c r="K29" s="1">
        <v>79</v>
      </c>
      <c r="L29" s="1" t="s">
        <v>48</v>
      </c>
      <c r="M29" s="1" t="s">
        <v>359</v>
      </c>
      <c r="N29" s="1" t="s">
        <v>359</v>
      </c>
      <c r="O29" s="8" t="s">
        <v>32</v>
      </c>
      <c r="P29" s="15">
        <f>(Table1_147[[#This Row],[Likes]]+Table1_147[[#This Row],[Shares]]+Table1_147[[#This Row],[Comments]])/Table1_147[[#This Row],[Impressions]]</f>
        <v>0.17057291666666666</v>
      </c>
      <c r="Q29" s="1">
        <f>(Table1_147[[#This Row],[Likes]]+Table1_147[[#This Row],[Shares]]+Table1_147[[#This Row],[Comments]])</f>
        <v>1179</v>
      </c>
    </row>
    <row r="30" spans="1:17" x14ac:dyDescent="0.3">
      <c r="A30" s="6" t="s">
        <v>75</v>
      </c>
      <c r="B30" s="1" t="s">
        <v>28</v>
      </c>
      <c r="C30" s="7">
        <v>45688</v>
      </c>
      <c r="D30" s="1" t="s">
        <v>36</v>
      </c>
      <c r="E30" s="1" t="s">
        <v>65</v>
      </c>
      <c r="F30" s="1">
        <v>2566</v>
      </c>
      <c r="G30" s="1">
        <v>118</v>
      </c>
      <c r="H30" s="1">
        <v>37</v>
      </c>
      <c r="I30" s="1">
        <v>12830</v>
      </c>
      <c r="J30" s="1">
        <v>12264</v>
      </c>
      <c r="K30" s="1">
        <v>221</v>
      </c>
      <c r="L30" s="1" t="s">
        <v>48</v>
      </c>
      <c r="M30" s="1" t="s">
        <v>359</v>
      </c>
      <c r="N30" s="1" t="s">
        <v>359</v>
      </c>
      <c r="O30" s="8" t="s">
        <v>26</v>
      </c>
      <c r="P30" s="15">
        <f>(Table1_147[[#This Row],[Likes]]+Table1_147[[#This Row],[Shares]]+Table1_147[[#This Row],[Comments]])/Table1_147[[#This Row],[Impressions]]</f>
        <v>0.21208106001558846</v>
      </c>
      <c r="Q30" s="1">
        <f>(Table1_147[[#This Row],[Likes]]+Table1_147[[#This Row],[Shares]]+Table1_147[[#This Row],[Comments]])</f>
        <v>2721</v>
      </c>
    </row>
    <row r="31" spans="1:17" x14ac:dyDescent="0.3">
      <c r="A31" s="6" t="s">
        <v>76</v>
      </c>
      <c r="B31" s="1" t="s">
        <v>28</v>
      </c>
      <c r="C31" s="7">
        <v>45713</v>
      </c>
      <c r="D31" s="1" t="s">
        <v>56</v>
      </c>
      <c r="E31" s="1" t="s">
        <v>63</v>
      </c>
      <c r="F31" s="1">
        <v>3095</v>
      </c>
      <c r="G31" s="1">
        <v>39</v>
      </c>
      <c r="H31" s="1">
        <v>78</v>
      </c>
      <c r="I31" s="1">
        <v>55710</v>
      </c>
      <c r="J31" s="1">
        <v>54808</v>
      </c>
      <c r="K31" s="1">
        <v>93</v>
      </c>
      <c r="L31" s="1" t="s">
        <v>31</v>
      </c>
      <c r="M31" s="1" t="s">
        <v>359</v>
      </c>
      <c r="N31" s="1" t="s">
        <v>359</v>
      </c>
      <c r="O31" s="8" t="s">
        <v>360</v>
      </c>
      <c r="P31" s="15">
        <f>(Table1_147[[#This Row],[Likes]]+Table1_147[[#This Row],[Shares]]+Table1_147[[#This Row],[Comments]])/Table1_147[[#This Row],[Impressions]]</f>
        <v>5.7655717106444085E-2</v>
      </c>
      <c r="Q31" s="1">
        <f>(Table1_147[[#This Row],[Likes]]+Table1_147[[#This Row],[Shares]]+Table1_147[[#This Row],[Comments]])</f>
        <v>3212</v>
      </c>
    </row>
    <row r="32" spans="1:17" x14ac:dyDescent="0.3">
      <c r="A32" s="6" t="s">
        <v>77</v>
      </c>
      <c r="B32" s="1" t="s">
        <v>28</v>
      </c>
      <c r="C32" s="7">
        <v>45642</v>
      </c>
      <c r="D32" s="1" t="s">
        <v>19</v>
      </c>
      <c r="E32" s="1" t="s">
        <v>78</v>
      </c>
      <c r="F32" s="1">
        <v>438</v>
      </c>
      <c r="G32" s="1">
        <v>153</v>
      </c>
      <c r="H32" s="1">
        <v>275</v>
      </c>
      <c r="I32" s="1">
        <v>3066</v>
      </c>
      <c r="J32" s="1">
        <v>2701</v>
      </c>
      <c r="K32" s="1">
        <v>282</v>
      </c>
      <c r="L32" s="1" t="s">
        <v>25</v>
      </c>
      <c r="M32" s="1" t="s">
        <v>359</v>
      </c>
      <c r="N32" s="1" t="s">
        <v>359</v>
      </c>
      <c r="O32" s="8" t="s">
        <v>21</v>
      </c>
      <c r="P32" s="15">
        <f>(Table1_147[[#This Row],[Likes]]+Table1_147[[#This Row],[Shares]]+Table1_147[[#This Row],[Comments]])/Table1_147[[#This Row],[Impressions]]</f>
        <v>0.28245270711024134</v>
      </c>
      <c r="Q32" s="1">
        <f>(Table1_147[[#This Row],[Likes]]+Table1_147[[#This Row],[Shares]]+Table1_147[[#This Row],[Comments]])</f>
        <v>866</v>
      </c>
    </row>
    <row r="33" spans="1:17" x14ac:dyDescent="0.3">
      <c r="A33" s="6" t="s">
        <v>79</v>
      </c>
      <c r="B33" s="1" t="s">
        <v>14</v>
      </c>
      <c r="C33" s="7">
        <v>45504</v>
      </c>
      <c r="D33" s="1" t="s">
        <v>36</v>
      </c>
      <c r="E33" s="1" t="s">
        <v>39</v>
      </c>
      <c r="F33" s="1">
        <v>2278</v>
      </c>
      <c r="G33" s="1">
        <v>10</v>
      </c>
      <c r="H33" s="1">
        <v>321</v>
      </c>
      <c r="I33" s="1">
        <v>13668</v>
      </c>
      <c r="J33" s="1">
        <v>12676</v>
      </c>
      <c r="K33" s="1">
        <v>275</v>
      </c>
      <c r="L33" s="1" t="s">
        <v>31</v>
      </c>
      <c r="M33" s="1" t="s">
        <v>359</v>
      </c>
      <c r="N33" s="1" t="s">
        <v>359</v>
      </c>
      <c r="O33" s="8" t="s">
        <v>17</v>
      </c>
      <c r="P33" s="15">
        <f>(Table1_147[[#This Row],[Likes]]+Table1_147[[#This Row],[Shares]]+Table1_147[[#This Row],[Comments]])/Table1_147[[#This Row],[Impressions]]</f>
        <v>0.19088381621305239</v>
      </c>
      <c r="Q33" s="1">
        <f>(Table1_147[[#This Row],[Likes]]+Table1_147[[#This Row],[Shares]]+Table1_147[[#This Row],[Comments]])</f>
        <v>2609</v>
      </c>
    </row>
    <row r="34" spans="1:17" x14ac:dyDescent="0.3">
      <c r="A34" s="6" t="s">
        <v>80</v>
      </c>
      <c r="B34" s="1" t="s">
        <v>35</v>
      </c>
      <c r="C34" s="7">
        <v>45525</v>
      </c>
      <c r="D34" s="1" t="s">
        <v>41</v>
      </c>
      <c r="E34" s="1" t="s">
        <v>46</v>
      </c>
      <c r="F34" s="1">
        <v>1407</v>
      </c>
      <c r="G34" s="1">
        <v>400</v>
      </c>
      <c r="H34" s="1">
        <v>351</v>
      </c>
      <c r="I34" s="1">
        <v>16884</v>
      </c>
      <c r="J34" s="1">
        <v>15954</v>
      </c>
      <c r="K34" s="1">
        <v>113</v>
      </c>
      <c r="L34" s="1" t="s">
        <v>25</v>
      </c>
      <c r="M34" s="1" t="s">
        <v>359</v>
      </c>
      <c r="N34" s="1" t="s">
        <v>359</v>
      </c>
      <c r="O34" s="8" t="s">
        <v>17</v>
      </c>
      <c r="P34" s="15">
        <f>(Table1_147[[#This Row],[Likes]]+Table1_147[[#This Row],[Shares]]+Table1_147[[#This Row],[Comments]])/Table1_147[[#This Row],[Impressions]]</f>
        <v>0.12781331438047855</v>
      </c>
      <c r="Q34" s="1">
        <f>(Table1_147[[#This Row],[Likes]]+Table1_147[[#This Row],[Shares]]+Table1_147[[#This Row],[Comments]])</f>
        <v>2158</v>
      </c>
    </row>
    <row r="35" spans="1:17" x14ac:dyDescent="0.3">
      <c r="A35" s="6" t="s">
        <v>81</v>
      </c>
      <c r="B35" s="1" t="s">
        <v>35</v>
      </c>
      <c r="C35" s="7">
        <v>45742</v>
      </c>
      <c r="D35" s="1" t="s">
        <v>19</v>
      </c>
      <c r="E35" s="1" t="s">
        <v>44</v>
      </c>
      <c r="F35" s="1">
        <v>1652</v>
      </c>
      <c r="G35" s="1">
        <v>89</v>
      </c>
      <c r="H35" s="1">
        <v>357</v>
      </c>
      <c r="I35" s="1">
        <v>29736</v>
      </c>
      <c r="J35" s="1">
        <v>28771</v>
      </c>
      <c r="K35" s="1">
        <v>215</v>
      </c>
      <c r="L35" s="1" t="s">
        <v>25</v>
      </c>
      <c r="M35" s="1" t="s">
        <v>359</v>
      </c>
      <c r="N35" s="1" t="s">
        <v>359</v>
      </c>
      <c r="O35" s="8" t="s">
        <v>26</v>
      </c>
      <c r="P35" s="15">
        <f>(Table1_147[[#This Row],[Likes]]+Table1_147[[#This Row],[Shares]]+Table1_147[[#This Row],[Comments]])/Table1_147[[#This Row],[Impressions]]</f>
        <v>7.055421038471886E-2</v>
      </c>
      <c r="Q35" s="1">
        <f>(Table1_147[[#This Row],[Likes]]+Table1_147[[#This Row],[Shares]]+Table1_147[[#This Row],[Comments]])</f>
        <v>2098</v>
      </c>
    </row>
    <row r="36" spans="1:17" x14ac:dyDescent="0.3">
      <c r="A36" s="6" t="s">
        <v>82</v>
      </c>
      <c r="B36" s="1" t="s">
        <v>28</v>
      </c>
      <c r="C36" s="7">
        <v>45626</v>
      </c>
      <c r="D36" s="1" t="s">
        <v>56</v>
      </c>
      <c r="E36" s="1" t="s">
        <v>63</v>
      </c>
      <c r="F36" s="1">
        <v>3775</v>
      </c>
      <c r="G36" s="1">
        <v>16</v>
      </c>
      <c r="H36" s="1">
        <v>239</v>
      </c>
      <c r="I36" s="1">
        <v>33975</v>
      </c>
      <c r="J36" s="1">
        <v>33310</v>
      </c>
      <c r="K36" s="1">
        <v>271</v>
      </c>
      <c r="L36" s="1" t="s">
        <v>48</v>
      </c>
      <c r="M36" s="1" t="s">
        <v>359</v>
      </c>
      <c r="N36" s="1" t="s">
        <v>359</v>
      </c>
      <c r="O36" s="8" t="s">
        <v>21</v>
      </c>
      <c r="P36" s="15">
        <f>(Table1_147[[#This Row],[Likes]]+Table1_147[[#This Row],[Shares]]+Table1_147[[#This Row],[Comments]])/Table1_147[[#This Row],[Impressions]]</f>
        <v>0.11861662987490802</v>
      </c>
      <c r="Q36" s="1">
        <f>(Table1_147[[#This Row],[Likes]]+Table1_147[[#This Row],[Shares]]+Table1_147[[#This Row],[Comments]])</f>
        <v>4030</v>
      </c>
    </row>
    <row r="37" spans="1:17" x14ac:dyDescent="0.3">
      <c r="A37" s="6" t="s">
        <v>83</v>
      </c>
      <c r="B37" s="1" t="s">
        <v>28</v>
      </c>
      <c r="C37" s="7">
        <v>45766</v>
      </c>
      <c r="D37" s="1" t="s">
        <v>29</v>
      </c>
      <c r="E37" s="1" t="s">
        <v>30</v>
      </c>
      <c r="F37" s="1">
        <v>4518</v>
      </c>
      <c r="G37" s="1">
        <v>285</v>
      </c>
      <c r="H37" s="1">
        <v>383</v>
      </c>
      <c r="I37" s="1">
        <v>67770</v>
      </c>
      <c r="J37" s="1">
        <v>67621</v>
      </c>
      <c r="K37" s="1">
        <v>31</v>
      </c>
      <c r="L37" s="1" t="s">
        <v>31</v>
      </c>
      <c r="M37" s="1" t="s">
        <v>359</v>
      </c>
      <c r="N37" s="1" t="s">
        <v>359</v>
      </c>
      <c r="O37" s="8" t="s">
        <v>21</v>
      </c>
      <c r="P37" s="15">
        <f>(Table1_147[[#This Row],[Likes]]+Table1_147[[#This Row],[Shares]]+Table1_147[[#This Row],[Comments]])/Table1_147[[#This Row],[Impressions]]</f>
        <v>7.6523535487678915E-2</v>
      </c>
      <c r="Q37" s="1">
        <f>(Table1_147[[#This Row],[Likes]]+Table1_147[[#This Row],[Shares]]+Table1_147[[#This Row],[Comments]])</f>
        <v>5186</v>
      </c>
    </row>
    <row r="38" spans="1:17" x14ac:dyDescent="0.3">
      <c r="A38" s="6" t="s">
        <v>84</v>
      </c>
      <c r="B38" s="1" t="s">
        <v>35</v>
      </c>
      <c r="C38" s="7">
        <v>45663</v>
      </c>
      <c r="D38" s="1" t="s">
        <v>36</v>
      </c>
      <c r="E38" s="1" t="s">
        <v>37</v>
      </c>
      <c r="F38" s="1">
        <v>3024</v>
      </c>
      <c r="G38" s="1">
        <v>925</v>
      </c>
      <c r="H38" s="1">
        <v>350</v>
      </c>
      <c r="I38" s="1">
        <v>24192</v>
      </c>
      <c r="J38" s="1">
        <v>23518</v>
      </c>
      <c r="K38" s="1">
        <v>36</v>
      </c>
      <c r="L38" s="1" t="s">
        <v>31</v>
      </c>
      <c r="M38" s="1" t="s">
        <v>359</v>
      </c>
      <c r="N38" s="1" t="s">
        <v>359</v>
      </c>
      <c r="O38" s="8" t="s">
        <v>21</v>
      </c>
      <c r="P38" s="15">
        <f>(Table1_147[[#This Row],[Likes]]+Table1_147[[#This Row],[Shares]]+Table1_147[[#This Row],[Comments]])/Table1_147[[#This Row],[Impressions]]</f>
        <v>0.17770337301587302</v>
      </c>
      <c r="Q38" s="1">
        <f>(Table1_147[[#This Row],[Likes]]+Table1_147[[#This Row],[Shares]]+Table1_147[[#This Row],[Comments]])</f>
        <v>4299</v>
      </c>
    </row>
    <row r="39" spans="1:17" x14ac:dyDescent="0.3">
      <c r="A39" s="6" t="s">
        <v>85</v>
      </c>
      <c r="B39" s="1" t="s">
        <v>23</v>
      </c>
      <c r="C39" s="7">
        <v>45705</v>
      </c>
      <c r="D39" s="1" t="s">
        <v>15</v>
      </c>
      <c r="E39" s="1" t="s">
        <v>24</v>
      </c>
      <c r="F39" s="1">
        <v>3138</v>
      </c>
      <c r="G39" s="1">
        <v>123</v>
      </c>
      <c r="H39" s="1">
        <v>291</v>
      </c>
      <c r="I39" s="1">
        <v>28242</v>
      </c>
      <c r="J39" s="1">
        <v>27550</v>
      </c>
      <c r="K39" s="1">
        <v>87</v>
      </c>
      <c r="L39" s="1" t="s">
        <v>25</v>
      </c>
      <c r="M39" s="1" t="s">
        <v>359</v>
      </c>
      <c r="N39" s="1" t="s">
        <v>359</v>
      </c>
      <c r="O39" s="8" t="s">
        <v>32</v>
      </c>
      <c r="P39" s="15">
        <f>(Table1_147[[#This Row],[Likes]]+Table1_147[[#This Row],[Shares]]+Table1_147[[#This Row],[Comments]])/Table1_147[[#This Row],[Impressions]]</f>
        <v>0.12577012959422137</v>
      </c>
      <c r="Q39" s="1">
        <f>(Table1_147[[#This Row],[Likes]]+Table1_147[[#This Row],[Shares]]+Table1_147[[#This Row],[Comments]])</f>
        <v>3552</v>
      </c>
    </row>
    <row r="40" spans="1:17" x14ac:dyDescent="0.3">
      <c r="A40" s="6" t="s">
        <v>86</v>
      </c>
      <c r="B40" s="1" t="s">
        <v>35</v>
      </c>
      <c r="C40" s="7">
        <v>45621</v>
      </c>
      <c r="D40" s="1" t="s">
        <v>41</v>
      </c>
      <c r="E40" s="1" t="s">
        <v>46</v>
      </c>
      <c r="F40" s="1">
        <v>3564</v>
      </c>
      <c r="G40" s="1">
        <v>629</v>
      </c>
      <c r="H40" s="1">
        <v>177</v>
      </c>
      <c r="I40" s="1">
        <v>60588</v>
      </c>
      <c r="J40" s="1">
        <v>59627</v>
      </c>
      <c r="K40" s="1">
        <v>92</v>
      </c>
      <c r="L40" s="1" t="s">
        <v>25</v>
      </c>
      <c r="M40" s="1" t="s">
        <v>359</v>
      </c>
      <c r="N40" s="1" t="s">
        <v>359</v>
      </c>
      <c r="O40" s="8" t="s">
        <v>360</v>
      </c>
      <c r="P40" s="15">
        <f>(Table1_147[[#This Row],[Likes]]+Table1_147[[#This Row],[Shares]]+Table1_147[[#This Row],[Comments]])/Table1_147[[#This Row],[Impressions]]</f>
        <v>7.2126493695121141E-2</v>
      </c>
      <c r="Q40" s="1">
        <f>(Table1_147[[#This Row],[Likes]]+Table1_147[[#This Row],[Shares]]+Table1_147[[#This Row],[Comments]])</f>
        <v>4370</v>
      </c>
    </row>
    <row r="41" spans="1:17" x14ac:dyDescent="0.3">
      <c r="A41" s="6" t="s">
        <v>87</v>
      </c>
      <c r="B41" s="1" t="s">
        <v>14</v>
      </c>
      <c r="C41" s="7">
        <v>45723</v>
      </c>
      <c r="D41" s="1" t="s">
        <v>41</v>
      </c>
      <c r="E41" s="1" t="s">
        <v>88</v>
      </c>
      <c r="F41" s="1">
        <v>4750</v>
      </c>
      <c r="G41" s="1">
        <v>151</v>
      </c>
      <c r="H41" s="1">
        <v>415</v>
      </c>
      <c r="I41" s="1">
        <v>38000</v>
      </c>
      <c r="J41" s="1">
        <v>37792</v>
      </c>
      <c r="K41" s="1">
        <v>299</v>
      </c>
      <c r="L41" s="1" t="s">
        <v>31</v>
      </c>
      <c r="M41" s="1" t="s">
        <v>359</v>
      </c>
      <c r="N41" s="1" t="s">
        <v>359</v>
      </c>
      <c r="O41" s="8" t="s">
        <v>32</v>
      </c>
      <c r="P41" s="15">
        <f>(Table1_147[[#This Row],[Likes]]+Table1_147[[#This Row],[Shares]]+Table1_147[[#This Row],[Comments]])/Table1_147[[#This Row],[Impressions]]</f>
        <v>0.13989473684210527</v>
      </c>
      <c r="Q41" s="1">
        <f>(Table1_147[[#This Row],[Likes]]+Table1_147[[#This Row],[Shares]]+Table1_147[[#This Row],[Comments]])</f>
        <v>5316</v>
      </c>
    </row>
    <row r="42" spans="1:17" x14ac:dyDescent="0.3">
      <c r="A42" s="6" t="s">
        <v>89</v>
      </c>
      <c r="B42" s="1" t="s">
        <v>28</v>
      </c>
      <c r="C42" s="7">
        <v>45724</v>
      </c>
      <c r="D42" s="1" t="s">
        <v>15</v>
      </c>
      <c r="E42" s="1" t="s">
        <v>61</v>
      </c>
      <c r="F42" s="1">
        <v>456</v>
      </c>
      <c r="G42" s="1">
        <v>629</v>
      </c>
      <c r="H42" s="1">
        <v>428</v>
      </c>
      <c r="I42" s="1">
        <v>8208</v>
      </c>
      <c r="J42" s="1">
        <v>7377</v>
      </c>
      <c r="K42" s="1">
        <v>205</v>
      </c>
      <c r="L42" s="1" t="s">
        <v>48</v>
      </c>
      <c r="M42" s="1" t="s">
        <v>359</v>
      </c>
      <c r="N42" s="1" t="s">
        <v>359</v>
      </c>
      <c r="O42" s="8" t="s">
        <v>32</v>
      </c>
      <c r="P42" s="15">
        <f>(Table1_147[[#This Row],[Likes]]+Table1_147[[#This Row],[Shares]]+Table1_147[[#This Row],[Comments]])/Table1_147[[#This Row],[Impressions]]</f>
        <v>0.18433235867446393</v>
      </c>
      <c r="Q42" s="1">
        <f>(Table1_147[[#This Row],[Likes]]+Table1_147[[#This Row],[Shares]]+Table1_147[[#This Row],[Comments]])</f>
        <v>1513</v>
      </c>
    </row>
    <row r="43" spans="1:17" x14ac:dyDescent="0.3">
      <c r="A43" s="6" t="s">
        <v>90</v>
      </c>
      <c r="B43" s="1" t="s">
        <v>23</v>
      </c>
      <c r="C43" s="7">
        <v>45721</v>
      </c>
      <c r="D43" s="1" t="s">
        <v>15</v>
      </c>
      <c r="E43" s="1" t="s">
        <v>24</v>
      </c>
      <c r="F43" s="1">
        <v>1543</v>
      </c>
      <c r="G43" s="1">
        <v>820</v>
      </c>
      <c r="H43" s="1">
        <v>333</v>
      </c>
      <c r="I43" s="1">
        <v>12344</v>
      </c>
      <c r="J43" s="1">
        <v>11496</v>
      </c>
      <c r="K43" s="1">
        <v>241</v>
      </c>
      <c r="L43" s="1" t="s">
        <v>31</v>
      </c>
      <c r="M43" s="1" t="s">
        <v>359</v>
      </c>
      <c r="N43" s="1" t="s">
        <v>359</v>
      </c>
      <c r="O43" s="8" t="s">
        <v>360</v>
      </c>
      <c r="P43" s="15">
        <f>(Table1_147[[#This Row],[Likes]]+Table1_147[[#This Row],[Shares]]+Table1_147[[#This Row],[Comments]])/Table1_147[[#This Row],[Impressions]]</f>
        <v>0.21840570317563188</v>
      </c>
      <c r="Q43" s="1">
        <f>(Table1_147[[#This Row],[Likes]]+Table1_147[[#This Row],[Shares]]+Table1_147[[#This Row],[Comments]])</f>
        <v>2696</v>
      </c>
    </row>
    <row r="44" spans="1:17" x14ac:dyDescent="0.3">
      <c r="A44" s="6" t="s">
        <v>91</v>
      </c>
      <c r="B44" s="1" t="s">
        <v>28</v>
      </c>
      <c r="C44" s="7">
        <v>45640</v>
      </c>
      <c r="D44" s="1" t="s">
        <v>36</v>
      </c>
      <c r="E44" s="1" t="s">
        <v>65</v>
      </c>
      <c r="F44" s="1">
        <v>2174</v>
      </c>
      <c r="G44" s="1">
        <v>658</v>
      </c>
      <c r="H44" s="1">
        <v>15</v>
      </c>
      <c r="I44" s="1">
        <v>13044</v>
      </c>
      <c r="J44" s="1">
        <v>12206</v>
      </c>
      <c r="K44" s="1">
        <v>137</v>
      </c>
      <c r="L44" s="1" t="s">
        <v>25</v>
      </c>
      <c r="M44" s="1" t="s">
        <v>359</v>
      </c>
      <c r="N44" s="1" t="s">
        <v>359</v>
      </c>
      <c r="O44" s="8" t="s">
        <v>26</v>
      </c>
      <c r="P44" s="15">
        <f>(Table1_147[[#This Row],[Likes]]+Table1_147[[#This Row],[Shares]]+Table1_147[[#This Row],[Comments]])/Table1_147[[#This Row],[Impressions]]</f>
        <v>0.21826126954921804</v>
      </c>
      <c r="Q44" s="1">
        <f>(Table1_147[[#This Row],[Likes]]+Table1_147[[#This Row],[Shares]]+Table1_147[[#This Row],[Comments]])</f>
        <v>2847</v>
      </c>
    </row>
    <row r="45" spans="1:17" x14ac:dyDescent="0.3">
      <c r="A45" s="6" t="s">
        <v>92</v>
      </c>
      <c r="B45" s="1" t="s">
        <v>14</v>
      </c>
      <c r="C45" s="7">
        <v>45718</v>
      </c>
      <c r="D45" s="1" t="s">
        <v>41</v>
      </c>
      <c r="E45" s="1" t="s">
        <v>88</v>
      </c>
      <c r="F45" s="1">
        <v>2358</v>
      </c>
      <c r="G45" s="1">
        <v>784</v>
      </c>
      <c r="H45" s="1">
        <v>344</v>
      </c>
      <c r="I45" s="1">
        <v>35370</v>
      </c>
      <c r="J45" s="1">
        <v>34475</v>
      </c>
      <c r="K45" s="1">
        <v>216</v>
      </c>
      <c r="L45" s="1" t="s">
        <v>25</v>
      </c>
      <c r="M45" s="1" t="s">
        <v>359</v>
      </c>
      <c r="N45" s="1" t="s">
        <v>359</v>
      </c>
      <c r="O45" s="8" t="s">
        <v>360</v>
      </c>
      <c r="P45" s="15">
        <f>(Table1_147[[#This Row],[Likes]]+Table1_147[[#This Row],[Shares]]+Table1_147[[#This Row],[Comments]])/Table1_147[[#This Row],[Impressions]]</f>
        <v>9.8558100084817649E-2</v>
      </c>
      <c r="Q45" s="1">
        <f>(Table1_147[[#This Row],[Likes]]+Table1_147[[#This Row],[Shares]]+Table1_147[[#This Row],[Comments]])</f>
        <v>3486</v>
      </c>
    </row>
    <row r="46" spans="1:17" x14ac:dyDescent="0.3">
      <c r="A46" s="6" t="s">
        <v>93</v>
      </c>
      <c r="B46" s="1" t="s">
        <v>35</v>
      </c>
      <c r="C46" s="7">
        <v>45597</v>
      </c>
      <c r="D46" s="1" t="s">
        <v>56</v>
      </c>
      <c r="E46" s="1" t="s">
        <v>57</v>
      </c>
      <c r="F46" s="1">
        <v>3371</v>
      </c>
      <c r="G46" s="1">
        <v>106</v>
      </c>
      <c r="H46" s="1">
        <v>327</v>
      </c>
      <c r="I46" s="1">
        <v>50565</v>
      </c>
      <c r="J46" s="1">
        <v>49816</v>
      </c>
      <c r="K46" s="1">
        <v>176</v>
      </c>
      <c r="L46" s="1" t="s">
        <v>48</v>
      </c>
      <c r="M46" s="1" t="s">
        <v>359</v>
      </c>
      <c r="N46" s="1" t="s">
        <v>359</v>
      </c>
      <c r="O46" s="8" t="s">
        <v>17</v>
      </c>
      <c r="P46" s="15">
        <f>(Table1_147[[#This Row],[Likes]]+Table1_147[[#This Row],[Shares]]+Table1_147[[#This Row],[Comments]])/Table1_147[[#This Row],[Impressions]]</f>
        <v>7.5229902106199939E-2</v>
      </c>
      <c r="Q46" s="1">
        <f>(Table1_147[[#This Row],[Likes]]+Table1_147[[#This Row],[Shares]]+Table1_147[[#This Row],[Comments]])</f>
        <v>3804</v>
      </c>
    </row>
    <row r="47" spans="1:17" x14ac:dyDescent="0.3">
      <c r="A47" s="6" t="s">
        <v>94</v>
      </c>
      <c r="B47" s="1" t="s">
        <v>14</v>
      </c>
      <c r="C47" s="7">
        <v>45779</v>
      </c>
      <c r="D47" s="1" t="s">
        <v>56</v>
      </c>
      <c r="E47" s="1" t="s">
        <v>95</v>
      </c>
      <c r="F47" s="1">
        <v>1108</v>
      </c>
      <c r="G47" s="1">
        <v>177</v>
      </c>
      <c r="H47" s="1">
        <v>212</v>
      </c>
      <c r="I47" s="1">
        <v>8864</v>
      </c>
      <c r="J47" s="1">
        <v>8710</v>
      </c>
      <c r="K47" s="1">
        <v>97</v>
      </c>
      <c r="L47" s="1" t="s">
        <v>25</v>
      </c>
      <c r="M47" s="1" t="s">
        <v>359</v>
      </c>
      <c r="N47" s="1" t="s">
        <v>359</v>
      </c>
      <c r="O47" s="8" t="s">
        <v>32</v>
      </c>
      <c r="P47" s="15">
        <f>(Table1_147[[#This Row],[Likes]]+Table1_147[[#This Row],[Shares]]+Table1_147[[#This Row],[Comments]])/Table1_147[[#This Row],[Impressions]]</f>
        <v>0.16888537906137185</v>
      </c>
      <c r="Q47" s="1">
        <f>(Table1_147[[#This Row],[Likes]]+Table1_147[[#This Row],[Shares]]+Table1_147[[#This Row],[Comments]])</f>
        <v>1497</v>
      </c>
    </row>
    <row r="48" spans="1:17" x14ac:dyDescent="0.3">
      <c r="A48" s="6" t="s">
        <v>96</v>
      </c>
      <c r="B48" s="1" t="s">
        <v>14</v>
      </c>
      <c r="C48" s="7">
        <v>45712</v>
      </c>
      <c r="D48" s="1" t="s">
        <v>36</v>
      </c>
      <c r="E48" s="1" t="s">
        <v>39</v>
      </c>
      <c r="F48" s="1">
        <v>2704</v>
      </c>
      <c r="G48" s="1">
        <v>752</v>
      </c>
      <c r="H48" s="1">
        <v>153</v>
      </c>
      <c r="I48" s="1">
        <v>21632</v>
      </c>
      <c r="J48" s="1">
        <v>20792</v>
      </c>
      <c r="K48" s="1">
        <v>127</v>
      </c>
      <c r="L48" s="1" t="s">
        <v>48</v>
      </c>
      <c r="M48" s="1" t="s">
        <v>359</v>
      </c>
      <c r="N48" s="1" t="s">
        <v>359</v>
      </c>
      <c r="O48" s="8" t="s">
        <v>360</v>
      </c>
      <c r="P48" s="15">
        <f>(Table1_147[[#This Row],[Likes]]+Table1_147[[#This Row],[Shares]]+Table1_147[[#This Row],[Comments]])/Table1_147[[#This Row],[Impressions]]</f>
        <v>0.16683616863905326</v>
      </c>
      <c r="Q48" s="1">
        <f>(Table1_147[[#This Row],[Likes]]+Table1_147[[#This Row],[Shares]]+Table1_147[[#This Row],[Comments]])</f>
        <v>3609</v>
      </c>
    </row>
    <row r="49" spans="1:17" x14ac:dyDescent="0.3">
      <c r="A49" s="6" t="s">
        <v>97</v>
      </c>
      <c r="B49" s="1" t="s">
        <v>14</v>
      </c>
      <c r="C49" s="7">
        <v>45727</v>
      </c>
      <c r="D49" s="1" t="s">
        <v>29</v>
      </c>
      <c r="E49" s="1" t="s">
        <v>98</v>
      </c>
      <c r="F49" s="1">
        <v>1950</v>
      </c>
      <c r="G49" s="1">
        <v>295</v>
      </c>
      <c r="H49" s="1">
        <v>478</v>
      </c>
      <c r="I49" s="1">
        <v>37050</v>
      </c>
      <c r="J49" s="1">
        <v>36272</v>
      </c>
      <c r="K49" s="1">
        <v>119</v>
      </c>
      <c r="L49" s="1" t="s">
        <v>25</v>
      </c>
      <c r="M49" s="1" t="s">
        <v>359</v>
      </c>
      <c r="N49" s="1" t="s">
        <v>359</v>
      </c>
      <c r="O49" s="8" t="s">
        <v>360</v>
      </c>
      <c r="P49" s="15">
        <f>(Table1_147[[#This Row],[Likes]]+Table1_147[[#This Row],[Shares]]+Table1_147[[#This Row],[Comments]])/Table1_147[[#This Row],[Impressions]]</f>
        <v>7.349527665317139E-2</v>
      </c>
      <c r="Q49" s="1">
        <f>(Table1_147[[#This Row],[Likes]]+Table1_147[[#This Row],[Shares]]+Table1_147[[#This Row],[Comments]])</f>
        <v>2723</v>
      </c>
    </row>
    <row r="50" spans="1:17" x14ac:dyDescent="0.3">
      <c r="A50" s="6" t="s">
        <v>99</v>
      </c>
      <c r="B50" s="1" t="s">
        <v>14</v>
      </c>
      <c r="C50" s="7">
        <v>45453</v>
      </c>
      <c r="D50" s="1" t="s">
        <v>29</v>
      </c>
      <c r="E50" s="1" t="s">
        <v>98</v>
      </c>
      <c r="F50" s="1">
        <v>2164</v>
      </c>
      <c r="G50" s="1">
        <v>549</v>
      </c>
      <c r="H50" s="1">
        <v>274</v>
      </c>
      <c r="I50" s="1">
        <v>28132</v>
      </c>
      <c r="J50" s="1">
        <v>27361</v>
      </c>
      <c r="K50" s="1">
        <v>177</v>
      </c>
      <c r="L50" s="1" t="s">
        <v>25</v>
      </c>
      <c r="M50" s="1" t="s">
        <v>359</v>
      </c>
      <c r="N50" s="1" t="s">
        <v>359</v>
      </c>
      <c r="O50" s="8" t="s">
        <v>32</v>
      </c>
      <c r="P50" s="15">
        <f>(Table1_147[[#This Row],[Likes]]+Table1_147[[#This Row],[Shares]]+Table1_147[[#This Row],[Comments]])/Table1_147[[#This Row],[Impressions]]</f>
        <v>0.10617801791554102</v>
      </c>
      <c r="Q50" s="1">
        <f>(Table1_147[[#This Row],[Likes]]+Table1_147[[#This Row],[Shares]]+Table1_147[[#This Row],[Comments]])</f>
        <v>2987</v>
      </c>
    </row>
    <row r="51" spans="1:17" x14ac:dyDescent="0.3">
      <c r="A51" s="6" t="s">
        <v>100</v>
      </c>
      <c r="B51" s="1" t="s">
        <v>23</v>
      </c>
      <c r="C51" s="7">
        <v>45476</v>
      </c>
      <c r="D51" s="1" t="s">
        <v>29</v>
      </c>
      <c r="E51" s="1" t="s">
        <v>101</v>
      </c>
      <c r="F51" s="1">
        <v>2754</v>
      </c>
      <c r="G51" s="1">
        <v>130</v>
      </c>
      <c r="H51" s="1">
        <v>90</v>
      </c>
      <c r="I51" s="1">
        <v>22032</v>
      </c>
      <c r="J51" s="1">
        <v>21288</v>
      </c>
      <c r="K51" s="1">
        <v>112</v>
      </c>
      <c r="L51" s="1" t="s">
        <v>25</v>
      </c>
      <c r="M51" s="1" t="s">
        <v>359</v>
      </c>
      <c r="N51" s="1" t="s">
        <v>359</v>
      </c>
      <c r="O51" s="8" t="s">
        <v>26</v>
      </c>
      <c r="P51" s="15">
        <f>(Table1_147[[#This Row],[Likes]]+Table1_147[[#This Row],[Shares]]+Table1_147[[#This Row],[Comments]])/Table1_147[[#This Row],[Impressions]]</f>
        <v>0.13498547567175018</v>
      </c>
      <c r="Q51" s="1">
        <f>(Table1_147[[#This Row],[Likes]]+Table1_147[[#This Row],[Shares]]+Table1_147[[#This Row],[Comments]])</f>
        <v>2974</v>
      </c>
    </row>
    <row r="52" spans="1:17" x14ac:dyDescent="0.3">
      <c r="A52" s="6" t="s">
        <v>102</v>
      </c>
      <c r="B52" s="1" t="s">
        <v>35</v>
      </c>
      <c r="C52" s="7">
        <v>45456</v>
      </c>
      <c r="D52" s="1" t="s">
        <v>36</v>
      </c>
      <c r="E52" s="1" t="s">
        <v>37</v>
      </c>
      <c r="F52" s="1">
        <v>2200</v>
      </c>
      <c r="G52" s="1">
        <v>504</v>
      </c>
      <c r="H52" s="1">
        <v>239</v>
      </c>
      <c r="I52" s="1">
        <v>37400</v>
      </c>
      <c r="J52" s="1">
        <v>36938</v>
      </c>
      <c r="K52" s="1">
        <v>225</v>
      </c>
      <c r="L52" s="1" t="s">
        <v>48</v>
      </c>
      <c r="M52" s="1" t="s">
        <v>359</v>
      </c>
      <c r="N52" s="1" t="s">
        <v>359</v>
      </c>
      <c r="O52" s="8" t="s">
        <v>21</v>
      </c>
      <c r="P52" s="15">
        <f>(Table1_147[[#This Row],[Likes]]+Table1_147[[#This Row],[Shares]]+Table1_147[[#This Row],[Comments]])/Table1_147[[#This Row],[Impressions]]</f>
        <v>7.8689839572192513E-2</v>
      </c>
      <c r="Q52" s="1">
        <f>(Table1_147[[#This Row],[Likes]]+Table1_147[[#This Row],[Shares]]+Table1_147[[#This Row],[Comments]])</f>
        <v>2943</v>
      </c>
    </row>
    <row r="53" spans="1:17" x14ac:dyDescent="0.3">
      <c r="A53" s="6" t="s">
        <v>103</v>
      </c>
      <c r="B53" s="1" t="s">
        <v>35</v>
      </c>
      <c r="C53" s="7">
        <v>45660</v>
      </c>
      <c r="D53" s="1" t="s">
        <v>41</v>
      </c>
      <c r="E53" s="1" t="s">
        <v>46</v>
      </c>
      <c r="F53" s="1">
        <v>947</v>
      </c>
      <c r="G53" s="1">
        <v>338</v>
      </c>
      <c r="H53" s="1">
        <v>350</v>
      </c>
      <c r="I53" s="1">
        <v>10417</v>
      </c>
      <c r="J53" s="1">
        <v>9730</v>
      </c>
      <c r="K53" s="1">
        <v>34</v>
      </c>
      <c r="L53" s="1" t="s">
        <v>25</v>
      </c>
      <c r="M53" s="1" t="s">
        <v>359</v>
      </c>
      <c r="N53" s="1" t="s">
        <v>359</v>
      </c>
      <c r="O53" s="8" t="s">
        <v>32</v>
      </c>
      <c r="P53" s="15">
        <f>(Table1_147[[#This Row],[Likes]]+Table1_147[[#This Row],[Shares]]+Table1_147[[#This Row],[Comments]])/Table1_147[[#This Row],[Impressions]]</f>
        <v>0.1569549774407219</v>
      </c>
      <c r="Q53" s="1">
        <f>(Table1_147[[#This Row],[Likes]]+Table1_147[[#This Row],[Shares]]+Table1_147[[#This Row],[Comments]])</f>
        <v>1635</v>
      </c>
    </row>
    <row r="54" spans="1:17" x14ac:dyDescent="0.3">
      <c r="A54" s="6" t="s">
        <v>104</v>
      </c>
      <c r="B54" s="1" t="s">
        <v>23</v>
      </c>
      <c r="C54" s="7">
        <v>45712</v>
      </c>
      <c r="D54" s="1" t="s">
        <v>36</v>
      </c>
      <c r="E54" s="1" t="s">
        <v>52</v>
      </c>
      <c r="F54" s="1">
        <v>804</v>
      </c>
      <c r="G54" s="1">
        <v>639</v>
      </c>
      <c r="H54" s="1">
        <v>43</v>
      </c>
      <c r="I54" s="1">
        <v>4020</v>
      </c>
      <c r="J54" s="1">
        <v>3144</v>
      </c>
      <c r="K54" s="1">
        <v>11</v>
      </c>
      <c r="L54" s="1" t="s">
        <v>31</v>
      </c>
      <c r="M54" s="1" t="s">
        <v>355</v>
      </c>
      <c r="N54" s="1" t="s">
        <v>359</v>
      </c>
      <c r="O54" s="8" t="s">
        <v>360</v>
      </c>
      <c r="P54" s="15">
        <f>(Table1_147[[#This Row],[Likes]]+Table1_147[[#This Row],[Shares]]+Table1_147[[#This Row],[Comments]])/Table1_147[[#This Row],[Impressions]]</f>
        <v>0.36965174129353234</v>
      </c>
      <c r="Q54" s="1">
        <f>(Table1_147[[#This Row],[Likes]]+Table1_147[[#This Row],[Shares]]+Table1_147[[#This Row],[Comments]])</f>
        <v>1486</v>
      </c>
    </row>
    <row r="55" spans="1:17" x14ac:dyDescent="0.3">
      <c r="A55" s="6" t="s">
        <v>105</v>
      </c>
      <c r="B55" s="1" t="s">
        <v>23</v>
      </c>
      <c r="C55" s="7">
        <v>45729</v>
      </c>
      <c r="D55" s="1" t="s">
        <v>36</v>
      </c>
      <c r="E55" s="1" t="s">
        <v>52</v>
      </c>
      <c r="F55" s="1">
        <v>1686</v>
      </c>
      <c r="G55" s="1">
        <v>904</v>
      </c>
      <c r="H55" s="1">
        <v>472</v>
      </c>
      <c r="I55" s="1">
        <v>18546</v>
      </c>
      <c r="J55" s="1">
        <v>18171</v>
      </c>
      <c r="K55" s="1">
        <v>52</v>
      </c>
      <c r="L55" s="1" t="s">
        <v>48</v>
      </c>
      <c r="M55" s="1" t="s">
        <v>359</v>
      </c>
      <c r="N55" s="1" t="s">
        <v>359</v>
      </c>
      <c r="O55" s="8" t="s">
        <v>21</v>
      </c>
      <c r="P55" s="15">
        <f>(Table1_147[[#This Row],[Likes]]+Table1_147[[#This Row],[Shares]]+Table1_147[[#This Row],[Comments]])/Table1_147[[#This Row],[Impressions]]</f>
        <v>0.16510298716704411</v>
      </c>
      <c r="Q55" s="1">
        <f>(Table1_147[[#This Row],[Likes]]+Table1_147[[#This Row],[Shares]]+Table1_147[[#This Row],[Comments]])</f>
        <v>3062</v>
      </c>
    </row>
    <row r="56" spans="1:17" x14ac:dyDescent="0.3">
      <c r="A56" s="6" t="s">
        <v>106</v>
      </c>
      <c r="B56" s="1" t="s">
        <v>35</v>
      </c>
      <c r="C56" s="7">
        <v>45460</v>
      </c>
      <c r="D56" s="1" t="s">
        <v>41</v>
      </c>
      <c r="E56" s="1" t="s">
        <v>46</v>
      </c>
      <c r="F56" s="1">
        <v>1226</v>
      </c>
      <c r="G56" s="1">
        <v>119</v>
      </c>
      <c r="H56" s="1">
        <v>7</v>
      </c>
      <c r="I56" s="1">
        <v>14712</v>
      </c>
      <c r="J56" s="1">
        <v>14049</v>
      </c>
      <c r="K56" s="1">
        <v>123</v>
      </c>
      <c r="L56" s="1" t="s">
        <v>31</v>
      </c>
      <c r="M56" s="1" t="s">
        <v>359</v>
      </c>
      <c r="N56" s="1" t="s">
        <v>359</v>
      </c>
      <c r="O56" s="8" t="s">
        <v>32</v>
      </c>
      <c r="P56" s="15">
        <f>(Table1_147[[#This Row],[Likes]]+Table1_147[[#This Row],[Shares]]+Table1_147[[#This Row],[Comments]])/Table1_147[[#This Row],[Impressions]]</f>
        <v>9.1897770527460579E-2</v>
      </c>
      <c r="Q56" s="1">
        <f>(Table1_147[[#This Row],[Likes]]+Table1_147[[#This Row],[Shares]]+Table1_147[[#This Row],[Comments]])</f>
        <v>1352</v>
      </c>
    </row>
    <row r="57" spans="1:17" x14ac:dyDescent="0.3">
      <c r="A57" s="6" t="s">
        <v>107</v>
      </c>
      <c r="B57" s="1" t="s">
        <v>35</v>
      </c>
      <c r="C57" s="7">
        <v>45644</v>
      </c>
      <c r="D57" s="1" t="s">
        <v>36</v>
      </c>
      <c r="E57" s="1" t="s">
        <v>37</v>
      </c>
      <c r="F57" s="1">
        <v>2946</v>
      </c>
      <c r="G57" s="1">
        <v>498</v>
      </c>
      <c r="H57" s="1">
        <v>367</v>
      </c>
      <c r="I57" s="1">
        <v>29460</v>
      </c>
      <c r="J57" s="1">
        <v>28527</v>
      </c>
      <c r="K57" s="1">
        <v>60</v>
      </c>
      <c r="L57" s="1" t="s">
        <v>48</v>
      </c>
      <c r="M57" s="1" t="s">
        <v>359</v>
      </c>
      <c r="N57" s="1" t="s">
        <v>359</v>
      </c>
      <c r="O57" s="8" t="s">
        <v>26</v>
      </c>
      <c r="P57" s="15">
        <f>(Table1_147[[#This Row],[Likes]]+Table1_147[[#This Row],[Shares]]+Table1_147[[#This Row],[Comments]])/Table1_147[[#This Row],[Impressions]]</f>
        <v>0.12936184657162253</v>
      </c>
      <c r="Q57" s="1">
        <f>(Table1_147[[#This Row],[Likes]]+Table1_147[[#This Row],[Shares]]+Table1_147[[#This Row],[Comments]])</f>
        <v>3811</v>
      </c>
    </row>
    <row r="58" spans="1:17" x14ac:dyDescent="0.3">
      <c r="A58" s="6" t="s">
        <v>108</v>
      </c>
      <c r="B58" s="1" t="s">
        <v>14</v>
      </c>
      <c r="C58" s="7">
        <v>45586</v>
      </c>
      <c r="D58" s="1" t="s">
        <v>56</v>
      </c>
      <c r="E58" s="1" t="s">
        <v>95</v>
      </c>
      <c r="F58" s="1">
        <v>2825</v>
      </c>
      <c r="G58" s="1">
        <v>535</v>
      </c>
      <c r="H58" s="1">
        <v>295</v>
      </c>
      <c r="I58" s="1">
        <v>45200</v>
      </c>
      <c r="J58" s="1">
        <v>44739</v>
      </c>
      <c r="K58" s="1">
        <v>169</v>
      </c>
      <c r="L58" s="1" t="s">
        <v>25</v>
      </c>
      <c r="M58" s="1" t="s">
        <v>359</v>
      </c>
      <c r="N58" s="1" t="s">
        <v>359</v>
      </c>
      <c r="O58" s="8" t="s">
        <v>17</v>
      </c>
      <c r="P58" s="15">
        <f>(Table1_147[[#This Row],[Likes]]+Table1_147[[#This Row],[Shares]]+Table1_147[[#This Row],[Comments]])/Table1_147[[#This Row],[Impressions]]</f>
        <v>8.0862831858407078E-2</v>
      </c>
      <c r="Q58" s="1">
        <f>(Table1_147[[#This Row],[Likes]]+Table1_147[[#This Row],[Shares]]+Table1_147[[#This Row],[Comments]])</f>
        <v>3655</v>
      </c>
    </row>
    <row r="59" spans="1:17" x14ac:dyDescent="0.3">
      <c r="A59" s="6" t="s">
        <v>109</v>
      </c>
      <c r="B59" s="1" t="s">
        <v>28</v>
      </c>
      <c r="C59" s="7">
        <v>45762</v>
      </c>
      <c r="D59" s="1" t="s">
        <v>15</v>
      </c>
      <c r="E59" s="1" t="s">
        <v>61</v>
      </c>
      <c r="F59" s="1">
        <v>103</v>
      </c>
      <c r="G59" s="1">
        <v>770</v>
      </c>
      <c r="H59" s="1">
        <v>19</v>
      </c>
      <c r="I59" s="1">
        <v>1030</v>
      </c>
      <c r="J59" s="1">
        <v>410</v>
      </c>
      <c r="K59" s="1">
        <v>262</v>
      </c>
      <c r="L59" s="1" t="s">
        <v>25</v>
      </c>
      <c r="M59" s="1" t="s">
        <v>359</v>
      </c>
      <c r="N59" s="1" t="s">
        <v>359</v>
      </c>
      <c r="O59" s="8" t="s">
        <v>32</v>
      </c>
      <c r="P59" s="15">
        <f>(Table1_147[[#This Row],[Likes]]+Table1_147[[#This Row],[Shares]]+Table1_147[[#This Row],[Comments]])/Table1_147[[#This Row],[Impressions]]</f>
        <v>0.86601941747572819</v>
      </c>
      <c r="Q59" s="1">
        <f>(Table1_147[[#This Row],[Likes]]+Table1_147[[#This Row],[Shares]]+Table1_147[[#This Row],[Comments]])</f>
        <v>892</v>
      </c>
    </row>
    <row r="60" spans="1:17" x14ac:dyDescent="0.3">
      <c r="A60" s="6" t="s">
        <v>110</v>
      </c>
      <c r="B60" s="1" t="s">
        <v>28</v>
      </c>
      <c r="C60" s="7">
        <v>45465</v>
      </c>
      <c r="D60" s="1" t="s">
        <v>19</v>
      </c>
      <c r="E60" s="1" t="s">
        <v>78</v>
      </c>
      <c r="F60" s="1">
        <v>2180</v>
      </c>
      <c r="G60" s="1">
        <v>263</v>
      </c>
      <c r="H60" s="1">
        <v>387</v>
      </c>
      <c r="I60" s="1">
        <v>30520</v>
      </c>
      <c r="J60" s="1">
        <v>30059</v>
      </c>
      <c r="K60" s="1">
        <v>174</v>
      </c>
      <c r="L60" s="1" t="s">
        <v>31</v>
      </c>
      <c r="M60" s="1" t="s">
        <v>359</v>
      </c>
      <c r="N60" s="1" t="s">
        <v>359</v>
      </c>
      <c r="O60" s="8" t="s">
        <v>360</v>
      </c>
      <c r="P60" s="15">
        <f>(Table1_147[[#This Row],[Likes]]+Table1_147[[#This Row],[Shares]]+Table1_147[[#This Row],[Comments]])/Table1_147[[#This Row],[Impressions]]</f>
        <v>9.2726081258191345E-2</v>
      </c>
      <c r="Q60" s="1">
        <f>(Table1_147[[#This Row],[Likes]]+Table1_147[[#This Row],[Shares]]+Table1_147[[#This Row],[Comments]])</f>
        <v>2830</v>
      </c>
    </row>
    <row r="61" spans="1:17" x14ac:dyDescent="0.3">
      <c r="A61" s="6" t="s">
        <v>111</v>
      </c>
      <c r="B61" s="1" t="s">
        <v>28</v>
      </c>
      <c r="C61" s="7">
        <v>45685</v>
      </c>
      <c r="D61" s="1" t="s">
        <v>56</v>
      </c>
      <c r="E61" s="1" t="s">
        <v>63</v>
      </c>
      <c r="F61" s="1">
        <v>904</v>
      </c>
      <c r="G61" s="1">
        <v>973</v>
      </c>
      <c r="H61" s="1">
        <v>63</v>
      </c>
      <c r="I61" s="1">
        <v>11752</v>
      </c>
      <c r="J61" s="1">
        <v>11580</v>
      </c>
      <c r="K61" s="1">
        <v>84</v>
      </c>
      <c r="L61" s="1" t="s">
        <v>31</v>
      </c>
      <c r="M61" s="1" t="s">
        <v>25</v>
      </c>
      <c r="N61" s="1" t="s">
        <v>354</v>
      </c>
      <c r="O61" s="8" t="s">
        <v>26</v>
      </c>
      <c r="P61" s="15">
        <f>(Table1_147[[#This Row],[Likes]]+Table1_147[[#This Row],[Shares]]+Table1_147[[#This Row],[Comments]])/Table1_147[[#This Row],[Impressions]]</f>
        <v>0.1650782845473111</v>
      </c>
      <c r="Q61" s="1">
        <f>(Table1_147[[#This Row],[Likes]]+Table1_147[[#This Row],[Shares]]+Table1_147[[#This Row],[Comments]])</f>
        <v>1940</v>
      </c>
    </row>
    <row r="62" spans="1:17" x14ac:dyDescent="0.3">
      <c r="A62" s="6" t="s">
        <v>112</v>
      </c>
      <c r="B62" s="1" t="s">
        <v>14</v>
      </c>
      <c r="C62" s="7">
        <v>45540</v>
      </c>
      <c r="D62" s="1" t="s">
        <v>56</v>
      </c>
      <c r="E62" s="1" t="s">
        <v>95</v>
      </c>
      <c r="F62" s="1">
        <v>4886</v>
      </c>
      <c r="G62" s="1">
        <v>983</v>
      </c>
      <c r="H62" s="1">
        <v>409</v>
      </c>
      <c r="I62" s="1">
        <v>43974</v>
      </c>
      <c r="J62" s="1">
        <v>43239</v>
      </c>
      <c r="K62" s="1">
        <v>65</v>
      </c>
      <c r="L62" s="1" t="s">
        <v>25</v>
      </c>
      <c r="M62" s="1" t="s">
        <v>359</v>
      </c>
      <c r="N62" s="1" t="s">
        <v>359</v>
      </c>
      <c r="O62" s="8" t="s">
        <v>17</v>
      </c>
      <c r="P62" s="15">
        <f>(Table1_147[[#This Row],[Likes]]+Table1_147[[#This Row],[Shares]]+Table1_147[[#This Row],[Comments]])/Table1_147[[#This Row],[Impressions]]</f>
        <v>0.14276618001546368</v>
      </c>
      <c r="Q62" s="1">
        <f>(Table1_147[[#This Row],[Likes]]+Table1_147[[#This Row],[Shares]]+Table1_147[[#This Row],[Comments]])</f>
        <v>6278</v>
      </c>
    </row>
    <row r="63" spans="1:17" x14ac:dyDescent="0.3">
      <c r="A63" s="6" t="s">
        <v>113</v>
      </c>
      <c r="B63" s="1" t="s">
        <v>14</v>
      </c>
      <c r="C63" s="7">
        <v>45618</v>
      </c>
      <c r="D63" s="1" t="s">
        <v>36</v>
      </c>
      <c r="E63" s="1" t="s">
        <v>39</v>
      </c>
      <c r="F63" s="1">
        <v>53</v>
      </c>
      <c r="G63" s="1">
        <v>81</v>
      </c>
      <c r="H63" s="1">
        <v>379</v>
      </c>
      <c r="I63" s="1">
        <v>954</v>
      </c>
      <c r="J63" s="1">
        <v>7</v>
      </c>
      <c r="K63" s="1">
        <v>148</v>
      </c>
      <c r="L63" s="1" t="s">
        <v>25</v>
      </c>
      <c r="M63" s="1" t="s">
        <v>359</v>
      </c>
      <c r="N63" s="1" t="s">
        <v>359</v>
      </c>
      <c r="O63" s="8" t="s">
        <v>26</v>
      </c>
      <c r="P63" s="15">
        <f>(Table1_147[[#This Row],[Likes]]+Table1_147[[#This Row],[Shares]]+Table1_147[[#This Row],[Comments]])/Table1_147[[#This Row],[Impressions]]</f>
        <v>0.53773584905660377</v>
      </c>
      <c r="Q63" s="1">
        <f>(Table1_147[[#This Row],[Likes]]+Table1_147[[#This Row],[Shares]]+Table1_147[[#This Row],[Comments]])</f>
        <v>513</v>
      </c>
    </row>
    <row r="64" spans="1:17" x14ac:dyDescent="0.3">
      <c r="A64" s="6" t="s">
        <v>114</v>
      </c>
      <c r="B64" s="1" t="s">
        <v>14</v>
      </c>
      <c r="C64" s="7">
        <v>45504</v>
      </c>
      <c r="D64" s="1" t="s">
        <v>36</v>
      </c>
      <c r="E64" s="1" t="s">
        <v>39</v>
      </c>
      <c r="F64" s="1">
        <v>4507</v>
      </c>
      <c r="G64" s="1">
        <v>217</v>
      </c>
      <c r="H64" s="1">
        <v>13</v>
      </c>
      <c r="I64" s="1">
        <v>90140</v>
      </c>
      <c r="J64" s="1">
        <v>89591</v>
      </c>
      <c r="K64" s="1">
        <v>125</v>
      </c>
      <c r="L64" s="1" t="s">
        <v>48</v>
      </c>
      <c r="M64" s="1" t="s">
        <v>359</v>
      </c>
      <c r="N64" s="1" t="s">
        <v>359</v>
      </c>
      <c r="O64" s="8" t="s">
        <v>26</v>
      </c>
      <c r="P64" s="15">
        <f>(Table1_147[[#This Row],[Likes]]+Table1_147[[#This Row],[Shares]]+Table1_147[[#This Row],[Comments]])/Table1_147[[#This Row],[Impressions]]</f>
        <v>5.2551586421122697E-2</v>
      </c>
      <c r="Q64" s="1">
        <f>(Table1_147[[#This Row],[Likes]]+Table1_147[[#This Row],[Shares]]+Table1_147[[#This Row],[Comments]])</f>
        <v>4737</v>
      </c>
    </row>
    <row r="65" spans="1:17" x14ac:dyDescent="0.3">
      <c r="A65" s="6" t="s">
        <v>115</v>
      </c>
      <c r="B65" s="1" t="s">
        <v>35</v>
      </c>
      <c r="C65" s="7">
        <v>45521</v>
      </c>
      <c r="D65" s="1" t="s">
        <v>41</v>
      </c>
      <c r="E65" s="1" t="s">
        <v>46</v>
      </c>
      <c r="F65" s="1">
        <v>2878</v>
      </c>
      <c r="G65" s="1">
        <v>248</v>
      </c>
      <c r="H65" s="1">
        <v>416</v>
      </c>
      <c r="I65" s="1">
        <v>43170</v>
      </c>
      <c r="J65" s="1">
        <v>42667</v>
      </c>
      <c r="K65" s="1">
        <v>75</v>
      </c>
      <c r="L65" s="1" t="s">
        <v>48</v>
      </c>
      <c r="M65" s="1" t="s">
        <v>359</v>
      </c>
      <c r="N65" s="1" t="s">
        <v>359</v>
      </c>
      <c r="O65" s="8" t="s">
        <v>26</v>
      </c>
      <c r="P65" s="15">
        <f>(Table1_147[[#This Row],[Likes]]+Table1_147[[#This Row],[Shares]]+Table1_147[[#This Row],[Comments]])/Table1_147[[#This Row],[Impressions]]</f>
        <v>8.2047718322909427E-2</v>
      </c>
      <c r="Q65" s="1">
        <f>(Table1_147[[#This Row],[Likes]]+Table1_147[[#This Row],[Shares]]+Table1_147[[#This Row],[Comments]])</f>
        <v>3542</v>
      </c>
    </row>
    <row r="66" spans="1:17" x14ac:dyDescent="0.3">
      <c r="A66" s="6" t="s">
        <v>116</v>
      </c>
      <c r="B66" s="1" t="s">
        <v>28</v>
      </c>
      <c r="C66" s="7">
        <v>45744</v>
      </c>
      <c r="D66" s="1" t="s">
        <v>29</v>
      </c>
      <c r="E66" s="1" t="s">
        <v>30</v>
      </c>
      <c r="F66" s="1">
        <v>1881</v>
      </c>
      <c r="G66" s="1">
        <v>501</v>
      </c>
      <c r="H66" s="1">
        <v>99</v>
      </c>
      <c r="I66" s="1">
        <v>20691</v>
      </c>
      <c r="J66" s="1">
        <v>19987</v>
      </c>
      <c r="K66" s="1">
        <v>289</v>
      </c>
      <c r="L66" s="1" t="s">
        <v>31</v>
      </c>
      <c r="M66" s="1" t="s">
        <v>359</v>
      </c>
      <c r="N66" s="1" t="s">
        <v>359</v>
      </c>
      <c r="O66" s="8" t="s">
        <v>360</v>
      </c>
      <c r="P66" s="15">
        <f>(Table1_147[[#This Row],[Likes]]+Table1_147[[#This Row],[Shares]]+Table1_147[[#This Row],[Comments]])/Table1_147[[#This Row],[Impressions]]</f>
        <v>0.11990720603160794</v>
      </c>
      <c r="Q66" s="1">
        <f>(Table1_147[[#This Row],[Likes]]+Table1_147[[#This Row],[Shares]]+Table1_147[[#This Row],[Comments]])</f>
        <v>2481</v>
      </c>
    </row>
    <row r="67" spans="1:17" x14ac:dyDescent="0.3">
      <c r="A67" s="6" t="s">
        <v>117</v>
      </c>
      <c r="B67" s="1" t="s">
        <v>14</v>
      </c>
      <c r="C67" s="7">
        <v>45499</v>
      </c>
      <c r="D67" s="1" t="s">
        <v>36</v>
      </c>
      <c r="E67" s="1" t="s">
        <v>39</v>
      </c>
      <c r="F67" s="1">
        <v>432</v>
      </c>
      <c r="G67" s="1">
        <v>171</v>
      </c>
      <c r="H67" s="1">
        <v>280</v>
      </c>
      <c r="I67" s="1">
        <v>3024</v>
      </c>
      <c r="J67" s="1">
        <v>2285</v>
      </c>
      <c r="K67" s="1">
        <v>184</v>
      </c>
      <c r="L67" s="1" t="s">
        <v>31</v>
      </c>
      <c r="M67" s="1" t="s">
        <v>359</v>
      </c>
      <c r="N67" s="1" t="s">
        <v>359</v>
      </c>
      <c r="O67" s="8" t="s">
        <v>17</v>
      </c>
      <c r="P67" s="15">
        <f>(Table1_147[[#This Row],[Likes]]+Table1_147[[#This Row],[Shares]]+Table1_147[[#This Row],[Comments]])/Table1_147[[#This Row],[Impressions]]</f>
        <v>0.29199735449735448</v>
      </c>
      <c r="Q67" s="1">
        <f>(Table1_147[[#This Row],[Likes]]+Table1_147[[#This Row],[Shares]]+Table1_147[[#This Row],[Comments]])</f>
        <v>883</v>
      </c>
    </row>
    <row r="68" spans="1:17" x14ac:dyDescent="0.3">
      <c r="A68" s="6" t="s">
        <v>118</v>
      </c>
      <c r="B68" s="1" t="s">
        <v>35</v>
      </c>
      <c r="C68" s="7">
        <v>45745</v>
      </c>
      <c r="D68" s="1" t="s">
        <v>36</v>
      </c>
      <c r="E68" s="1" t="s">
        <v>37</v>
      </c>
      <c r="F68" s="1">
        <v>4712</v>
      </c>
      <c r="G68" s="1">
        <v>568</v>
      </c>
      <c r="H68" s="1">
        <v>127</v>
      </c>
      <c r="I68" s="1">
        <v>84816</v>
      </c>
      <c r="J68" s="1">
        <v>84691</v>
      </c>
      <c r="K68" s="1">
        <v>100</v>
      </c>
      <c r="L68" s="1" t="s">
        <v>31</v>
      </c>
      <c r="M68" s="1" t="s">
        <v>359</v>
      </c>
      <c r="N68" s="1" t="s">
        <v>359</v>
      </c>
      <c r="O68" s="8" t="s">
        <v>26</v>
      </c>
      <c r="P68" s="15">
        <f>(Table1_147[[#This Row],[Likes]]+Table1_147[[#This Row],[Shares]]+Table1_147[[#This Row],[Comments]])/Table1_147[[#This Row],[Impressions]]</f>
        <v>6.3749764195434822E-2</v>
      </c>
      <c r="Q68" s="1">
        <f>(Table1_147[[#This Row],[Likes]]+Table1_147[[#This Row],[Shares]]+Table1_147[[#This Row],[Comments]])</f>
        <v>5407</v>
      </c>
    </row>
    <row r="69" spans="1:17" x14ac:dyDescent="0.3">
      <c r="A69" s="6" t="s">
        <v>119</v>
      </c>
      <c r="B69" s="1" t="s">
        <v>28</v>
      </c>
      <c r="C69" s="7">
        <v>45634</v>
      </c>
      <c r="D69" s="1" t="s">
        <v>29</v>
      </c>
      <c r="E69" s="1" t="s">
        <v>30</v>
      </c>
      <c r="F69" s="1">
        <v>2610</v>
      </c>
      <c r="G69" s="1">
        <v>126</v>
      </c>
      <c r="H69" s="1">
        <v>288</v>
      </c>
      <c r="I69" s="1">
        <v>15660</v>
      </c>
      <c r="J69" s="1">
        <v>15145</v>
      </c>
      <c r="K69" s="1">
        <v>73</v>
      </c>
      <c r="L69" s="1" t="s">
        <v>31</v>
      </c>
      <c r="M69" s="1" t="s">
        <v>359</v>
      </c>
      <c r="N69" s="1" t="s">
        <v>359</v>
      </c>
      <c r="O69" s="8" t="s">
        <v>360</v>
      </c>
      <c r="P69" s="15">
        <f>(Table1_147[[#This Row],[Likes]]+Table1_147[[#This Row],[Shares]]+Table1_147[[#This Row],[Comments]])/Table1_147[[#This Row],[Impressions]]</f>
        <v>0.19310344827586207</v>
      </c>
      <c r="Q69" s="1">
        <f>(Table1_147[[#This Row],[Likes]]+Table1_147[[#This Row],[Shares]]+Table1_147[[#This Row],[Comments]])</f>
        <v>3024</v>
      </c>
    </row>
    <row r="70" spans="1:17" x14ac:dyDescent="0.3">
      <c r="A70" s="6" t="s">
        <v>120</v>
      </c>
      <c r="B70" s="1" t="s">
        <v>14</v>
      </c>
      <c r="C70" s="7">
        <v>45724</v>
      </c>
      <c r="D70" s="1" t="s">
        <v>19</v>
      </c>
      <c r="E70" s="1" t="s">
        <v>20</v>
      </c>
      <c r="F70" s="1">
        <v>1292</v>
      </c>
      <c r="G70" s="1">
        <v>626</v>
      </c>
      <c r="H70" s="1">
        <v>496</v>
      </c>
      <c r="I70" s="1">
        <v>25840</v>
      </c>
      <c r="J70" s="1">
        <v>24916</v>
      </c>
      <c r="K70" s="1">
        <v>149</v>
      </c>
      <c r="L70" s="1" t="s">
        <v>48</v>
      </c>
      <c r="M70" s="1" t="s">
        <v>359</v>
      </c>
      <c r="N70" s="1" t="s">
        <v>359</v>
      </c>
      <c r="O70" s="8" t="s">
        <v>26</v>
      </c>
      <c r="P70" s="15">
        <f>(Table1_147[[#This Row],[Likes]]+Table1_147[[#This Row],[Shares]]+Table1_147[[#This Row],[Comments]])/Table1_147[[#This Row],[Impressions]]</f>
        <v>9.3421052631578946E-2</v>
      </c>
      <c r="Q70" s="1">
        <f>(Table1_147[[#This Row],[Likes]]+Table1_147[[#This Row],[Shares]]+Table1_147[[#This Row],[Comments]])</f>
        <v>2414</v>
      </c>
    </row>
    <row r="71" spans="1:17" x14ac:dyDescent="0.3">
      <c r="A71" s="6" t="s">
        <v>121</v>
      </c>
      <c r="B71" s="1" t="s">
        <v>35</v>
      </c>
      <c r="C71" s="7">
        <v>45749</v>
      </c>
      <c r="D71" s="1" t="s">
        <v>56</v>
      </c>
      <c r="E71" s="1" t="s">
        <v>57</v>
      </c>
      <c r="F71" s="1">
        <v>199</v>
      </c>
      <c r="G71" s="1">
        <v>772</v>
      </c>
      <c r="H71" s="1">
        <v>400</v>
      </c>
      <c r="I71" s="1">
        <v>3582</v>
      </c>
      <c r="J71" s="1">
        <v>2988</v>
      </c>
      <c r="K71" s="1">
        <v>43</v>
      </c>
      <c r="L71" s="1" t="s">
        <v>25</v>
      </c>
      <c r="M71" s="1" t="s">
        <v>359</v>
      </c>
      <c r="N71" s="1" t="s">
        <v>359</v>
      </c>
      <c r="O71" s="8" t="s">
        <v>360</v>
      </c>
      <c r="P71" s="15">
        <f>(Table1_147[[#This Row],[Likes]]+Table1_147[[#This Row],[Shares]]+Table1_147[[#This Row],[Comments]])/Table1_147[[#This Row],[Impressions]]</f>
        <v>0.38274706867671693</v>
      </c>
      <c r="Q71" s="1">
        <f>(Table1_147[[#This Row],[Likes]]+Table1_147[[#This Row],[Shares]]+Table1_147[[#This Row],[Comments]])</f>
        <v>1371</v>
      </c>
    </row>
    <row r="72" spans="1:17" x14ac:dyDescent="0.3">
      <c r="A72" s="6" t="s">
        <v>122</v>
      </c>
      <c r="B72" s="1" t="s">
        <v>23</v>
      </c>
      <c r="C72" s="7">
        <v>45537</v>
      </c>
      <c r="D72" s="1" t="s">
        <v>36</v>
      </c>
      <c r="E72" s="1" t="s">
        <v>52</v>
      </c>
      <c r="F72" s="1">
        <v>2551</v>
      </c>
      <c r="G72" s="1">
        <v>915</v>
      </c>
      <c r="H72" s="1">
        <v>205</v>
      </c>
      <c r="I72" s="1">
        <v>30612</v>
      </c>
      <c r="J72" s="1">
        <v>30360</v>
      </c>
      <c r="K72" s="1">
        <v>227</v>
      </c>
      <c r="L72" s="1" t="s">
        <v>25</v>
      </c>
      <c r="M72" s="1" t="s">
        <v>359</v>
      </c>
      <c r="N72" s="1" t="s">
        <v>359</v>
      </c>
      <c r="O72" s="8" t="s">
        <v>21</v>
      </c>
      <c r="P72" s="15">
        <f>(Table1_147[[#This Row],[Likes]]+Table1_147[[#This Row],[Shares]]+Table1_147[[#This Row],[Comments]])/Table1_147[[#This Row],[Impressions]]</f>
        <v>0.1199202926956749</v>
      </c>
      <c r="Q72" s="1">
        <f>(Table1_147[[#This Row],[Likes]]+Table1_147[[#This Row],[Shares]]+Table1_147[[#This Row],[Comments]])</f>
        <v>3671</v>
      </c>
    </row>
    <row r="73" spans="1:17" x14ac:dyDescent="0.3">
      <c r="A73" s="6" t="s">
        <v>123</v>
      </c>
      <c r="B73" s="1" t="s">
        <v>23</v>
      </c>
      <c r="C73" s="7">
        <v>45719</v>
      </c>
      <c r="D73" s="1" t="s">
        <v>15</v>
      </c>
      <c r="E73" s="1" t="s">
        <v>24</v>
      </c>
      <c r="F73" s="1">
        <v>296</v>
      </c>
      <c r="G73" s="1">
        <v>60</v>
      </c>
      <c r="H73" s="1">
        <v>141</v>
      </c>
      <c r="I73" s="1">
        <v>5624</v>
      </c>
      <c r="J73" s="1">
        <v>5239</v>
      </c>
      <c r="K73" s="1">
        <v>88</v>
      </c>
      <c r="L73" s="1" t="s">
        <v>31</v>
      </c>
      <c r="M73" s="1" t="s">
        <v>359</v>
      </c>
      <c r="N73" s="1" t="s">
        <v>359</v>
      </c>
      <c r="O73" s="8" t="s">
        <v>21</v>
      </c>
      <c r="P73" s="15">
        <f>(Table1_147[[#This Row],[Likes]]+Table1_147[[#This Row],[Shares]]+Table1_147[[#This Row],[Comments]])/Table1_147[[#This Row],[Impressions]]</f>
        <v>8.837126600284495E-2</v>
      </c>
      <c r="Q73" s="1">
        <f>(Table1_147[[#This Row],[Likes]]+Table1_147[[#This Row],[Shares]]+Table1_147[[#This Row],[Comments]])</f>
        <v>497</v>
      </c>
    </row>
    <row r="74" spans="1:17" x14ac:dyDescent="0.3">
      <c r="A74" s="6" t="s">
        <v>124</v>
      </c>
      <c r="B74" s="1" t="s">
        <v>35</v>
      </c>
      <c r="C74" s="7">
        <v>45583</v>
      </c>
      <c r="D74" s="1" t="s">
        <v>29</v>
      </c>
      <c r="E74" s="1" t="s">
        <v>54</v>
      </c>
      <c r="F74" s="1">
        <v>4126</v>
      </c>
      <c r="G74" s="1">
        <v>426</v>
      </c>
      <c r="H74" s="1">
        <v>486</v>
      </c>
      <c r="I74" s="1">
        <v>78394</v>
      </c>
      <c r="J74" s="1">
        <v>77798</v>
      </c>
      <c r="K74" s="1">
        <v>88</v>
      </c>
      <c r="L74" s="1" t="s">
        <v>48</v>
      </c>
      <c r="M74" s="1" t="s">
        <v>359</v>
      </c>
      <c r="N74" s="1" t="s">
        <v>359</v>
      </c>
      <c r="O74" s="8" t="s">
        <v>32</v>
      </c>
      <c r="P74" s="15">
        <f>(Table1_147[[#This Row],[Likes]]+Table1_147[[#This Row],[Shares]]+Table1_147[[#This Row],[Comments]])/Table1_147[[#This Row],[Impressions]]</f>
        <v>6.4265122330790625E-2</v>
      </c>
      <c r="Q74" s="1">
        <f>(Table1_147[[#This Row],[Likes]]+Table1_147[[#This Row],[Shares]]+Table1_147[[#This Row],[Comments]])</f>
        <v>5038</v>
      </c>
    </row>
    <row r="75" spans="1:17" x14ac:dyDescent="0.3">
      <c r="A75" s="6" t="s">
        <v>125</v>
      </c>
      <c r="B75" s="1" t="s">
        <v>23</v>
      </c>
      <c r="C75" s="7">
        <v>45593</v>
      </c>
      <c r="D75" s="1" t="s">
        <v>15</v>
      </c>
      <c r="E75" s="1" t="s">
        <v>24</v>
      </c>
      <c r="F75" s="1">
        <v>1855</v>
      </c>
      <c r="G75" s="1">
        <v>200</v>
      </c>
      <c r="H75" s="1">
        <v>174</v>
      </c>
      <c r="I75" s="1">
        <v>16695</v>
      </c>
      <c r="J75" s="1">
        <v>16330</v>
      </c>
      <c r="K75" s="1">
        <v>123</v>
      </c>
      <c r="L75" s="1" t="s">
        <v>25</v>
      </c>
      <c r="M75" s="1" t="s">
        <v>359</v>
      </c>
      <c r="N75" s="1" t="s">
        <v>359</v>
      </c>
      <c r="O75" s="8" t="s">
        <v>26</v>
      </c>
      <c r="P75" s="15">
        <f>(Table1_147[[#This Row],[Likes]]+Table1_147[[#This Row],[Shares]]+Table1_147[[#This Row],[Comments]])/Table1_147[[#This Row],[Impressions]]</f>
        <v>0.13351302785265048</v>
      </c>
      <c r="Q75" s="1">
        <f>(Table1_147[[#This Row],[Likes]]+Table1_147[[#This Row],[Shares]]+Table1_147[[#This Row],[Comments]])</f>
        <v>2229</v>
      </c>
    </row>
    <row r="76" spans="1:17" x14ac:dyDescent="0.3">
      <c r="A76" s="6" t="s">
        <v>126</v>
      </c>
      <c r="B76" s="1" t="s">
        <v>28</v>
      </c>
      <c r="C76" s="7">
        <v>45505</v>
      </c>
      <c r="D76" s="1" t="s">
        <v>15</v>
      </c>
      <c r="E76" s="1" t="s">
        <v>61</v>
      </c>
      <c r="F76" s="1">
        <v>1674</v>
      </c>
      <c r="G76" s="1">
        <v>929</v>
      </c>
      <c r="H76" s="1">
        <v>37</v>
      </c>
      <c r="I76" s="1">
        <v>21762</v>
      </c>
      <c r="J76" s="1">
        <v>20998</v>
      </c>
      <c r="K76" s="1">
        <v>255</v>
      </c>
      <c r="L76" s="1" t="s">
        <v>25</v>
      </c>
      <c r="M76" s="1" t="s">
        <v>359</v>
      </c>
      <c r="N76" s="1" t="s">
        <v>359</v>
      </c>
      <c r="O76" s="8" t="s">
        <v>32</v>
      </c>
      <c r="P76" s="15">
        <f>(Table1_147[[#This Row],[Likes]]+Table1_147[[#This Row],[Shares]]+Table1_147[[#This Row],[Comments]])/Table1_147[[#This Row],[Impressions]]</f>
        <v>0.12131237937689551</v>
      </c>
      <c r="Q76" s="1">
        <f>(Table1_147[[#This Row],[Likes]]+Table1_147[[#This Row],[Shares]]+Table1_147[[#This Row],[Comments]])</f>
        <v>2640</v>
      </c>
    </row>
    <row r="77" spans="1:17" x14ac:dyDescent="0.3">
      <c r="A77" s="6" t="s">
        <v>127</v>
      </c>
      <c r="B77" s="1" t="s">
        <v>14</v>
      </c>
      <c r="C77" s="7">
        <v>45603</v>
      </c>
      <c r="D77" s="1" t="s">
        <v>29</v>
      </c>
      <c r="E77" s="1" t="s">
        <v>98</v>
      </c>
      <c r="F77" s="1">
        <v>1121</v>
      </c>
      <c r="G77" s="1">
        <v>135</v>
      </c>
      <c r="H77" s="1">
        <v>18</v>
      </c>
      <c r="I77" s="1">
        <v>15694</v>
      </c>
      <c r="J77" s="1">
        <v>14957</v>
      </c>
      <c r="K77" s="1">
        <v>99</v>
      </c>
      <c r="L77" s="1" t="s">
        <v>25</v>
      </c>
      <c r="M77" s="1" t="s">
        <v>359</v>
      </c>
      <c r="N77" s="1" t="s">
        <v>359</v>
      </c>
      <c r="O77" s="8" t="s">
        <v>32</v>
      </c>
      <c r="P77" s="15">
        <f>(Table1_147[[#This Row],[Likes]]+Table1_147[[#This Row],[Shares]]+Table1_147[[#This Row],[Comments]])/Table1_147[[#This Row],[Impressions]]</f>
        <v>8.1177520071364848E-2</v>
      </c>
      <c r="Q77" s="1">
        <f>(Table1_147[[#This Row],[Likes]]+Table1_147[[#This Row],[Shares]]+Table1_147[[#This Row],[Comments]])</f>
        <v>1274</v>
      </c>
    </row>
    <row r="78" spans="1:17" x14ac:dyDescent="0.3">
      <c r="A78" s="6" t="s">
        <v>128</v>
      </c>
      <c r="B78" s="1" t="s">
        <v>35</v>
      </c>
      <c r="C78" s="7">
        <v>45720</v>
      </c>
      <c r="D78" s="1" t="s">
        <v>29</v>
      </c>
      <c r="E78" s="1" t="s">
        <v>54</v>
      </c>
      <c r="F78" s="1">
        <v>1249</v>
      </c>
      <c r="G78" s="1">
        <v>116</v>
      </c>
      <c r="H78" s="1">
        <v>420</v>
      </c>
      <c r="I78" s="1">
        <v>8743</v>
      </c>
      <c r="J78" s="1">
        <v>8538</v>
      </c>
      <c r="K78" s="1">
        <v>63</v>
      </c>
      <c r="L78" s="1" t="s">
        <v>25</v>
      </c>
      <c r="M78" s="1" t="s">
        <v>359</v>
      </c>
      <c r="N78" s="1" t="s">
        <v>359</v>
      </c>
      <c r="O78" s="8" t="s">
        <v>360</v>
      </c>
      <c r="P78" s="15">
        <f>(Table1_147[[#This Row],[Likes]]+Table1_147[[#This Row],[Shares]]+Table1_147[[#This Row],[Comments]])/Table1_147[[#This Row],[Impressions]]</f>
        <v>0.20416333066453163</v>
      </c>
      <c r="Q78" s="1">
        <f>(Table1_147[[#This Row],[Likes]]+Table1_147[[#This Row],[Shares]]+Table1_147[[#This Row],[Comments]])</f>
        <v>1785</v>
      </c>
    </row>
    <row r="79" spans="1:17" x14ac:dyDescent="0.3">
      <c r="A79" s="6" t="s">
        <v>129</v>
      </c>
      <c r="B79" s="1" t="s">
        <v>14</v>
      </c>
      <c r="C79" s="7">
        <v>45460</v>
      </c>
      <c r="D79" s="1" t="s">
        <v>41</v>
      </c>
      <c r="E79" s="1" t="s">
        <v>88</v>
      </c>
      <c r="F79" s="1">
        <v>954</v>
      </c>
      <c r="G79" s="1">
        <v>324</v>
      </c>
      <c r="H79" s="1">
        <v>288</v>
      </c>
      <c r="I79" s="1">
        <v>19080</v>
      </c>
      <c r="J79" s="1">
        <v>18859</v>
      </c>
      <c r="K79" s="1">
        <v>21</v>
      </c>
      <c r="L79" s="1" t="s">
        <v>48</v>
      </c>
      <c r="M79" s="1" t="s">
        <v>359</v>
      </c>
      <c r="N79" s="1" t="s">
        <v>359</v>
      </c>
      <c r="O79" s="8" t="s">
        <v>32</v>
      </c>
      <c r="P79" s="15">
        <f>(Table1_147[[#This Row],[Likes]]+Table1_147[[#This Row],[Shares]]+Table1_147[[#This Row],[Comments]])/Table1_147[[#This Row],[Impressions]]</f>
        <v>8.2075471698113203E-2</v>
      </c>
      <c r="Q79" s="1">
        <f>(Table1_147[[#This Row],[Likes]]+Table1_147[[#This Row],[Shares]]+Table1_147[[#This Row],[Comments]])</f>
        <v>1566</v>
      </c>
    </row>
    <row r="80" spans="1:17" x14ac:dyDescent="0.3">
      <c r="A80" s="6" t="s">
        <v>130</v>
      </c>
      <c r="B80" s="1" t="s">
        <v>28</v>
      </c>
      <c r="C80" s="7">
        <v>45574</v>
      </c>
      <c r="D80" s="1" t="s">
        <v>36</v>
      </c>
      <c r="E80" s="1" t="s">
        <v>65</v>
      </c>
      <c r="F80" s="1">
        <v>3068</v>
      </c>
      <c r="G80" s="1">
        <v>137</v>
      </c>
      <c r="H80" s="1">
        <v>329</v>
      </c>
      <c r="I80" s="1">
        <v>39884</v>
      </c>
      <c r="J80" s="1">
        <v>39404</v>
      </c>
      <c r="K80" s="1">
        <v>266</v>
      </c>
      <c r="L80" s="1" t="s">
        <v>31</v>
      </c>
      <c r="M80" s="1" t="s">
        <v>359</v>
      </c>
      <c r="N80" s="1" t="s">
        <v>359</v>
      </c>
      <c r="O80" s="8" t="s">
        <v>21</v>
      </c>
      <c r="P80" s="15">
        <f>(Table1_147[[#This Row],[Likes]]+Table1_147[[#This Row],[Shares]]+Table1_147[[#This Row],[Comments]])/Table1_147[[#This Row],[Impressions]]</f>
        <v>8.860696018453515E-2</v>
      </c>
      <c r="Q80" s="1">
        <f>(Table1_147[[#This Row],[Likes]]+Table1_147[[#This Row],[Shares]]+Table1_147[[#This Row],[Comments]])</f>
        <v>3534</v>
      </c>
    </row>
    <row r="81" spans="1:17" x14ac:dyDescent="0.3">
      <c r="A81" s="6" t="s">
        <v>131</v>
      </c>
      <c r="B81" s="1" t="s">
        <v>28</v>
      </c>
      <c r="C81" s="7">
        <v>45456</v>
      </c>
      <c r="D81" s="1" t="s">
        <v>29</v>
      </c>
      <c r="E81" s="1" t="s">
        <v>30</v>
      </c>
      <c r="F81" s="1">
        <v>2103</v>
      </c>
      <c r="G81" s="1">
        <v>892</v>
      </c>
      <c r="H81" s="1">
        <v>103</v>
      </c>
      <c r="I81" s="1">
        <v>39957</v>
      </c>
      <c r="J81" s="1">
        <v>39466</v>
      </c>
      <c r="K81" s="1">
        <v>28</v>
      </c>
      <c r="L81" s="1" t="s">
        <v>48</v>
      </c>
      <c r="M81" s="1" t="s">
        <v>359</v>
      </c>
      <c r="N81" s="1" t="s">
        <v>359</v>
      </c>
      <c r="O81" s="8" t="s">
        <v>360</v>
      </c>
      <c r="P81" s="15">
        <f>(Table1_147[[#This Row],[Likes]]+Table1_147[[#This Row],[Shares]]+Table1_147[[#This Row],[Comments]])/Table1_147[[#This Row],[Impressions]]</f>
        <v>7.7533348349475686E-2</v>
      </c>
      <c r="Q81" s="1">
        <f>(Table1_147[[#This Row],[Likes]]+Table1_147[[#This Row],[Shares]]+Table1_147[[#This Row],[Comments]])</f>
        <v>3098</v>
      </c>
    </row>
    <row r="82" spans="1:17" x14ac:dyDescent="0.3">
      <c r="A82" s="6" t="s">
        <v>132</v>
      </c>
      <c r="B82" s="1" t="s">
        <v>28</v>
      </c>
      <c r="C82" s="7">
        <v>45584</v>
      </c>
      <c r="D82" s="1" t="s">
        <v>29</v>
      </c>
      <c r="E82" s="1" t="s">
        <v>30</v>
      </c>
      <c r="F82" s="1">
        <v>1816</v>
      </c>
      <c r="G82" s="1">
        <v>29</v>
      </c>
      <c r="H82" s="1">
        <v>41</v>
      </c>
      <c r="I82" s="1">
        <v>19976</v>
      </c>
      <c r="J82" s="1">
        <v>19262</v>
      </c>
      <c r="K82" s="1">
        <v>283</v>
      </c>
      <c r="L82" s="1" t="s">
        <v>25</v>
      </c>
      <c r="M82" s="1" t="s">
        <v>359</v>
      </c>
      <c r="N82" s="1" t="s">
        <v>359</v>
      </c>
      <c r="O82" s="8" t="s">
        <v>26</v>
      </c>
      <c r="P82" s="15">
        <f>(Table1_147[[#This Row],[Likes]]+Table1_147[[#This Row],[Shares]]+Table1_147[[#This Row],[Comments]])/Table1_147[[#This Row],[Impressions]]</f>
        <v>9.4413295955146179E-2</v>
      </c>
      <c r="Q82" s="1">
        <f>(Table1_147[[#This Row],[Likes]]+Table1_147[[#This Row],[Shares]]+Table1_147[[#This Row],[Comments]])</f>
        <v>1886</v>
      </c>
    </row>
    <row r="83" spans="1:17" x14ac:dyDescent="0.3">
      <c r="A83" s="6" t="s">
        <v>133</v>
      </c>
      <c r="B83" s="1" t="s">
        <v>28</v>
      </c>
      <c r="C83" s="7">
        <v>45497</v>
      </c>
      <c r="D83" s="1" t="s">
        <v>41</v>
      </c>
      <c r="E83" s="1" t="s">
        <v>134</v>
      </c>
      <c r="F83" s="1">
        <v>725</v>
      </c>
      <c r="G83" s="1">
        <v>88</v>
      </c>
      <c r="H83" s="1">
        <v>428</v>
      </c>
      <c r="I83" s="1">
        <v>14500</v>
      </c>
      <c r="J83" s="1">
        <v>13637</v>
      </c>
      <c r="K83" s="1">
        <v>200</v>
      </c>
      <c r="L83" s="1" t="s">
        <v>48</v>
      </c>
      <c r="M83" s="1" t="s">
        <v>25</v>
      </c>
      <c r="N83" s="1" t="s">
        <v>354</v>
      </c>
      <c r="O83" s="8" t="s">
        <v>26</v>
      </c>
      <c r="P83" s="15">
        <f>(Table1_147[[#This Row],[Likes]]+Table1_147[[#This Row],[Shares]]+Table1_147[[#This Row],[Comments]])/Table1_147[[#This Row],[Impressions]]</f>
        <v>8.558620689655172E-2</v>
      </c>
      <c r="Q83" s="1">
        <f>(Table1_147[[#This Row],[Likes]]+Table1_147[[#This Row],[Shares]]+Table1_147[[#This Row],[Comments]])</f>
        <v>1241</v>
      </c>
    </row>
    <row r="84" spans="1:17" x14ac:dyDescent="0.3">
      <c r="A84" s="6" t="s">
        <v>135</v>
      </c>
      <c r="B84" s="1" t="s">
        <v>23</v>
      </c>
      <c r="C84" s="7">
        <v>45580</v>
      </c>
      <c r="D84" s="1" t="s">
        <v>56</v>
      </c>
      <c r="E84" s="1" t="s">
        <v>136</v>
      </c>
      <c r="F84" s="1">
        <v>1094</v>
      </c>
      <c r="G84" s="1">
        <v>472</v>
      </c>
      <c r="H84" s="1">
        <v>21</v>
      </c>
      <c r="I84" s="1">
        <v>9846</v>
      </c>
      <c r="J84" s="1">
        <v>9609</v>
      </c>
      <c r="K84" s="1">
        <v>112</v>
      </c>
      <c r="L84" s="1" t="s">
        <v>31</v>
      </c>
      <c r="M84" s="1" t="s">
        <v>359</v>
      </c>
      <c r="N84" s="1" t="s">
        <v>359</v>
      </c>
      <c r="O84" s="8" t="s">
        <v>360</v>
      </c>
      <c r="P84" s="15">
        <f>(Table1_147[[#This Row],[Likes]]+Table1_147[[#This Row],[Shares]]+Table1_147[[#This Row],[Comments]])/Table1_147[[#This Row],[Impressions]]</f>
        <v>0.16118220597196831</v>
      </c>
      <c r="Q84" s="1">
        <f>(Table1_147[[#This Row],[Likes]]+Table1_147[[#This Row],[Shares]]+Table1_147[[#This Row],[Comments]])</f>
        <v>1587</v>
      </c>
    </row>
    <row r="85" spans="1:17" x14ac:dyDescent="0.3">
      <c r="A85" s="6" t="s">
        <v>137</v>
      </c>
      <c r="B85" s="1" t="s">
        <v>35</v>
      </c>
      <c r="C85" s="7">
        <v>45635</v>
      </c>
      <c r="D85" s="1" t="s">
        <v>41</v>
      </c>
      <c r="E85" s="1" t="s">
        <v>46</v>
      </c>
      <c r="F85" s="1">
        <v>1841</v>
      </c>
      <c r="G85" s="1">
        <v>851</v>
      </c>
      <c r="H85" s="1">
        <v>342</v>
      </c>
      <c r="I85" s="1">
        <v>34979</v>
      </c>
      <c r="J85" s="1">
        <v>34154</v>
      </c>
      <c r="K85" s="1">
        <v>255</v>
      </c>
      <c r="L85" s="1" t="s">
        <v>48</v>
      </c>
      <c r="M85" s="1" t="s">
        <v>359</v>
      </c>
      <c r="N85" s="1" t="s">
        <v>359</v>
      </c>
      <c r="O85" s="8" t="s">
        <v>32</v>
      </c>
      <c r="P85" s="15">
        <f>(Table1_147[[#This Row],[Likes]]+Table1_147[[#This Row],[Shares]]+Table1_147[[#This Row],[Comments]])/Table1_147[[#This Row],[Impressions]]</f>
        <v>8.6737756939878216E-2</v>
      </c>
      <c r="Q85" s="1">
        <f>(Table1_147[[#This Row],[Likes]]+Table1_147[[#This Row],[Shares]]+Table1_147[[#This Row],[Comments]])</f>
        <v>3034</v>
      </c>
    </row>
    <row r="86" spans="1:17" x14ac:dyDescent="0.3">
      <c r="A86" s="6" t="s">
        <v>138</v>
      </c>
      <c r="B86" s="1" t="s">
        <v>28</v>
      </c>
      <c r="C86" s="7">
        <v>45766</v>
      </c>
      <c r="D86" s="1" t="s">
        <v>41</v>
      </c>
      <c r="E86" s="1" t="s">
        <v>134</v>
      </c>
      <c r="F86" s="1">
        <v>4177</v>
      </c>
      <c r="G86" s="1">
        <v>569</v>
      </c>
      <c r="H86" s="1">
        <v>55</v>
      </c>
      <c r="I86" s="1">
        <v>25062</v>
      </c>
      <c r="J86" s="1">
        <v>24847</v>
      </c>
      <c r="K86" s="1">
        <v>230</v>
      </c>
      <c r="L86" s="1" t="s">
        <v>48</v>
      </c>
      <c r="M86" s="1" t="s">
        <v>359</v>
      </c>
      <c r="N86" s="1" t="s">
        <v>359</v>
      </c>
      <c r="O86" s="8" t="s">
        <v>17</v>
      </c>
      <c r="P86" s="15">
        <f>(Table1_147[[#This Row],[Likes]]+Table1_147[[#This Row],[Shares]]+Table1_147[[#This Row],[Comments]])/Table1_147[[#This Row],[Impressions]]</f>
        <v>0.19156491900087783</v>
      </c>
      <c r="Q86" s="1">
        <f>(Table1_147[[#This Row],[Likes]]+Table1_147[[#This Row],[Shares]]+Table1_147[[#This Row],[Comments]])</f>
        <v>4801</v>
      </c>
    </row>
    <row r="87" spans="1:17" x14ac:dyDescent="0.3">
      <c r="A87" s="6" t="s">
        <v>139</v>
      </c>
      <c r="B87" s="1" t="s">
        <v>23</v>
      </c>
      <c r="C87" s="7">
        <v>45684</v>
      </c>
      <c r="D87" s="1" t="s">
        <v>19</v>
      </c>
      <c r="E87" s="1" t="s">
        <v>73</v>
      </c>
      <c r="F87" s="1">
        <v>3428</v>
      </c>
      <c r="G87" s="1">
        <v>305</v>
      </c>
      <c r="H87" s="1">
        <v>85</v>
      </c>
      <c r="I87" s="1">
        <v>58276</v>
      </c>
      <c r="J87" s="1">
        <v>58052</v>
      </c>
      <c r="K87" s="1">
        <v>242</v>
      </c>
      <c r="L87" s="1" t="s">
        <v>31</v>
      </c>
      <c r="M87" s="1" t="s">
        <v>355</v>
      </c>
      <c r="N87" s="1" t="s">
        <v>359</v>
      </c>
      <c r="O87" s="8" t="s">
        <v>32</v>
      </c>
      <c r="P87" s="15">
        <f>(Table1_147[[#This Row],[Likes]]+Table1_147[[#This Row],[Shares]]+Table1_147[[#This Row],[Comments]])/Table1_147[[#This Row],[Impressions]]</f>
        <v>6.5515821264328367E-2</v>
      </c>
      <c r="Q87" s="1">
        <f>(Table1_147[[#This Row],[Likes]]+Table1_147[[#This Row],[Shares]]+Table1_147[[#This Row],[Comments]])</f>
        <v>3818</v>
      </c>
    </row>
    <row r="88" spans="1:17" x14ac:dyDescent="0.3">
      <c r="A88" s="6" t="s">
        <v>140</v>
      </c>
      <c r="B88" s="1" t="s">
        <v>14</v>
      </c>
      <c r="C88" s="7">
        <v>45449</v>
      </c>
      <c r="D88" s="1" t="s">
        <v>56</v>
      </c>
      <c r="E88" s="1" t="s">
        <v>95</v>
      </c>
      <c r="F88" s="1">
        <v>1436</v>
      </c>
      <c r="G88" s="1">
        <v>765</v>
      </c>
      <c r="H88" s="1">
        <v>496</v>
      </c>
      <c r="I88" s="1">
        <v>12924</v>
      </c>
      <c r="J88" s="1">
        <v>12701</v>
      </c>
      <c r="K88" s="1">
        <v>197</v>
      </c>
      <c r="L88" s="1" t="s">
        <v>48</v>
      </c>
      <c r="M88" s="1" t="s">
        <v>359</v>
      </c>
      <c r="N88" s="1" t="s">
        <v>359</v>
      </c>
      <c r="O88" s="8" t="s">
        <v>26</v>
      </c>
      <c r="P88" s="15">
        <f>(Table1_147[[#This Row],[Likes]]+Table1_147[[#This Row],[Shares]]+Table1_147[[#This Row],[Comments]])/Table1_147[[#This Row],[Impressions]]</f>
        <v>0.20868152274837512</v>
      </c>
      <c r="Q88" s="1">
        <f>(Table1_147[[#This Row],[Likes]]+Table1_147[[#This Row],[Shares]]+Table1_147[[#This Row],[Comments]])</f>
        <v>2697</v>
      </c>
    </row>
    <row r="89" spans="1:17" x14ac:dyDescent="0.3">
      <c r="A89" s="6" t="s">
        <v>141</v>
      </c>
      <c r="B89" s="1" t="s">
        <v>35</v>
      </c>
      <c r="C89" s="7">
        <v>45480</v>
      </c>
      <c r="D89" s="1" t="s">
        <v>29</v>
      </c>
      <c r="E89" s="1" t="s">
        <v>54</v>
      </c>
      <c r="F89" s="1">
        <v>302</v>
      </c>
      <c r="G89" s="1">
        <v>47</v>
      </c>
      <c r="H89" s="1">
        <v>430</v>
      </c>
      <c r="I89" s="1">
        <v>5738</v>
      </c>
      <c r="J89" s="1">
        <v>4890</v>
      </c>
      <c r="K89" s="1">
        <v>25</v>
      </c>
      <c r="L89" s="1" t="s">
        <v>25</v>
      </c>
      <c r="M89" s="1" t="s">
        <v>359</v>
      </c>
      <c r="N89" s="1" t="s">
        <v>359</v>
      </c>
      <c r="O89" s="8" t="s">
        <v>32</v>
      </c>
      <c r="P89" s="15">
        <f>(Table1_147[[#This Row],[Likes]]+Table1_147[[#This Row],[Shares]]+Table1_147[[#This Row],[Comments]])/Table1_147[[#This Row],[Impressions]]</f>
        <v>0.13576158940397351</v>
      </c>
      <c r="Q89" s="1">
        <f>(Table1_147[[#This Row],[Likes]]+Table1_147[[#This Row],[Shares]]+Table1_147[[#This Row],[Comments]])</f>
        <v>779</v>
      </c>
    </row>
    <row r="90" spans="1:17" x14ac:dyDescent="0.3">
      <c r="A90" s="6" t="s">
        <v>142</v>
      </c>
      <c r="B90" s="1" t="s">
        <v>14</v>
      </c>
      <c r="C90" s="7">
        <v>45667</v>
      </c>
      <c r="D90" s="1" t="s">
        <v>41</v>
      </c>
      <c r="E90" s="1" t="s">
        <v>88</v>
      </c>
      <c r="F90" s="1">
        <v>2214</v>
      </c>
      <c r="G90" s="1">
        <v>249</v>
      </c>
      <c r="H90" s="1">
        <v>152</v>
      </c>
      <c r="I90" s="1">
        <v>15498</v>
      </c>
      <c r="J90" s="1">
        <v>14800</v>
      </c>
      <c r="K90" s="1">
        <v>180</v>
      </c>
      <c r="L90" s="1" t="s">
        <v>31</v>
      </c>
      <c r="M90" s="1" t="s">
        <v>359</v>
      </c>
      <c r="N90" s="1" t="s">
        <v>359</v>
      </c>
      <c r="O90" s="8" t="s">
        <v>360</v>
      </c>
      <c r="P90" s="15">
        <f>(Table1_147[[#This Row],[Likes]]+Table1_147[[#This Row],[Shares]]+Table1_147[[#This Row],[Comments]])/Table1_147[[#This Row],[Impressions]]</f>
        <v>0.16873144921925409</v>
      </c>
      <c r="Q90" s="1">
        <f>(Table1_147[[#This Row],[Likes]]+Table1_147[[#This Row],[Shares]]+Table1_147[[#This Row],[Comments]])</f>
        <v>2615</v>
      </c>
    </row>
    <row r="91" spans="1:17" x14ac:dyDescent="0.3">
      <c r="A91" s="6" t="s">
        <v>143</v>
      </c>
      <c r="B91" s="1" t="s">
        <v>28</v>
      </c>
      <c r="C91" s="7">
        <v>45446</v>
      </c>
      <c r="D91" s="1" t="s">
        <v>41</v>
      </c>
      <c r="E91" s="1" t="s">
        <v>134</v>
      </c>
      <c r="F91" s="1">
        <v>3861</v>
      </c>
      <c r="G91" s="1">
        <v>960</v>
      </c>
      <c r="H91" s="1">
        <v>101</v>
      </c>
      <c r="I91" s="1">
        <v>69498</v>
      </c>
      <c r="J91" s="1">
        <v>68817</v>
      </c>
      <c r="K91" s="1">
        <v>297</v>
      </c>
      <c r="L91" s="1" t="s">
        <v>25</v>
      </c>
      <c r="M91" s="1" t="s">
        <v>359</v>
      </c>
      <c r="N91" s="1" t="s">
        <v>359</v>
      </c>
      <c r="O91" s="8" t="s">
        <v>32</v>
      </c>
      <c r="P91" s="15">
        <f>(Table1_147[[#This Row],[Likes]]+Table1_147[[#This Row],[Shares]]+Table1_147[[#This Row],[Comments]])/Table1_147[[#This Row],[Impressions]]</f>
        <v>7.0822181933293038E-2</v>
      </c>
      <c r="Q91" s="1">
        <f>(Table1_147[[#This Row],[Likes]]+Table1_147[[#This Row],[Shares]]+Table1_147[[#This Row],[Comments]])</f>
        <v>4922</v>
      </c>
    </row>
    <row r="92" spans="1:17" x14ac:dyDescent="0.3">
      <c r="A92" s="6" t="s">
        <v>144</v>
      </c>
      <c r="B92" s="1" t="s">
        <v>35</v>
      </c>
      <c r="C92" s="7">
        <v>45740</v>
      </c>
      <c r="D92" s="1" t="s">
        <v>41</v>
      </c>
      <c r="E92" s="1" t="s">
        <v>46</v>
      </c>
      <c r="F92" s="1">
        <v>1263</v>
      </c>
      <c r="G92" s="1">
        <v>397</v>
      </c>
      <c r="H92" s="1">
        <v>357</v>
      </c>
      <c r="I92" s="1">
        <v>25260</v>
      </c>
      <c r="J92" s="1">
        <v>24615</v>
      </c>
      <c r="K92" s="1">
        <v>137</v>
      </c>
      <c r="L92" s="1" t="s">
        <v>31</v>
      </c>
      <c r="M92" s="1" t="s">
        <v>359</v>
      </c>
      <c r="N92" s="1" t="s">
        <v>359</v>
      </c>
      <c r="O92" s="8" t="s">
        <v>32</v>
      </c>
      <c r="P92" s="15">
        <f>(Table1_147[[#This Row],[Likes]]+Table1_147[[#This Row],[Shares]]+Table1_147[[#This Row],[Comments]])/Table1_147[[#This Row],[Impressions]]</f>
        <v>7.984956452889945E-2</v>
      </c>
      <c r="Q92" s="1">
        <f>(Table1_147[[#This Row],[Likes]]+Table1_147[[#This Row],[Shares]]+Table1_147[[#This Row],[Comments]])</f>
        <v>2017</v>
      </c>
    </row>
    <row r="93" spans="1:17" x14ac:dyDescent="0.3">
      <c r="A93" s="6" t="s">
        <v>145</v>
      </c>
      <c r="B93" s="1" t="s">
        <v>14</v>
      </c>
      <c r="C93" s="7">
        <v>45586</v>
      </c>
      <c r="D93" s="1" t="s">
        <v>29</v>
      </c>
      <c r="E93" s="1" t="s">
        <v>98</v>
      </c>
      <c r="F93" s="1">
        <v>3801</v>
      </c>
      <c r="G93" s="1">
        <v>967</v>
      </c>
      <c r="H93" s="1">
        <v>401</v>
      </c>
      <c r="I93" s="1">
        <v>38010</v>
      </c>
      <c r="J93" s="1">
        <v>37625</v>
      </c>
      <c r="K93" s="1">
        <v>236</v>
      </c>
      <c r="L93" s="1" t="s">
        <v>48</v>
      </c>
      <c r="M93" s="1" t="s">
        <v>359</v>
      </c>
      <c r="N93" s="1" t="s">
        <v>359</v>
      </c>
      <c r="O93" s="8" t="s">
        <v>26</v>
      </c>
      <c r="P93" s="15">
        <f>(Table1_147[[#This Row],[Likes]]+Table1_147[[#This Row],[Shares]]+Table1_147[[#This Row],[Comments]])/Table1_147[[#This Row],[Impressions]]</f>
        <v>0.13599052880820836</v>
      </c>
      <c r="Q93" s="1">
        <f>(Table1_147[[#This Row],[Likes]]+Table1_147[[#This Row],[Shares]]+Table1_147[[#This Row],[Comments]])</f>
        <v>5169</v>
      </c>
    </row>
    <row r="94" spans="1:17" x14ac:dyDescent="0.3">
      <c r="A94" s="6" t="s">
        <v>146</v>
      </c>
      <c r="B94" s="1" t="s">
        <v>28</v>
      </c>
      <c r="C94" s="7">
        <v>45637</v>
      </c>
      <c r="D94" s="1" t="s">
        <v>56</v>
      </c>
      <c r="E94" s="1" t="s">
        <v>63</v>
      </c>
      <c r="F94" s="1">
        <v>1431</v>
      </c>
      <c r="G94" s="1">
        <v>951</v>
      </c>
      <c r="H94" s="1">
        <v>26</v>
      </c>
      <c r="I94" s="1">
        <v>8586</v>
      </c>
      <c r="J94" s="1">
        <v>8396</v>
      </c>
      <c r="K94" s="1">
        <v>150</v>
      </c>
      <c r="L94" s="1" t="s">
        <v>31</v>
      </c>
      <c r="M94" s="1" t="s">
        <v>359</v>
      </c>
      <c r="N94" s="1" t="s">
        <v>359</v>
      </c>
      <c r="O94" s="8" t="s">
        <v>26</v>
      </c>
      <c r="P94" s="15">
        <f>(Table1_147[[#This Row],[Likes]]+Table1_147[[#This Row],[Shares]]+Table1_147[[#This Row],[Comments]])/Table1_147[[#This Row],[Impressions]]</f>
        <v>0.28045655718611695</v>
      </c>
      <c r="Q94" s="1">
        <f>(Table1_147[[#This Row],[Likes]]+Table1_147[[#This Row],[Shares]]+Table1_147[[#This Row],[Comments]])</f>
        <v>2408</v>
      </c>
    </row>
    <row r="95" spans="1:17" x14ac:dyDescent="0.3">
      <c r="A95" s="6" t="s">
        <v>147</v>
      </c>
      <c r="B95" s="1" t="s">
        <v>28</v>
      </c>
      <c r="C95" s="7">
        <v>45603</v>
      </c>
      <c r="D95" s="1" t="s">
        <v>41</v>
      </c>
      <c r="E95" s="1" t="s">
        <v>134</v>
      </c>
      <c r="F95" s="1">
        <v>2647</v>
      </c>
      <c r="G95" s="1">
        <v>304</v>
      </c>
      <c r="H95" s="1">
        <v>170</v>
      </c>
      <c r="I95" s="1">
        <v>18529</v>
      </c>
      <c r="J95" s="1">
        <v>17841</v>
      </c>
      <c r="K95" s="1">
        <v>46</v>
      </c>
      <c r="L95" s="1" t="s">
        <v>48</v>
      </c>
      <c r="M95" s="1" t="s">
        <v>359</v>
      </c>
      <c r="N95" s="1" t="s">
        <v>359</v>
      </c>
      <c r="O95" s="8" t="s">
        <v>26</v>
      </c>
      <c r="P95" s="15">
        <f>(Table1_147[[#This Row],[Likes]]+Table1_147[[#This Row],[Shares]]+Table1_147[[#This Row],[Comments]])/Table1_147[[#This Row],[Impressions]]</f>
        <v>0.16843866371633656</v>
      </c>
      <c r="Q95" s="1">
        <f>(Table1_147[[#This Row],[Likes]]+Table1_147[[#This Row],[Shares]]+Table1_147[[#This Row],[Comments]])</f>
        <v>3121</v>
      </c>
    </row>
    <row r="96" spans="1:17" x14ac:dyDescent="0.3">
      <c r="A96" s="6" t="s">
        <v>148</v>
      </c>
      <c r="B96" s="1" t="s">
        <v>28</v>
      </c>
      <c r="C96" s="7">
        <v>45604</v>
      </c>
      <c r="D96" s="1" t="s">
        <v>19</v>
      </c>
      <c r="E96" s="1" t="s">
        <v>78</v>
      </c>
      <c r="F96" s="1">
        <v>3182</v>
      </c>
      <c r="G96" s="1">
        <v>559</v>
      </c>
      <c r="H96" s="1">
        <v>160</v>
      </c>
      <c r="I96" s="1">
        <v>57276</v>
      </c>
      <c r="J96" s="1">
        <v>56890</v>
      </c>
      <c r="K96" s="1">
        <v>163</v>
      </c>
      <c r="L96" s="1" t="s">
        <v>48</v>
      </c>
      <c r="M96" s="1" t="s">
        <v>359</v>
      </c>
      <c r="N96" s="1" t="s">
        <v>359</v>
      </c>
      <c r="O96" s="8" t="s">
        <v>32</v>
      </c>
      <c r="P96" s="15">
        <f>(Table1_147[[#This Row],[Likes]]+Table1_147[[#This Row],[Shares]]+Table1_147[[#This Row],[Comments]])/Table1_147[[#This Row],[Impressions]]</f>
        <v>6.8108806480899509E-2</v>
      </c>
      <c r="Q96" s="1">
        <f>(Table1_147[[#This Row],[Likes]]+Table1_147[[#This Row],[Shares]]+Table1_147[[#This Row],[Comments]])</f>
        <v>3901</v>
      </c>
    </row>
    <row r="97" spans="1:17" x14ac:dyDescent="0.3">
      <c r="A97" s="6" t="s">
        <v>149</v>
      </c>
      <c r="B97" s="1" t="s">
        <v>14</v>
      </c>
      <c r="C97" s="7">
        <v>45545</v>
      </c>
      <c r="D97" s="1" t="s">
        <v>41</v>
      </c>
      <c r="E97" s="1" t="s">
        <v>88</v>
      </c>
      <c r="F97" s="1">
        <v>1238</v>
      </c>
      <c r="G97" s="1">
        <v>366</v>
      </c>
      <c r="H97" s="1">
        <v>444</v>
      </c>
      <c r="I97" s="1">
        <v>19808</v>
      </c>
      <c r="J97" s="1">
        <v>19334</v>
      </c>
      <c r="K97" s="1">
        <v>123</v>
      </c>
      <c r="L97" s="1" t="s">
        <v>48</v>
      </c>
      <c r="M97" s="1" t="s">
        <v>359</v>
      </c>
      <c r="N97" s="1" t="s">
        <v>359</v>
      </c>
      <c r="O97" s="8" t="s">
        <v>360</v>
      </c>
      <c r="P97" s="15">
        <f>(Table1_147[[#This Row],[Likes]]+Table1_147[[#This Row],[Shares]]+Table1_147[[#This Row],[Comments]])/Table1_147[[#This Row],[Impressions]]</f>
        <v>0.10339256865912763</v>
      </c>
      <c r="Q97" s="1">
        <f>(Table1_147[[#This Row],[Likes]]+Table1_147[[#This Row],[Shares]]+Table1_147[[#This Row],[Comments]])</f>
        <v>2048</v>
      </c>
    </row>
    <row r="98" spans="1:17" x14ac:dyDescent="0.3">
      <c r="A98" s="6" t="s">
        <v>150</v>
      </c>
      <c r="B98" s="1" t="s">
        <v>28</v>
      </c>
      <c r="C98" s="7">
        <v>45517</v>
      </c>
      <c r="D98" s="1" t="s">
        <v>41</v>
      </c>
      <c r="E98" s="1" t="s">
        <v>134</v>
      </c>
      <c r="F98" s="1">
        <v>4739</v>
      </c>
      <c r="G98" s="1">
        <v>527</v>
      </c>
      <c r="H98" s="1">
        <v>135</v>
      </c>
      <c r="I98" s="1">
        <v>61607</v>
      </c>
      <c r="J98" s="1">
        <v>61333</v>
      </c>
      <c r="K98" s="1">
        <v>36</v>
      </c>
      <c r="L98" s="1" t="s">
        <v>25</v>
      </c>
      <c r="M98" s="1" t="s">
        <v>354</v>
      </c>
      <c r="N98" s="1" t="s">
        <v>359</v>
      </c>
      <c r="O98" s="8" t="s">
        <v>21</v>
      </c>
      <c r="P98" s="15">
        <f>(Table1_147[[#This Row],[Likes]]+Table1_147[[#This Row],[Shares]]+Table1_147[[#This Row],[Comments]])/Table1_147[[#This Row],[Impressions]]</f>
        <v>8.7668609086629767E-2</v>
      </c>
      <c r="Q98" s="1">
        <f>(Table1_147[[#This Row],[Likes]]+Table1_147[[#This Row],[Shares]]+Table1_147[[#This Row],[Comments]])</f>
        <v>5401</v>
      </c>
    </row>
    <row r="99" spans="1:17" x14ac:dyDescent="0.3">
      <c r="A99" s="6" t="s">
        <v>151</v>
      </c>
      <c r="B99" s="1" t="s">
        <v>14</v>
      </c>
      <c r="C99" s="7">
        <v>45453</v>
      </c>
      <c r="D99" s="1" t="s">
        <v>29</v>
      </c>
      <c r="E99" s="1" t="s">
        <v>98</v>
      </c>
      <c r="F99" s="1">
        <v>1575</v>
      </c>
      <c r="G99" s="1">
        <v>771</v>
      </c>
      <c r="H99" s="1">
        <v>486</v>
      </c>
      <c r="I99" s="1">
        <v>25200</v>
      </c>
      <c r="J99" s="1">
        <v>24826</v>
      </c>
      <c r="K99" s="1">
        <v>17</v>
      </c>
      <c r="L99" s="1" t="s">
        <v>48</v>
      </c>
      <c r="M99" s="1" t="s">
        <v>359</v>
      </c>
      <c r="N99" s="1" t="s">
        <v>359</v>
      </c>
      <c r="O99" s="8" t="s">
        <v>32</v>
      </c>
      <c r="P99" s="15">
        <f>(Table1_147[[#This Row],[Likes]]+Table1_147[[#This Row],[Shares]]+Table1_147[[#This Row],[Comments]])/Table1_147[[#This Row],[Impressions]]</f>
        <v>0.11238095238095239</v>
      </c>
      <c r="Q99" s="1">
        <f>(Table1_147[[#This Row],[Likes]]+Table1_147[[#This Row],[Shares]]+Table1_147[[#This Row],[Comments]])</f>
        <v>2832</v>
      </c>
    </row>
    <row r="100" spans="1:17" x14ac:dyDescent="0.3">
      <c r="A100" s="6" t="s">
        <v>152</v>
      </c>
      <c r="B100" s="1" t="s">
        <v>23</v>
      </c>
      <c r="C100" s="7">
        <v>45475</v>
      </c>
      <c r="D100" s="1" t="s">
        <v>36</v>
      </c>
      <c r="E100" s="1" t="s">
        <v>52</v>
      </c>
      <c r="F100" s="1">
        <v>4171</v>
      </c>
      <c r="G100" s="1">
        <v>548</v>
      </c>
      <c r="H100" s="1">
        <v>86</v>
      </c>
      <c r="I100" s="1">
        <v>66736</v>
      </c>
      <c r="J100" s="1">
        <v>66634</v>
      </c>
      <c r="K100" s="1">
        <v>173</v>
      </c>
      <c r="L100" s="1" t="s">
        <v>48</v>
      </c>
      <c r="M100" s="1" t="s">
        <v>359</v>
      </c>
      <c r="N100" s="1" t="s">
        <v>359</v>
      </c>
      <c r="O100" s="8" t="s">
        <v>26</v>
      </c>
      <c r="P100" s="15">
        <f>(Table1_147[[#This Row],[Likes]]+Table1_147[[#This Row],[Shares]]+Table1_147[[#This Row],[Comments]])/Table1_147[[#This Row],[Impressions]]</f>
        <v>7.2000119875329657E-2</v>
      </c>
      <c r="Q100" s="1">
        <f>(Table1_147[[#This Row],[Likes]]+Table1_147[[#This Row],[Shares]]+Table1_147[[#This Row],[Comments]])</f>
        <v>4805</v>
      </c>
    </row>
    <row r="101" spans="1:17" x14ac:dyDescent="0.3">
      <c r="A101" s="6" t="s">
        <v>153</v>
      </c>
      <c r="B101" s="1" t="s">
        <v>23</v>
      </c>
      <c r="C101" s="7">
        <v>45698</v>
      </c>
      <c r="D101" s="1" t="s">
        <v>56</v>
      </c>
      <c r="E101" s="1" t="s">
        <v>136</v>
      </c>
      <c r="F101" s="1">
        <v>1766</v>
      </c>
      <c r="G101" s="1">
        <v>92</v>
      </c>
      <c r="H101" s="1">
        <v>424</v>
      </c>
      <c r="I101" s="1">
        <v>24724</v>
      </c>
      <c r="J101" s="1">
        <v>24333</v>
      </c>
      <c r="K101" s="1">
        <v>52</v>
      </c>
      <c r="L101" s="1" t="s">
        <v>31</v>
      </c>
      <c r="M101" s="1" t="s">
        <v>359</v>
      </c>
      <c r="N101" s="1" t="s">
        <v>359</v>
      </c>
      <c r="O101" s="8" t="s">
        <v>360</v>
      </c>
      <c r="P101" s="15">
        <f>(Table1_147[[#This Row],[Likes]]+Table1_147[[#This Row],[Shares]]+Table1_147[[#This Row],[Comments]])/Table1_147[[#This Row],[Impressions]]</f>
        <v>9.2298980747451867E-2</v>
      </c>
      <c r="Q101" s="1">
        <f>(Table1_147[[#This Row],[Likes]]+Table1_147[[#This Row],[Shares]]+Table1_147[[#This Row],[Comments]])</f>
        <v>2282</v>
      </c>
    </row>
    <row r="102" spans="1:17" x14ac:dyDescent="0.3">
      <c r="A102" s="6" t="s">
        <v>154</v>
      </c>
      <c r="B102" s="1" t="s">
        <v>23</v>
      </c>
      <c r="C102" s="7">
        <v>45583</v>
      </c>
      <c r="D102" s="1" t="s">
        <v>56</v>
      </c>
      <c r="E102" s="1" t="s">
        <v>136</v>
      </c>
      <c r="F102" s="1">
        <v>4450</v>
      </c>
      <c r="G102" s="1">
        <v>983</v>
      </c>
      <c r="H102" s="1">
        <v>143</v>
      </c>
      <c r="I102" s="1">
        <v>75650</v>
      </c>
      <c r="J102" s="1">
        <v>75008</v>
      </c>
      <c r="K102" s="1">
        <v>12</v>
      </c>
      <c r="L102" s="1" t="s">
        <v>48</v>
      </c>
      <c r="M102" s="1" t="s">
        <v>359</v>
      </c>
      <c r="N102" s="1" t="s">
        <v>359</v>
      </c>
      <c r="O102" s="8" t="s">
        <v>26</v>
      </c>
      <c r="P102" s="15">
        <f>(Table1_147[[#This Row],[Likes]]+Table1_147[[#This Row],[Shares]]+Table1_147[[#This Row],[Comments]])/Table1_147[[#This Row],[Impressions]]</f>
        <v>7.3707865168539333E-2</v>
      </c>
      <c r="Q102" s="1">
        <f>(Table1_147[[#This Row],[Likes]]+Table1_147[[#This Row],[Shares]]+Table1_147[[#This Row],[Comments]])</f>
        <v>5576</v>
      </c>
    </row>
    <row r="103" spans="1:17" x14ac:dyDescent="0.3">
      <c r="A103" s="6" t="s">
        <v>155</v>
      </c>
      <c r="B103" s="1" t="s">
        <v>14</v>
      </c>
      <c r="C103" s="7">
        <v>45553</v>
      </c>
      <c r="D103" s="1" t="s">
        <v>15</v>
      </c>
      <c r="E103" s="1" t="s">
        <v>16</v>
      </c>
      <c r="F103" s="1">
        <v>1000</v>
      </c>
      <c r="G103" s="1">
        <v>978</v>
      </c>
      <c r="H103" s="1">
        <v>162</v>
      </c>
      <c r="I103" s="1">
        <v>6000</v>
      </c>
      <c r="J103" s="1">
        <v>5221</v>
      </c>
      <c r="K103" s="1">
        <v>223</v>
      </c>
      <c r="L103" s="1" t="s">
        <v>31</v>
      </c>
      <c r="M103" s="1" t="s">
        <v>359</v>
      </c>
      <c r="N103" s="1" t="s">
        <v>359</v>
      </c>
      <c r="O103" s="8" t="s">
        <v>21</v>
      </c>
      <c r="P103" s="15">
        <f>(Table1_147[[#This Row],[Likes]]+Table1_147[[#This Row],[Shares]]+Table1_147[[#This Row],[Comments]])/Table1_147[[#This Row],[Impressions]]</f>
        <v>0.35666666666666669</v>
      </c>
      <c r="Q103" s="1">
        <f>(Table1_147[[#This Row],[Likes]]+Table1_147[[#This Row],[Shares]]+Table1_147[[#This Row],[Comments]])</f>
        <v>2140</v>
      </c>
    </row>
    <row r="104" spans="1:17" x14ac:dyDescent="0.3">
      <c r="A104" s="6" t="s">
        <v>156</v>
      </c>
      <c r="B104" s="1" t="s">
        <v>35</v>
      </c>
      <c r="C104" s="7">
        <v>45454</v>
      </c>
      <c r="D104" s="1" t="s">
        <v>41</v>
      </c>
      <c r="E104" s="1" t="s">
        <v>46</v>
      </c>
      <c r="F104" s="1">
        <v>3689</v>
      </c>
      <c r="G104" s="1">
        <v>48</v>
      </c>
      <c r="H104" s="1">
        <v>306</v>
      </c>
      <c r="I104" s="1">
        <v>40579</v>
      </c>
      <c r="J104" s="1">
        <v>39588</v>
      </c>
      <c r="K104" s="1">
        <v>212</v>
      </c>
      <c r="L104" s="1" t="s">
        <v>31</v>
      </c>
      <c r="M104" s="1" t="s">
        <v>359</v>
      </c>
      <c r="N104" s="1" t="s">
        <v>359</v>
      </c>
      <c r="O104" s="8" t="s">
        <v>21</v>
      </c>
      <c r="P104" s="15">
        <f>(Table1_147[[#This Row],[Likes]]+Table1_147[[#This Row],[Shares]]+Table1_147[[#This Row],[Comments]])/Table1_147[[#This Row],[Impressions]]</f>
        <v>9.9632815002833983E-2</v>
      </c>
      <c r="Q104" s="1">
        <f>(Table1_147[[#This Row],[Likes]]+Table1_147[[#This Row],[Shares]]+Table1_147[[#This Row],[Comments]])</f>
        <v>4043</v>
      </c>
    </row>
    <row r="105" spans="1:17" x14ac:dyDescent="0.3">
      <c r="A105" s="6" t="s">
        <v>157</v>
      </c>
      <c r="B105" s="1" t="s">
        <v>23</v>
      </c>
      <c r="C105" s="7">
        <v>45739</v>
      </c>
      <c r="D105" s="1" t="s">
        <v>29</v>
      </c>
      <c r="E105" s="1" t="s">
        <v>101</v>
      </c>
      <c r="F105" s="1">
        <v>3655</v>
      </c>
      <c r="G105" s="1">
        <v>568</v>
      </c>
      <c r="H105" s="1">
        <v>286</v>
      </c>
      <c r="I105" s="1">
        <v>32895</v>
      </c>
      <c r="J105" s="1">
        <v>32015</v>
      </c>
      <c r="K105" s="1">
        <v>199</v>
      </c>
      <c r="L105" s="1" t="s">
        <v>25</v>
      </c>
      <c r="M105" s="1" t="s">
        <v>359</v>
      </c>
      <c r="N105" s="1" t="s">
        <v>359</v>
      </c>
      <c r="O105" s="8" t="s">
        <v>26</v>
      </c>
      <c r="P105" s="15">
        <f>(Table1_147[[#This Row],[Likes]]+Table1_147[[#This Row],[Shares]]+Table1_147[[#This Row],[Comments]])/Table1_147[[#This Row],[Impressions]]</f>
        <v>0.13707250341997265</v>
      </c>
      <c r="Q105" s="1">
        <f>(Table1_147[[#This Row],[Likes]]+Table1_147[[#This Row],[Shares]]+Table1_147[[#This Row],[Comments]])</f>
        <v>4509</v>
      </c>
    </row>
    <row r="106" spans="1:17" x14ac:dyDescent="0.3">
      <c r="A106" s="6" t="s">
        <v>158</v>
      </c>
      <c r="B106" s="1" t="s">
        <v>28</v>
      </c>
      <c r="C106" s="7">
        <v>45457</v>
      </c>
      <c r="D106" s="1" t="s">
        <v>36</v>
      </c>
      <c r="E106" s="1" t="s">
        <v>65</v>
      </c>
      <c r="F106" s="1">
        <v>498</v>
      </c>
      <c r="G106" s="1">
        <v>38</v>
      </c>
      <c r="H106" s="1">
        <v>42</v>
      </c>
      <c r="I106" s="1">
        <v>4482</v>
      </c>
      <c r="J106" s="1">
        <v>3647</v>
      </c>
      <c r="K106" s="1">
        <v>32</v>
      </c>
      <c r="L106" s="1" t="s">
        <v>48</v>
      </c>
      <c r="M106" s="1" t="s">
        <v>359</v>
      </c>
      <c r="N106" s="1" t="s">
        <v>359</v>
      </c>
      <c r="O106" s="8" t="s">
        <v>17</v>
      </c>
      <c r="P106" s="15">
        <f>(Table1_147[[#This Row],[Likes]]+Table1_147[[#This Row],[Shares]]+Table1_147[[#This Row],[Comments]])/Table1_147[[#This Row],[Impressions]]</f>
        <v>0.12896028558679162</v>
      </c>
      <c r="Q106" s="1">
        <f>(Table1_147[[#This Row],[Likes]]+Table1_147[[#This Row],[Shares]]+Table1_147[[#This Row],[Comments]])</f>
        <v>578</v>
      </c>
    </row>
    <row r="107" spans="1:17" x14ac:dyDescent="0.3">
      <c r="A107" s="6" t="s">
        <v>159</v>
      </c>
      <c r="B107" s="1" t="s">
        <v>28</v>
      </c>
      <c r="C107" s="7">
        <v>45692</v>
      </c>
      <c r="D107" s="1" t="s">
        <v>41</v>
      </c>
      <c r="E107" s="1" t="s">
        <v>134</v>
      </c>
      <c r="F107" s="1">
        <v>4619</v>
      </c>
      <c r="G107" s="1">
        <v>821</v>
      </c>
      <c r="H107" s="1">
        <v>499</v>
      </c>
      <c r="I107" s="1">
        <v>69285</v>
      </c>
      <c r="J107" s="1">
        <v>69141</v>
      </c>
      <c r="K107" s="1">
        <v>298</v>
      </c>
      <c r="L107" s="1" t="s">
        <v>25</v>
      </c>
      <c r="M107" s="1" t="s">
        <v>359</v>
      </c>
      <c r="N107" s="1" t="s">
        <v>359</v>
      </c>
      <c r="O107" s="8" t="s">
        <v>32</v>
      </c>
      <c r="P107" s="15">
        <f>(Table1_147[[#This Row],[Likes]]+Table1_147[[#This Row],[Shares]]+Table1_147[[#This Row],[Comments]])/Table1_147[[#This Row],[Impressions]]</f>
        <v>8.5718409468138843E-2</v>
      </c>
      <c r="Q107" s="1">
        <f>(Table1_147[[#This Row],[Likes]]+Table1_147[[#This Row],[Shares]]+Table1_147[[#This Row],[Comments]])</f>
        <v>5939</v>
      </c>
    </row>
    <row r="108" spans="1:17" x14ac:dyDescent="0.3">
      <c r="A108" s="6" t="s">
        <v>160</v>
      </c>
      <c r="B108" s="1" t="s">
        <v>23</v>
      </c>
      <c r="C108" s="7">
        <v>45464</v>
      </c>
      <c r="D108" s="1" t="s">
        <v>41</v>
      </c>
      <c r="E108" s="1" t="s">
        <v>42</v>
      </c>
      <c r="F108" s="1">
        <v>4832</v>
      </c>
      <c r="G108" s="1">
        <v>893</v>
      </c>
      <c r="H108" s="1">
        <v>10</v>
      </c>
      <c r="I108" s="1">
        <v>91808</v>
      </c>
      <c r="J108" s="1">
        <v>91296</v>
      </c>
      <c r="K108" s="1">
        <v>182</v>
      </c>
      <c r="L108" s="1" t="s">
        <v>25</v>
      </c>
      <c r="M108" s="1" t="s">
        <v>359</v>
      </c>
      <c r="N108" s="1" t="s">
        <v>359</v>
      </c>
      <c r="O108" s="8" t="s">
        <v>360</v>
      </c>
      <c r="P108" s="15">
        <f>(Table1_147[[#This Row],[Likes]]+Table1_147[[#This Row],[Shares]]+Table1_147[[#This Row],[Comments]])/Table1_147[[#This Row],[Impressions]]</f>
        <v>6.2467323109097243E-2</v>
      </c>
      <c r="Q108" s="1">
        <f>(Table1_147[[#This Row],[Likes]]+Table1_147[[#This Row],[Shares]]+Table1_147[[#This Row],[Comments]])</f>
        <v>5735</v>
      </c>
    </row>
    <row r="109" spans="1:17" x14ac:dyDescent="0.3">
      <c r="A109" s="6" t="s">
        <v>161</v>
      </c>
      <c r="B109" s="1" t="s">
        <v>14</v>
      </c>
      <c r="C109" s="7">
        <v>45741</v>
      </c>
      <c r="D109" s="1" t="s">
        <v>56</v>
      </c>
      <c r="E109" s="1" t="s">
        <v>95</v>
      </c>
      <c r="F109" s="1">
        <v>4050</v>
      </c>
      <c r="G109" s="1">
        <v>871</v>
      </c>
      <c r="H109" s="1">
        <v>347</v>
      </c>
      <c r="I109" s="1">
        <v>52650</v>
      </c>
      <c r="J109" s="1">
        <v>51755</v>
      </c>
      <c r="K109" s="1">
        <v>209</v>
      </c>
      <c r="L109" s="1" t="s">
        <v>25</v>
      </c>
      <c r="M109" s="1" t="s">
        <v>359</v>
      </c>
      <c r="N109" s="1" t="s">
        <v>359</v>
      </c>
      <c r="O109" s="8" t="s">
        <v>21</v>
      </c>
      <c r="P109" s="15">
        <f>(Table1_147[[#This Row],[Likes]]+Table1_147[[#This Row],[Shares]]+Table1_147[[#This Row],[Comments]])/Table1_147[[#This Row],[Impressions]]</f>
        <v>0.10005698005698006</v>
      </c>
      <c r="Q109" s="1">
        <f>(Table1_147[[#This Row],[Likes]]+Table1_147[[#This Row],[Shares]]+Table1_147[[#This Row],[Comments]])</f>
        <v>5268</v>
      </c>
    </row>
    <row r="110" spans="1:17" x14ac:dyDescent="0.3">
      <c r="A110" s="6" t="s">
        <v>162</v>
      </c>
      <c r="B110" s="1" t="s">
        <v>14</v>
      </c>
      <c r="C110" s="7">
        <v>45512</v>
      </c>
      <c r="D110" s="1" t="s">
        <v>29</v>
      </c>
      <c r="E110" s="1" t="s">
        <v>98</v>
      </c>
      <c r="F110" s="1">
        <v>3649</v>
      </c>
      <c r="G110" s="1">
        <v>215</v>
      </c>
      <c r="H110" s="1">
        <v>413</v>
      </c>
      <c r="I110" s="1">
        <v>25543</v>
      </c>
      <c r="J110" s="1">
        <v>24963</v>
      </c>
      <c r="K110" s="1">
        <v>167</v>
      </c>
      <c r="L110" s="1" t="s">
        <v>48</v>
      </c>
      <c r="M110" s="1" t="s">
        <v>359</v>
      </c>
      <c r="N110" s="1" t="s">
        <v>359</v>
      </c>
      <c r="O110" s="8" t="s">
        <v>26</v>
      </c>
      <c r="P110" s="15">
        <f>(Table1_147[[#This Row],[Likes]]+Table1_147[[#This Row],[Shares]]+Table1_147[[#This Row],[Comments]])/Table1_147[[#This Row],[Impressions]]</f>
        <v>0.16744313510550835</v>
      </c>
      <c r="Q110" s="1">
        <f>(Table1_147[[#This Row],[Likes]]+Table1_147[[#This Row],[Shares]]+Table1_147[[#This Row],[Comments]])</f>
        <v>4277</v>
      </c>
    </row>
    <row r="111" spans="1:17" x14ac:dyDescent="0.3">
      <c r="A111" s="6" t="s">
        <v>163</v>
      </c>
      <c r="B111" s="1" t="s">
        <v>28</v>
      </c>
      <c r="C111" s="7">
        <v>45502</v>
      </c>
      <c r="D111" s="1" t="s">
        <v>15</v>
      </c>
      <c r="E111" s="1" t="s">
        <v>61</v>
      </c>
      <c r="F111" s="1">
        <v>3523</v>
      </c>
      <c r="G111" s="1">
        <v>753</v>
      </c>
      <c r="H111" s="1">
        <v>482</v>
      </c>
      <c r="I111" s="1">
        <v>38753</v>
      </c>
      <c r="J111" s="1">
        <v>38579</v>
      </c>
      <c r="K111" s="1">
        <v>270</v>
      </c>
      <c r="L111" s="1" t="s">
        <v>31</v>
      </c>
      <c r="M111" s="1" t="s">
        <v>359</v>
      </c>
      <c r="N111" s="1" t="s">
        <v>359</v>
      </c>
      <c r="O111" s="8" t="s">
        <v>21</v>
      </c>
      <c r="P111" s="15">
        <f>(Table1_147[[#This Row],[Likes]]+Table1_147[[#This Row],[Shares]]+Table1_147[[#This Row],[Comments]])/Table1_147[[#This Row],[Impressions]]</f>
        <v>0.12277759141227776</v>
      </c>
      <c r="Q111" s="1">
        <f>(Table1_147[[#This Row],[Likes]]+Table1_147[[#This Row],[Shares]]+Table1_147[[#This Row],[Comments]])</f>
        <v>4758</v>
      </c>
    </row>
    <row r="112" spans="1:17" x14ac:dyDescent="0.3">
      <c r="A112" s="6" t="s">
        <v>164</v>
      </c>
      <c r="B112" s="1" t="s">
        <v>23</v>
      </c>
      <c r="C112" s="7">
        <v>45619</v>
      </c>
      <c r="D112" s="1" t="s">
        <v>41</v>
      </c>
      <c r="E112" s="1" t="s">
        <v>42</v>
      </c>
      <c r="F112" s="1">
        <v>2719</v>
      </c>
      <c r="G112" s="1">
        <v>17</v>
      </c>
      <c r="H112" s="1">
        <v>285</v>
      </c>
      <c r="I112" s="1">
        <v>40785</v>
      </c>
      <c r="J112" s="1">
        <v>40281</v>
      </c>
      <c r="K112" s="1">
        <v>40</v>
      </c>
      <c r="L112" s="1" t="s">
        <v>25</v>
      </c>
      <c r="M112" s="1" t="s">
        <v>359</v>
      </c>
      <c r="N112" s="1" t="s">
        <v>359</v>
      </c>
      <c r="O112" s="8" t="s">
        <v>21</v>
      </c>
      <c r="P112" s="15">
        <f>(Table1_147[[#This Row],[Likes]]+Table1_147[[#This Row],[Shares]]+Table1_147[[#This Row],[Comments]])/Table1_147[[#This Row],[Impressions]]</f>
        <v>7.4071349760941527E-2</v>
      </c>
      <c r="Q112" s="1">
        <f>(Table1_147[[#This Row],[Likes]]+Table1_147[[#This Row],[Shares]]+Table1_147[[#This Row],[Comments]])</f>
        <v>3021</v>
      </c>
    </row>
    <row r="113" spans="1:17" x14ac:dyDescent="0.3">
      <c r="A113" s="6" t="s">
        <v>165</v>
      </c>
      <c r="B113" s="1" t="s">
        <v>14</v>
      </c>
      <c r="C113" s="7">
        <v>45570</v>
      </c>
      <c r="D113" s="1" t="s">
        <v>29</v>
      </c>
      <c r="E113" s="1" t="s">
        <v>98</v>
      </c>
      <c r="F113" s="1">
        <v>1957</v>
      </c>
      <c r="G113" s="1">
        <v>877</v>
      </c>
      <c r="H113" s="1">
        <v>238</v>
      </c>
      <c r="I113" s="1">
        <v>17613</v>
      </c>
      <c r="J113" s="1">
        <v>16865</v>
      </c>
      <c r="K113" s="1">
        <v>297</v>
      </c>
      <c r="L113" s="1" t="s">
        <v>48</v>
      </c>
      <c r="M113" s="1" t="s">
        <v>359</v>
      </c>
      <c r="N113" s="1" t="s">
        <v>359</v>
      </c>
      <c r="O113" s="8" t="s">
        <v>26</v>
      </c>
      <c r="P113" s="15">
        <f>(Table1_147[[#This Row],[Likes]]+Table1_147[[#This Row],[Shares]]+Table1_147[[#This Row],[Comments]])/Table1_147[[#This Row],[Impressions]]</f>
        <v>0.17441662408448305</v>
      </c>
      <c r="Q113" s="1">
        <f>(Table1_147[[#This Row],[Likes]]+Table1_147[[#This Row],[Shares]]+Table1_147[[#This Row],[Comments]])</f>
        <v>3072</v>
      </c>
    </row>
    <row r="114" spans="1:17" x14ac:dyDescent="0.3">
      <c r="A114" s="6" t="s">
        <v>166</v>
      </c>
      <c r="B114" s="1" t="s">
        <v>14</v>
      </c>
      <c r="C114" s="7">
        <v>45567</v>
      </c>
      <c r="D114" s="1" t="s">
        <v>36</v>
      </c>
      <c r="E114" s="1" t="s">
        <v>39</v>
      </c>
      <c r="F114" s="1">
        <v>4419</v>
      </c>
      <c r="G114" s="1">
        <v>236</v>
      </c>
      <c r="H114" s="1">
        <v>369</v>
      </c>
      <c r="I114" s="1">
        <v>44190</v>
      </c>
      <c r="J114" s="1">
        <v>43582</v>
      </c>
      <c r="K114" s="1">
        <v>10</v>
      </c>
      <c r="L114" s="1" t="s">
        <v>31</v>
      </c>
      <c r="M114" s="1" t="s">
        <v>359</v>
      </c>
      <c r="N114" s="1" t="s">
        <v>359</v>
      </c>
      <c r="O114" s="8" t="s">
        <v>17</v>
      </c>
      <c r="P114" s="15">
        <f>(Table1_147[[#This Row],[Likes]]+Table1_147[[#This Row],[Shares]]+Table1_147[[#This Row],[Comments]])/Table1_147[[#This Row],[Impressions]]</f>
        <v>0.11369088028965829</v>
      </c>
      <c r="Q114" s="1">
        <f>(Table1_147[[#This Row],[Likes]]+Table1_147[[#This Row],[Shares]]+Table1_147[[#This Row],[Comments]])</f>
        <v>5024</v>
      </c>
    </row>
    <row r="115" spans="1:17" x14ac:dyDescent="0.3">
      <c r="A115" s="6" t="s">
        <v>167</v>
      </c>
      <c r="B115" s="1" t="s">
        <v>14</v>
      </c>
      <c r="C115" s="7">
        <v>45610</v>
      </c>
      <c r="D115" s="1" t="s">
        <v>29</v>
      </c>
      <c r="E115" s="1" t="s">
        <v>98</v>
      </c>
      <c r="F115" s="1">
        <v>4000</v>
      </c>
      <c r="G115" s="1">
        <v>689</v>
      </c>
      <c r="H115" s="1">
        <v>488</v>
      </c>
      <c r="I115" s="1">
        <v>40000</v>
      </c>
      <c r="J115" s="1">
        <v>39569</v>
      </c>
      <c r="K115" s="1">
        <v>44</v>
      </c>
      <c r="L115" s="1" t="s">
        <v>48</v>
      </c>
      <c r="M115" s="1" t="s">
        <v>359</v>
      </c>
      <c r="N115" s="1" t="s">
        <v>359</v>
      </c>
      <c r="O115" s="8" t="s">
        <v>17</v>
      </c>
      <c r="P115" s="15">
        <f>(Table1_147[[#This Row],[Likes]]+Table1_147[[#This Row],[Shares]]+Table1_147[[#This Row],[Comments]])/Table1_147[[#This Row],[Impressions]]</f>
        <v>0.12942500000000001</v>
      </c>
      <c r="Q115" s="1">
        <f>(Table1_147[[#This Row],[Likes]]+Table1_147[[#This Row],[Shares]]+Table1_147[[#This Row],[Comments]])</f>
        <v>5177</v>
      </c>
    </row>
    <row r="116" spans="1:17" x14ac:dyDescent="0.3">
      <c r="A116" s="6" t="s">
        <v>168</v>
      </c>
      <c r="B116" s="1" t="s">
        <v>14</v>
      </c>
      <c r="C116" s="7">
        <v>45788</v>
      </c>
      <c r="D116" s="1" t="s">
        <v>41</v>
      </c>
      <c r="E116" s="1" t="s">
        <v>88</v>
      </c>
      <c r="F116" s="1">
        <v>2493</v>
      </c>
      <c r="G116" s="1">
        <v>97</v>
      </c>
      <c r="H116" s="1">
        <v>44</v>
      </c>
      <c r="I116" s="1">
        <v>42381</v>
      </c>
      <c r="J116" s="1">
        <v>41991</v>
      </c>
      <c r="K116" s="1">
        <v>242</v>
      </c>
      <c r="L116" s="1" t="s">
        <v>25</v>
      </c>
      <c r="M116" s="1" t="s">
        <v>354</v>
      </c>
      <c r="N116" s="1" t="s">
        <v>359</v>
      </c>
      <c r="O116" s="8" t="s">
        <v>32</v>
      </c>
      <c r="P116" s="15">
        <f>(Table1_147[[#This Row],[Likes]]+Table1_147[[#This Row],[Shares]]+Table1_147[[#This Row],[Comments]])/Table1_147[[#This Row],[Impressions]]</f>
        <v>6.2150491965739366E-2</v>
      </c>
      <c r="Q116" s="1">
        <f>(Table1_147[[#This Row],[Likes]]+Table1_147[[#This Row],[Shares]]+Table1_147[[#This Row],[Comments]])</f>
        <v>2634</v>
      </c>
    </row>
    <row r="117" spans="1:17" x14ac:dyDescent="0.3">
      <c r="A117" s="6" t="s">
        <v>169</v>
      </c>
      <c r="B117" s="1" t="s">
        <v>23</v>
      </c>
      <c r="C117" s="7">
        <v>45734</v>
      </c>
      <c r="D117" s="1" t="s">
        <v>15</v>
      </c>
      <c r="E117" s="1" t="s">
        <v>24</v>
      </c>
      <c r="F117" s="1">
        <v>3704</v>
      </c>
      <c r="G117" s="1">
        <v>186</v>
      </c>
      <c r="H117" s="1">
        <v>458</v>
      </c>
      <c r="I117" s="1">
        <v>25928</v>
      </c>
      <c r="J117" s="1">
        <v>25081</v>
      </c>
      <c r="K117" s="1">
        <v>131</v>
      </c>
      <c r="L117" s="1" t="s">
        <v>25</v>
      </c>
      <c r="M117" s="1" t="s">
        <v>359</v>
      </c>
      <c r="N117" s="1" t="s">
        <v>359</v>
      </c>
      <c r="O117" s="8" t="s">
        <v>360</v>
      </c>
      <c r="P117" s="15">
        <f>(Table1_147[[#This Row],[Likes]]+Table1_147[[#This Row],[Shares]]+Table1_147[[#This Row],[Comments]])/Table1_147[[#This Row],[Impressions]]</f>
        <v>0.16769515581610614</v>
      </c>
      <c r="Q117" s="1">
        <f>(Table1_147[[#This Row],[Likes]]+Table1_147[[#This Row],[Shares]]+Table1_147[[#This Row],[Comments]])</f>
        <v>4348</v>
      </c>
    </row>
    <row r="118" spans="1:17" x14ac:dyDescent="0.3">
      <c r="A118" s="6" t="s">
        <v>170</v>
      </c>
      <c r="B118" s="1" t="s">
        <v>14</v>
      </c>
      <c r="C118" s="7">
        <v>45600</v>
      </c>
      <c r="D118" s="1" t="s">
        <v>41</v>
      </c>
      <c r="E118" s="1" t="s">
        <v>88</v>
      </c>
      <c r="F118" s="1">
        <v>1606</v>
      </c>
      <c r="G118" s="1">
        <v>451</v>
      </c>
      <c r="H118" s="1">
        <v>405</v>
      </c>
      <c r="I118" s="1">
        <v>20878</v>
      </c>
      <c r="J118" s="1">
        <v>20190</v>
      </c>
      <c r="K118" s="1">
        <v>219</v>
      </c>
      <c r="L118" s="1" t="s">
        <v>31</v>
      </c>
      <c r="M118" s="1" t="s">
        <v>359</v>
      </c>
      <c r="N118" s="1" t="s">
        <v>359</v>
      </c>
      <c r="O118" s="8" t="s">
        <v>32</v>
      </c>
      <c r="P118" s="15">
        <f>(Table1_147[[#This Row],[Likes]]+Table1_147[[#This Row],[Shares]]+Table1_147[[#This Row],[Comments]])/Table1_147[[#This Row],[Impressions]]</f>
        <v>0.11792317271769326</v>
      </c>
      <c r="Q118" s="1">
        <f>(Table1_147[[#This Row],[Likes]]+Table1_147[[#This Row],[Shares]]+Table1_147[[#This Row],[Comments]])</f>
        <v>2462</v>
      </c>
    </row>
    <row r="119" spans="1:17" x14ac:dyDescent="0.3">
      <c r="A119" s="6" t="s">
        <v>171</v>
      </c>
      <c r="B119" s="1" t="s">
        <v>35</v>
      </c>
      <c r="C119" s="7">
        <v>45600</v>
      </c>
      <c r="D119" s="1" t="s">
        <v>41</v>
      </c>
      <c r="E119" s="1" t="s">
        <v>46</v>
      </c>
      <c r="F119" s="1">
        <v>4551</v>
      </c>
      <c r="G119" s="1">
        <v>714</v>
      </c>
      <c r="H119" s="1">
        <v>207</v>
      </c>
      <c r="I119" s="1">
        <v>68265</v>
      </c>
      <c r="J119" s="1">
        <v>67754</v>
      </c>
      <c r="K119" s="1">
        <v>57</v>
      </c>
      <c r="L119" s="1" t="s">
        <v>48</v>
      </c>
      <c r="M119" s="1" t="s">
        <v>359</v>
      </c>
      <c r="N119" s="1" t="s">
        <v>359</v>
      </c>
      <c r="O119" s="8" t="s">
        <v>26</v>
      </c>
      <c r="P119" s="15">
        <f>(Table1_147[[#This Row],[Likes]]+Table1_147[[#This Row],[Shares]]+Table1_147[[#This Row],[Comments]])/Table1_147[[#This Row],[Impressions]]</f>
        <v>8.0158206987475278E-2</v>
      </c>
      <c r="Q119" s="1">
        <f>(Table1_147[[#This Row],[Likes]]+Table1_147[[#This Row],[Shares]]+Table1_147[[#This Row],[Comments]])</f>
        <v>5472</v>
      </c>
    </row>
    <row r="120" spans="1:17" x14ac:dyDescent="0.3">
      <c r="A120" s="6" t="s">
        <v>172</v>
      </c>
      <c r="B120" s="1" t="s">
        <v>28</v>
      </c>
      <c r="C120" s="7">
        <v>45695</v>
      </c>
      <c r="D120" s="1" t="s">
        <v>15</v>
      </c>
      <c r="E120" s="1" t="s">
        <v>61</v>
      </c>
      <c r="F120" s="1">
        <v>1970</v>
      </c>
      <c r="G120" s="1">
        <v>675</v>
      </c>
      <c r="H120" s="1">
        <v>478</v>
      </c>
      <c r="I120" s="1">
        <v>9850</v>
      </c>
      <c r="J120" s="1">
        <v>8924</v>
      </c>
      <c r="K120" s="1">
        <v>117</v>
      </c>
      <c r="L120" s="1" t="s">
        <v>48</v>
      </c>
      <c r="M120" s="1" t="s">
        <v>359</v>
      </c>
      <c r="N120" s="1" t="s">
        <v>359</v>
      </c>
      <c r="O120" s="8" t="s">
        <v>360</v>
      </c>
      <c r="P120" s="15">
        <f>(Table1_147[[#This Row],[Likes]]+Table1_147[[#This Row],[Shares]]+Table1_147[[#This Row],[Comments]])/Table1_147[[#This Row],[Impressions]]</f>
        <v>0.31705583756345179</v>
      </c>
      <c r="Q120" s="1">
        <f>(Table1_147[[#This Row],[Likes]]+Table1_147[[#This Row],[Shares]]+Table1_147[[#This Row],[Comments]])</f>
        <v>3123</v>
      </c>
    </row>
    <row r="121" spans="1:17" x14ac:dyDescent="0.3">
      <c r="A121" s="6" t="s">
        <v>173</v>
      </c>
      <c r="B121" s="1" t="s">
        <v>35</v>
      </c>
      <c r="C121" s="7">
        <v>45586</v>
      </c>
      <c r="D121" s="1" t="s">
        <v>29</v>
      </c>
      <c r="E121" s="1" t="s">
        <v>54</v>
      </c>
      <c r="F121" s="1">
        <v>780</v>
      </c>
      <c r="G121" s="1">
        <v>928</v>
      </c>
      <c r="H121" s="1">
        <v>301</v>
      </c>
      <c r="I121" s="1">
        <v>8580</v>
      </c>
      <c r="J121" s="1">
        <v>8081</v>
      </c>
      <c r="K121" s="1">
        <v>91</v>
      </c>
      <c r="L121" s="1" t="s">
        <v>31</v>
      </c>
      <c r="M121" s="1" t="s">
        <v>359</v>
      </c>
      <c r="N121" s="1" t="s">
        <v>359</v>
      </c>
      <c r="O121" s="8" t="s">
        <v>26</v>
      </c>
      <c r="P121" s="15">
        <f>(Table1_147[[#This Row],[Likes]]+Table1_147[[#This Row],[Shares]]+Table1_147[[#This Row],[Comments]])/Table1_147[[#This Row],[Impressions]]</f>
        <v>0.23414918414918415</v>
      </c>
      <c r="Q121" s="1">
        <f>(Table1_147[[#This Row],[Likes]]+Table1_147[[#This Row],[Shares]]+Table1_147[[#This Row],[Comments]])</f>
        <v>2009</v>
      </c>
    </row>
    <row r="122" spans="1:17" x14ac:dyDescent="0.3">
      <c r="A122" s="6" t="s">
        <v>174</v>
      </c>
      <c r="B122" s="1" t="s">
        <v>28</v>
      </c>
      <c r="C122" s="7">
        <v>45502</v>
      </c>
      <c r="D122" s="1" t="s">
        <v>29</v>
      </c>
      <c r="E122" s="1" t="s">
        <v>30</v>
      </c>
      <c r="F122" s="1">
        <v>498</v>
      </c>
      <c r="G122" s="1">
        <v>701</v>
      </c>
      <c r="H122" s="1">
        <v>412</v>
      </c>
      <c r="I122" s="1">
        <v>4980</v>
      </c>
      <c r="J122" s="1">
        <v>4185</v>
      </c>
      <c r="K122" s="1">
        <v>185</v>
      </c>
      <c r="L122" s="1" t="s">
        <v>48</v>
      </c>
      <c r="M122" s="1" t="s">
        <v>359</v>
      </c>
      <c r="N122" s="1" t="s">
        <v>359</v>
      </c>
      <c r="O122" s="8" t="s">
        <v>360</v>
      </c>
      <c r="P122" s="15">
        <f>(Table1_147[[#This Row],[Likes]]+Table1_147[[#This Row],[Shares]]+Table1_147[[#This Row],[Comments]])/Table1_147[[#This Row],[Impressions]]</f>
        <v>0.32349397590361445</v>
      </c>
      <c r="Q122" s="1">
        <f>(Table1_147[[#This Row],[Likes]]+Table1_147[[#This Row],[Shares]]+Table1_147[[#This Row],[Comments]])</f>
        <v>1611</v>
      </c>
    </row>
    <row r="123" spans="1:17" x14ac:dyDescent="0.3">
      <c r="A123" s="6" t="s">
        <v>175</v>
      </c>
      <c r="B123" s="1" t="s">
        <v>28</v>
      </c>
      <c r="C123" s="7">
        <v>45567</v>
      </c>
      <c r="D123" s="1" t="s">
        <v>19</v>
      </c>
      <c r="E123" s="1" t="s">
        <v>78</v>
      </c>
      <c r="F123" s="1">
        <v>3432</v>
      </c>
      <c r="G123" s="1">
        <v>869</v>
      </c>
      <c r="H123" s="1">
        <v>123</v>
      </c>
      <c r="I123" s="1">
        <v>54912</v>
      </c>
      <c r="J123" s="1">
        <v>53916</v>
      </c>
      <c r="K123" s="1">
        <v>264</v>
      </c>
      <c r="L123" s="1" t="s">
        <v>31</v>
      </c>
      <c r="M123" s="1" t="s">
        <v>359</v>
      </c>
      <c r="N123" s="1" t="s">
        <v>359</v>
      </c>
      <c r="O123" s="8" t="s">
        <v>21</v>
      </c>
      <c r="P123" s="15">
        <f>(Table1_147[[#This Row],[Likes]]+Table1_147[[#This Row],[Shares]]+Table1_147[[#This Row],[Comments]])/Table1_147[[#This Row],[Impressions]]</f>
        <v>8.0565268065268064E-2</v>
      </c>
      <c r="Q123" s="1">
        <f>(Table1_147[[#This Row],[Likes]]+Table1_147[[#This Row],[Shares]]+Table1_147[[#This Row],[Comments]])</f>
        <v>4424</v>
      </c>
    </row>
    <row r="124" spans="1:17" x14ac:dyDescent="0.3">
      <c r="A124" s="6" t="s">
        <v>176</v>
      </c>
      <c r="B124" s="1" t="s">
        <v>28</v>
      </c>
      <c r="C124" s="7">
        <v>45457</v>
      </c>
      <c r="D124" s="1" t="s">
        <v>29</v>
      </c>
      <c r="E124" s="1" t="s">
        <v>30</v>
      </c>
      <c r="F124" s="1">
        <v>4363</v>
      </c>
      <c r="G124" s="1">
        <v>649</v>
      </c>
      <c r="H124" s="1">
        <v>140</v>
      </c>
      <c r="I124" s="1">
        <v>21815</v>
      </c>
      <c r="J124" s="1">
        <v>21481</v>
      </c>
      <c r="K124" s="1">
        <v>157</v>
      </c>
      <c r="L124" s="1" t="s">
        <v>31</v>
      </c>
      <c r="M124" s="1" t="s">
        <v>359</v>
      </c>
      <c r="N124" s="1" t="s">
        <v>359</v>
      </c>
      <c r="O124" s="8" t="s">
        <v>17</v>
      </c>
      <c r="P124" s="15">
        <f>(Table1_147[[#This Row],[Likes]]+Table1_147[[#This Row],[Shares]]+Table1_147[[#This Row],[Comments]])/Table1_147[[#This Row],[Impressions]]</f>
        <v>0.23616777446710979</v>
      </c>
      <c r="Q124" s="1">
        <f>(Table1_147[[#This Row],[Likes]]+Table1_147[[#This Row],[Shares]]+Table1_147[[#This Row],[Comments]])</f>
        <v>5152</v>
      </c>
    </row>
    <row r="125" spans="1:17" x14ac:dyDescent="0.3">
      <c r="A125" s="6" t="s">
        <v>177</v>
      </c>
      <c r="B125" s="1" t="s">
        <v>23</v>
      </c>
      <c r="C125" s="7">
        <v>45753</v>
      </c>
      <c r="D125" s="1" t="s">
        <v>36</v>
      </c>
      <c r="E125" s="1" t="s">
        <v>52</v>
      </c>
      <c r="F125" s="1">
        <v>736</v>
      </c>
      <c r="G125" s="1">
        <v>771</v>
      </c>
      <c r="H125" s="1">
        <v>225</v>
      </c>
      <c r="I125" s="1">
        <v>5152</v>
      </c>
      <c r="J125" s="1">
        <v>4706</v>
      </c>
      <c r="K125" s="1">
        <v>19</v>
      </c>
      <c r="L125" s="1" t="s">
        <v>31</v>
      </c>
      <c r="M125" s="1" t="s">
        <v>359</v>
      </c>
      <c r="N125" s="1" t="s">
        <v>359</v>
      </c>
      <c r="O125" s="8" t="s">
        <v>17</v>
      </c>
      <c r="P125" s="15">
        <f>(Table1_147[[#This Row],[Likes]]+Table1_147[[#This Row],[Shares]]+Table1_147[[#This Row],[Comments]])/Table1_147[[#This Row],[Impressions]]</f>
        <v>0.33618012422360249</v>
      </c>
      <c r="Q125" s="1">
        <f>(Table1_147[[#This Row],[Likes]]+Table1_147[[#This Row],[Shares]]+Table1_147[[#This Row],[Comments]])</f>
        <v>1732</v>
      </c>
    </row>
    <row r="126" spans="1:17" x14ac:dyDescent="0.3">
      <c r="A126" s="6" t="s">
        <v>178</v>
      </c>
      <c r="B126" s="1" t="s">
        <v>14</v>
      </c>
      <c r="C126" s="7">
        <v>45543</v>
      </c>
      <c r="D126" s="1" t="s">
        <v>36</v>
      </c>
      <c r="E126" s="1" t="s">
        <v>39</v>
      </c>
      <c r="F126" s="1">
        <v>3811</v>
      </c>
      <c r="G126" s="1">
        <v>866</v>
      </c>
      <c r="H126" s="1">
        <v>216</v>
      </c>
      <c r="I126" s="1">
        <v>34299</v>
      </c>
      <c r="J126" s="1">
        <v>34088</v>
      </c>
      <c r="K126" s="1">
        <v>233</v>
      </c>
      <c r="L126" s="1" t="s">
        <v>25</v>
      </c>
      <c r="M126" s="1" t="s">
        <v>359</v>
      </c>
      <c r="N126" s="1" t="s">
        <v>359</v>
      </c>
      <c r="O126" s="8" t="s">
        <v>32</v>
      </c>
      <c r="P126" s="15">
        <f>(Table1_147[[#This Row],[Likes]]+Table1_147[[#This Row],[Shares]]+Table1_147[[#This Row],[Comments]])/Table1_147[[#This Row],[Impressions]]</f>
        <v>0.14265722032712325</v>
      </c>
      <c r="Q126" s="1">
        <f>(Table1_147[[#This Row],[Likes]]+Table1_147[[#This Row],[Shares]]+Table1_147[[#This Row],[Comments]])</f>
        <v>4893</v>
      </c>
    </row>
    <row r="127" spans="1:17" x14ac:dyDescent="0.3">
      <c r="A127" s="6" t="s">
        <v>179</v>
      </c>
      <c r="B127" s="1" t="s">
        <v>28</v>
      </c>
      <c r="C127" s="7">
        <v>45744</v>
      </c>
      <c r="D127" s="1" t="s">
        <v>36</v>
      </c>
      <c r="E127" s="1" t="s">
        <v>65</v>
      </c>
      <c r="F127" s="1">
        <v>4158</v>
      </c>
      <c r="G127" s="1">
        <v>167</v>
      </c>
      <c r="H127" s="1">
        <v>241</v>
      </c>
      <c r="I127" s="1">
        <v>45738</v>
      </c>
      <c r="J127" s="1">
        <v>45183</v>
      </c>
      <c r="K127" s="1">
        <v>142</v>
      </c>
      <c r="L127" s="1" t="s">
        <v>48</v>
      </c>
      <c r="M127" s="1" t="s">
        <v>359</v>
      </c>
      <c r="N127" s="1" t="s">
        <v>359</v>
      </c>
      <c r="O127" s="8" t="s">
        <v>360</v>
      </c>
      <c r="P127" s="15">
        <f>(Table1_147[[#This Row],[Likes]]+Table1_147[[#This Row],[Shares]]+Table1_147[[#This Row],[Comments]])/Table1_147[[#This Row],[Impressions]]</f>
        <v>9.9829463465827106E-2</v>
      </c>
      <c r="Q127" s="1">
        <f>(Table1_147[[#This Row],[Likes]]+Table1_147[[#This Row],[Shares]]+Table1_147[[#This Row],[Comments]])</f>
        <v>4566</v>
      </c>
    </row>
    <row r="128" spans="1:17" x14ac:dyDescent="0.3">
      <c r="A128" s="6" t="s">
        <v>180</v>
      </c>
      <c r="B128" s="1" t="s">
        <v>35</v>
      </c>
      <c r="C128" s="7">
        <v>45684</v>
      </c>
      <c r="D128" s="1" t="s">
        <v>15</v>
      </c>
      <c r="E128" s="1" t="s">
        <v>50</v>
      </c>
      <c r="F128" s="1">
        <v>3452</v>
      </c>
      <c r="G128" s="1">
        <v>652</v>
      </c>
      <c r="H128" s="1">
        <v>442</v>
      </c>
      <c r="I128" s="1">
        <v>65588</v>
      </c>
      <c r="J128" s="1">
        <v>65049</v>
      </c>
      <c r="K128" s="1">
        <v>158</v>
      </c>
      <c r="L128" s="1" t="s">
        <v>48</v>
      </c>
      <c r="M128" s="1" t="s">
        <v>359</v>
      </c>
      <c r="N128" s="1" t="s">
        <v>359</v>
      </c>
      <c r="O128" s="8" t="s">
        <v>26</v>
      </c>
      <c r="P128" s="15">
        <f>(Table1_147[[#This Row],[Likes]]+Table1_147[[#This Row],[Shares]]+Table1_147[[#This Row],[Comments]])/Table1_147[[#This Row],[Impressions]]</f>
        <v>6.9311459413307311E-2</v>
      </c>
      <c r="Q128" s="1">
        <f>(Table1_147[[#This Row],[Likes]]+Table1_147[[#This Row],[Shares]]+Table1_147[[#This Row],[Comments]])</f>
        <v>4546</v>
      </c>
    </row>
    <row r="129" spans="1:17" x14ac:dyDescent="0.3">
      <c r="A129" s="6" t="s">
        <v>181</v>
      </c>
      <c r="B129" s="1" t="s">
        <v>14</v>
      </c>
      <c r="C129" s="7">
        <v>45667</v>
      </c>
      <c r="D129" s="1" t="s">
        <v>41</v>
      </c>
      <c r="E129" s="1" t="s">
        <v>88</v>
      </c>
      <c r="F129" s="1">
        <v>3092</v>
      </c>
      <c r="G129" s="1">
        <v>106</v>
      </c>
      <c r="H129" s="1">
        <v>291</v>
      </c>
      <c r="I129" s="1">
        <v>27828</v>
      </c>
      <c r="J129" s="1">
        <v>27217</v>
      </c>
      <c r="K129" s="1">
        <v>102</v>
      </c>
      <c r="L129" s="1" t="s">
        <v>48</v>
      </c>
      <c r="M129" s="1" t="s">
        <v>359</v>
      </c>
      <c r="N129" s="1" t="s">
        <v>359</v>
      </c>
      <c r="O129" s="8" t="s">
        <v>360</v>
      </c>
      <c r="P129" s="15">
        <f>(Table1_147[[#This Row],[Likes]]+Table1_147[[#This Row],[Shares]]+Table1_147[[#This Row],[Comments]])/Table1_147[[#This Row],[Impressions]]</f>
        <v>0.12537731780940059</v>
      </c>
      <c r="Q129" s="1">
        <f>(Table1_147[[#This Row],[Likes]]+Table1_147[[#This Row],[Shares]]+Table1_147[[#This Row],[Comments]])</f>
        <v>3489</v>
      </c>
    </row>
    <row r="130" spans="1:17" x14ac:dyDescent="0.3">
      <c r="A130" s="6" t="s">
        <v>182</v>
      </c>
      <c r="B130" s="1" t="s">
        <v>14</v>
      </c>
      <c r="C130" s="7">
        <v>45494</v>
      </c>
      <c r="D130" s="1" t="s">
        <v>19</v>
      </c>
      <c r="E130" s="1" t="s">
        <v>20</v>
      </c>
      <c r="F130" s="1">
        <v>2147</v>
      </c>
      <c r="G130" s="1">
        <v>430</v>
      </c>
      <c r="H130" s="1">
        <v>393</v>
      </c>
      <c r="I130" s="1">
        <v>17176</v>
      </c>
      <c r="J130" s="1">
        <v>16483</v>
      </c>
      <c r="K130" s="1">
        <v>170</v>
      </c>
      <c r="L130" s="1" t="s">
        <v>25</v>
      </c>
      <c r="M130" s="1" t="s">
        <v>359</v>
      </c>
      <c r="N130" s="1" t="s">
        <v>359</v>
      </c>
      <c r="O130" s="8" t="s">
        <v>360</v>
      </c>
      <c r="P130" s="15">
        <f>(Table1_147[[#This Row],[Likes]]+Table1_147[[#This Row],[Shares]]+Table1_147[[#This Row],[Comments]])/Table1_147[[#This Row],[Impressions]]</f>
        <v>0.17291569632044715</v>
      </c>
      <c r="Q130" s="1">
        <f>(Table1_147[[#This Row],[Likes]]+Table1_147[[#This Row],[Shares]]+Table1_147[[#This Row],[Comments]])</f>
        <v>2970</v>
      </c>
    </row>
    <row r="131" spans="1:17" x14ac:dyDescent="0.3">
      <c r="A131" s="6" t="s">
        <v>183</v>
      </c>
      <c r="B131" s="1" t="s">
        <v>23</v>
      </c>
      <c r="C131" s="7">
        <v>45564</v>
      </c>
      <c r="D131" s="1" t="s">
        <v>15</v>
      </c>
      <c r="E131" s="1" t="s">
        <v>24</v>
      </c>
      <c r="F131" s="1">
        <v>2936</v>
      </c>
      <c r="G131" s="1">
        <v>439</v>
      </c>
      <c r="H131" s="1">
        <v>44</v>
      </c>
      <c r="I131" s="1">
        <v>38168</v>
      </c>
      <c r="J131" s="1">
        <v>37571</v>
      </c>
      <c r="K131" s="1">
        <v>22</v>
      </c>
      <c r="L131" s="1" t="s">
        <v>31</v>
      </c>
      <c r="M131" s="1" t="s">
        <v>359</v>
      </c>
      <c r="N131" s="1" t="s">
        <v>359</v>
      </c>
      <c r="O131" s="8" t="s">
        <v>32</v>
      </c>
      <c r="P131" s="15">
        <f>(Table1_147[[#This Row],[Likes]]+Table1_147[[#This Row],[Shares]]+Table1_147[[#This Row],[Comments]])/Table1_147[[#This Row],[Impressions]]</f>
        <v>8.9577656675749323E-2</v>
      </c>
      <c r="Q131" s="1">
        <f>(Table1_147[[#This Row],[Likes]]+Table1_147[[#This Row],[Shares]]+Table1_147[[#This Row],[Comments]])</f>
        <v>3419</v>
      </c>
    </row>
    <row r="132" spans="1:17" x14ac:dyDescent="0.3">
      <c r="A132" s="6" t="s">
        <v>184</v>
      </c>
      <c r="B132" s="1" t="s">
        <v>28</v>
      </c>
      <c r="C132" s="7">
        <v>45586</v>
      </c>
      <c r="D132" s="1" t="s">
        <v>15</v>
      </c>
      <c r="E132" s="1" t="s">
        <v>61</v>
      </c>
      <c r="F132" s="1">
        <v>4840</v>
      </c>
      <c r="G132" s="1">
        <v>658</v>
      </c>
      <c r="H132" s="1">
        <v>211</v>
      </c>
      <c r="I132" s="1">
        <v>43560</v>
      </c>
      <c r="J132" s="1">
        <v>43225</v>
      </c>
      <c r="K132" s="1">
        <v>57</v>
      </c>
      <c r="L132" s="1" t="s">
        <v>48</v>
      </c>
      <c r="M132" s="1" t="s">
        <v>359</v>
      </c>
      <c r="N132" s="1" t="s">
        <v>359</v>
      </c>
      <c r="O132" s="8" t="s">
        <v>26</v>
      </c>
      <c r="P132" s="15">
        <f>(Table1_147[[#This Row],[Likes]]+Table1_147[[#This Row],[Shares]]+Table1_147[[#This Row],[Comments]])/Table1_147[[#This Row],[Impressions]]</f>
        <v>0.13106060606060607</v>
      </c>
      <c r="Q132" s="1">
        <f>(Table1_147[[#This Row],[Likes]]+Table1_147[[#This Row],[Shares]]+Table1_147[[#This Row],[Comments]])</f>
        <v>5709</v>
      </c>
    </row>
    <row r="133" spans="1:17" x14ac:dyDescent="0.3">
      <c r="A133" s="6" t="s">
        <v>185</v>
      </c>
      <c r="B133" s="1" t="s">
        <v>28</v>
      </c>
      <c r="C133" s="7">
        <v>45720</v>
      </c>
      <c r="D133" s="1" t="s">
        <v>29</v>
      </c>
      <c r="E133" s="1" t="s">
        <v>30</v>
      </c>
      <c r="F133" s="1">
        <v>1947</v>
      </c>
      <c r="G133" s="1">
        <v>842</v>
      </c>
      <c r="H133" s="1">
        <v>101</v>
      </c>
      <c r="I133" s="1">
        <v>21417</v>
      </c>
      <c r="J133" s="1">
        <v>20967</v>
      </c>
      <c r="K133" s="1">
        <v>186</v>
      </c>
      <c r="L133" s="1" t="s">
        <v>48</v>
      </c>
      <c r="M133" s="1" t="s">
        <v>359</v>
      </c>
      <c r="N133" s="1" t="s">
        <v>359</v>
      </c>
      <c r="O133" s="8" t="s">
        <v>21</v>
      </c>
      <c r="P133" s="15">
        <f>(Table1_147[[#This Row],[Likes]]+Table1_147[[#This Row],[Shares]]+Table1_147[[#This Row],[Comments]])/Table1_147[[#This Row],[Impressions]]</f>
        <v>0.13493953401503478</v>
      </c>
      <c r="Q133" s="1">
        <f>(Table1_147[[#This Row],[Likes]]+Table1_147[[#This Row],[Shares]]+Table1_147[[#This Row],[Comments]])</f>
        <v>2890</v>
      </c>
    </row>
    <row r="134" spans="1:17" x14ac:dyDescent="0.3">
      <c r="A134" s="6" t="s">
        <v>186</v>
      </c>
      <c r="B134" s="1" t="s">
        <v>35</v>
      </c>
      <c r="C134" s="7">
        <v>45694</v>
      </c>
      <c r="D134" s="1" t="s">
        <v>41</v>
      </c>
      <c r="E134" s="1" t="s">
        <v>46</v>
      </c>
      <c r="F134" s="1">
        <v>2072</v>
      </c>
      <c r="G134" s="1">
        <v>532</v>
      </c>
      <c r="H134" s="1">
        <v>71</v>
      </c>
      <c r="I134" s="1">
        <v>37296</v>
      </c>
      <c r="J134" s="1">
        <v>36467</v>
      </c>
      <c r="K134" s="1">
        <v>25</v>
      </c>
      <c r="L134" s="1" t="s">
        <v>25</v>
      </c>
      <c r="M134" s="1" t="s">
        <v>359</v>
      </c>
      <c r="N134" s="1" t="s">
        <v>359</v>
      </c>
      <c r="O134" s="8" t="s">
        <v>32</v>
      </c>
      <c r="P134" s="15">
        <f>(Table1_147[[#This Row],[Likes]]+Table1_147[[#This Row],[Shares]]+Table1_147[[#This Row],[Comments]])/Table1_147[[#This Row],[Impressions]]</f>
        <v>7.172350922350923E-2</v>
      </c>
      <c r="Q134" s="1">
        <f>(Table1_147[[#This Row],[Likes]]+Table1_147[[#This Row],[Shares]]+Table1_147[[#This Row],[Comments]])</f>
        <v>2675</v>
      </c>
    </row>
    <row r="135" spans="1:17" x14ac:dyDescent="0.3">
      <c r="A135" s="6" t="s">
        <v>187</v>
      </c>
      <c r="B135" s="1" t="s">
        <v>14</v>
      </c>
      <c r="C135" s="7">
        <v>45771</v>
      </c>
      <c r="D135" s="1" t="s">
        <v>15</v>
      </c>
      <c r="E135" s="1" t="s">
        <v>16</v>
      </c>
      <c r="F135" s="1">
        <v>3731</v>
      </c>
      <c r="G135" s="1">
        <v>115</v>
      </c>
      <c r="H135" s="1">
        <v>135</v>
      </c>
      <c r="I135" s="1">
        <v>55965</v>
      </c>
      <c r="J135" s="1">
        <v>55436</v>
      </c>
      <c r="K135" s="1">
        <v>103</v>
      </c>
      <c r="L135" s="1" t="s">
        <v>25</v>
      </c>
      <c r="M135" s="1" t="s">
        <v>359</v>
      </c>
      <c r="N135" s="1" t="s">
        <v>359</v>
      </c>
      <c r="O135" s="8" t="s">
        <v>17</v>
      </c>
      <c r="P135" s="15">
        <f>(Table1_147[[#This Row],[Likes]]+Table1_147[[#This Row],[Shares]]+Table1_147[[#This Row],[Comments]])/Table1_147[[#This Row],[Impressions]]</f>
        <v>7.1133744304476013E-2</v>
      </c>
      <c r="Q135" s="1">
        <f>(Table1_147[[#This Row],[Likes]]+Table1_147[[#This Row],[Shares]]+Table1_147[[#This Row],[Comments]])</f>
        <v>3981</v>
      </c>
    </row>
    <row r="136" spans="1:17" x14ac:dyDescent="0.3">
      <c r="A136" s="6" t="s">
        <v>188</v>
      </c>
      <c r="B136" s="1" t="s">
        <v>35</v>
      </c>
      <c r="C136" s="7">
        <v>45624</v>
      </c>
      <c r="D136" s="1" t="s">
        <v>19</v>
      </c>
      <c r="E136" s="1" t="s">
        <v>44</v>
      </c>
      <c r="F136" s="1">
        <v>4213</v>
      </c>
      <c r="G136" s="1">
        <v>253</v>
      </c>
      <c r="H136" s="1">
        <v>434</v>
      </c>
      <c r="I136" s="1">
        <v>75834</v>
      </c>
      <c r="J136" s="1">
        <v>75437</v>
      </c>
      <c r="K136" s="1">
        <v>272</v>
      </c>
      <c r="L136" s="1" t="s">
        <v>48</v>
      </c>
      <c r="M136" s="1" t="s">
        <v>359</v>
      </c>
      <c r="N136" s="1" t="s">
        <v>359</v>
      </c>
      <c r="O136" s="8" t="s">
        <v>32</v>
      </c>
      <c r="P136" s="15">
        <f>(Table1_147[[#This Row],[Likes]]+Table1_147[[#This Row],[Shares]]+Table1_147[[#This Row],[Comments]])/Table1_147[[#This Row],[Impressions]]</f>
        <v>6.461481657304112E-2</v>
      </c>
      <c r="Q136" s="1">
        <f>(Table1_147[[#This Row],[Likes]]+Table1_147[[#This Row],[Shares]]+Table1_147[[#This Row],[Comments]])</f>
        <v>4900</v>
      </c>
    </row>
    <row r="137" spans="1:17" x14ac:dyDescent="0.3">
      <c r="A137" s="6" t="s">
        <v>189</v>
      </c>
      <c r="B137" s="1" t="s">
        <v>28</v>
      </c>
      <c r="C137" s="7">
        <v>45484</v>
      </c>
      <c r="D137" s="1" t="s">
        <v>19</v>
      </c>
      <c r="E137" s="1" t="s">
        <v>78</v>
      </c>
      <c r="F137" s="1">
        <v>3134</v>
      </c>
      <c r="G137" s="1">
        <v>888</v>
      </c>
      <c r="H137" s="1">
        <v>444</v>
      </c>
      <c r="I137" s="1">
        <v>21938</v>
      </c>
      <c r="J137" s="1">
        <v>21337</v>
      </c>
      <c r="K137" s="1">
        <v>130</v>
      </c>
      <c r="L137" s="1" t="s">
        <v>31</v>
      </c>
      <c r="M137" s="1" t="s">
        <v>359</v>
      </c>
      <c r="N137" s="1" t="s">
        <v>359</v>
      </c>
      <c r="O137" s="8" t="s">
        <v>32</v>
      </c>
      <c r="P137" s="15">
        <f>(Table1_147[[#This Row],[Likes]]+Table1_147[[#This Row],[Shares]]+Table1_147[[#This Row],[Comments]])/Table1_147[[#This Row],[Impressions]]</f>
        <v>0.20357370772176134</v>
      </c>
      <c r="Q137" s="1">
        <f>(Table1_147[[#This Row],[Likes]]+Table1_147[[#This Row],[Shares]]+Table1_147[[#This Row],[Comments]])</f>
        <v>4466</v>
      </c>
    </row>
    <row r="138" spans="1:17" x14ac:dyDescent="0.3">
      <c r="A138" s="6" t="s">
        <v>190</v>
      </c>
      <c r="B138" s="1" t="s">
        <v>35</v>
      </c>
      <c r="C138" s="7">
        <v>45504</v>
      </c>
      <c r="D138" s="1" t="s">
        <v>56</v>
      </c>
      <c r="E138" s="1" t="s">
        <v>57</v>
      </c>
      <c r="F138" s="1">
        <v>3008</v>
      </c>
      <c r="G138" s="1">
        <v>94</v>
      </c>
      <c r="H138" s="1">
        <v>37</v>
      </c>
      <c r="I138" s="1">
        <v>15040</v>
      </c>
      <c r="J138" s="1">
        <v>14639</v>
      </c>
      <c r="K138" s="1">
        <v>277</v>
      </c>
      <c r="L138" s="1" t="s">
        <v>48</v>
      </c>
      <c r="M138" s="1" t="s">
        <v>359</v>
      </c>
      <c r="N138" s="1" t="s">
        <v>359</v>
      </c>
      <c r="O138" s="8" t="s">
        <v>360</v>
      </c>
      <c r="P138" s="15">
        <f>(Table1_147[[#This Row],[Likes]]+Table1_147[[#This Row],[Shares]]+Table1_147[[#This Row],[Comments]])/Table1_147[[#This Row],[Impressions]]</f>
        <v>0.20871010638297871</v>
      </c>
      <c r="Q138" s="1">
        <f>(Table1_147[[#This Row],[Likes]]+Table1_147[[#This Row],[Shares]]+Table1_147[[#This Row],[Comments]])</f>
        <v>3139</v>
      </c>
    </row>
    <row r="139" spans="1:17" x14ac:dyDescent="0.3">
      <c r="A139" s="6" t="s">
        <v>191</v>
      </c>
      <c r="B139" s="1" t="s">
        <v>14</v>
      </c>
      <c r="C139" s="7">
        <v>45745</v>
      </c>
      <c r="D139" s="1" t="s">
        <v>41</v>
      </c>
      <c r="E139" s="1" t="s">
        <v>88</v>
      </c>
      <c r="F139" s="1">
        <v>305</v>
      </c>
      <c r="G139" s="1">
        <v>187</v>
      </c>
      <c r="H139" s="1">
        <v>243</v>
      </c>
      <c r="I139" s="1">
        <v>4575</v>
      </c>
      <c r="J139" s="1">
        <v>3704</v>
      </c>
      <c r="K139" s="1">
        <v>234</v>
      </c>
      <c r="L139" s="1" t="s">
        <v>48</v>
      </c>
      <c r="M139" s="1" t="s">
        <v>359</v>
      </c>
      <c r="N139" s="1" t="s">
        <v>359</v>
      </c>
      <c r="O139" s="8" t="s">
        <v>26</v>
      </c>
      <c r="P139" s="15">
        <f>(Table1_147[[#This Row],[Likes]]+Table1_147[[#This Row],[Shares]]+Table1_147[[#This Row],[Comments]])/Table1_147[[#This Row],[Impressions]]</f>
        <v>0.16065573770491803</v>
      </c>
      <c r="Q139" s="1">
        <f>(Table1_147[[#This Row],[Likes]]+Table1_147[[#This Row],[Shares]]+Table1_147[[#This Row],[Comments]])</f>
        <v>735</v>
      </c>
    </row>
    <row r="140" spans="1:17" x14ac:dyDescent="0.3">
      <c r="A140" s="6" t="s">
        <v>192</v>
      </c>
      <c r="B140" s="1" t="s">
        <v>23</v>
      </c>
      <c r="C140" s="7">
        <v>45594</v>
      </c>
      <c r="D140" s="1" t="s">
        <v>19</v>
      </c>
      <c r="E140" s="1" t="s">
        <v>73</v>
      </c>
      <c r="F140" s="1">
        <v>2746</v>
      </c>
      <c r="G140" s="1">
        <v>156</v>
      </c>
      <c r="H140" s="1">
        <v>203</v>
      </c>
      <c r="I140" s="1">
        <v>32952</v>
      </c>
      <c r="J140" s="1">
        <v>32147</v>
      </c>
      <c r="K140" s="1">
        <v>147</v>
      </c>
      <c r="L140" s="1" t="s">
        <v>31</v>
      </c>
      <c r="M140" s="1" t="s">
        <v>359</v>
      </c>
      <c r="N140" s="1" t="s">
        <v>359</v>
      </c>
      <c r="O140" s="8" t="s">
        <v>17</v>
      </c>
      <c r="P140" s="15">
        <f>(Table1_147[[#This Row],[Likes]]+Table1_147[[#This Row],[Shares]]+Table1_147[[#This Row],[Comments]])/Table1_147[[#This Row],[Impressions]]</f>
        <v>9.422796795338674E-2</v>
      </c>
      <c r="Q140" s="1">
        <f>(Table1_147[[#This Row],[Likes]]+Table1_147[[#This Row],[Shares]]+Table1_147[[#This Row],[Comments]])</f>
        <v>3105</v>
      </c>
    </row>
    <row r="141" spans="1:17" x14ac:dyDescent="0.3">
      <c r="A141" s="6" t="s">
        <v>193</v>
      </c>
      <c r="B141" s="1" t="s">
        <v>35</v>
      </c>
      <c r="C141" s="7">
        <v>45488</v>
      </c>
      <c r="D141" s="1" t="s">
        <v>41</v>
      </c>
      <c r="E141" s="1" t="s">
        <v>46</v>
      </c>
      <c r="F141" s="1">
        <v>2291</v>
      </c>
      <c r="G141" s="1">
        <v>78</v>
      </c>
      <c r="H141" s="1">
        <v>485</v>
      </c>
      <c r="I141" s="1">
        <v>18328</v>
      </c>
      <c r="J141" s="1">
        <v>18101</v>
      </c>
      <c r="K141" s="1">
        <v>10</v>
      </c>
      <c r="L141" s="1" t="s">
        <v>31</v>
      </c>
      <c r="M141" s="1" t="s">
        <v>356</v>
      </c>
      <c r="N141" s="1" t="s">
        <v>359</v>
      </c>
      <c r="O141" s="8" t="s">
        <v>21</v>
      </c>
      <c r="P141" s="15">
        <f>(Table1_147[[#This Row],[Likes]]+Table1_147[[#This Row],[Shares]]+Table1_147[[#This Row],[Comments]])/Table1_147[[#This Row],[Impressions]]</f>
        <v>0.15571802706241816</v>
      </c>
      <c r="Q141" s="1">
        <f>(Table1_147[[#This Row],[Likes]]+Table1_147[[#This Row],[Shares]]+Table1_147[[#This Row],[Comments]])</f>
        <v>2854</v>
      </c>
    </row>
    <row r="142" spans="1:17" x14ac:dyDescent="0.3">
      <c r="A142" s="6" t="s">
        <v>194</v>
      </c>
      <c r="B142" s="1" t="s">
        <v>14</v>
      </c>
      <c r="C142" s="7">
        <v>45535</v>
      </c>
      <c r="D142" s="1" t="s">
        <v>41</v>
      </c>
      <c r="E142" s="1" t="s">
        <v>88</v>
      </c>
      <c r="F142" s="1">
        <v>3170</v>
      </c>
      <c r="G142" s="1">
        <v>857</v>
      </c>
      <c r="H142" s="1">
        <v>379</v>
      </c>
      <c r="I142" s="1">
        <v>19020</v>
      </c>
      <c r="J142" s="1">
        <v>18559</v>
      </c>
      <c r="K142" s="1">
        <v>240</v>
      </c>
      <c r="L142" s="1" t="s">
        <v>48</v>
      </c>
      <c r="M142" s="1" t="s">
        <v>359</v>
      </c>
      <c r="N142" s="1" t="s">
        <v>359</v>
      </c>
      <c r="O142" s="8" t="s">
        <v>360</v>
      </c>
      <c r="P142" s="15">
        <f>(Table1_147[[#This Row],[Likes]]+Table1_147[[#This Row],[Shares]]+Table1_147[[#This Row],[Comments]])/Table1_147[[#This Row],[Impressions]]</f>
        <v>0.2316508937960042</v>
      </c>
      <c r="Q142" s="1">
        <f>(Table1_147[[#This Row],[Likes]]+Table1_147[[#This Row],[Shares]]+Table1_147[[#This Row],[Comments]])</f>
        <v>4406</v>
      </c>
    </row>
    <row r="143" spans="1:17" x14ac:dyDescent="0.3">
      <c r="A143" s="6" t="s">
        <v>195</v>
      </c>
      <c r="B143" s="1" t="s">
        <v>23</v>
      </c>
      <c r="C143" s="7">
        <v>45741</v>
      </c>
      <c r="D143" s="1" t="s">
        <v>29</v>
      </c>
      <c r="E143" s="1" t="s">
        <v>101</v>
      </c>
      <c r="F143" s="1">
        <v>2070</v>
      </c>
      <c r="G143" s="1">
        <v>275</v>
      </c>
      <c r="H143" s="1">
        <v>386</v>
      </c>
      <c r="I143" s="1">
        <v>39330</v>
      </c>
      <c r="J143" s="1">
        <v>38627</v>
      </c>
      <c r="K143" s="1">
        <v>114</v>
      </c>
      <c r="L143" s="1" t="s">
        <v>48</v>
      </c>
      <c r="M143" s="1" t="s">
        <v>359</v>
      </c>
      <c r="N143" s="1" t="s">
        <v>359</v>
      </c>
      <c r="O143" s="8" t="s">
        <v>32</v>
      </c>
      <c r="P143" s="15">
        <f>(Table1_147[[#This Row],[Likes]]+Table1_147[[#This Row],[Shares]]+Table1_147[[#This Row],[Comments]])/Table1_147[[#This Row],[Impressions]]</f>
        <v>6.9438087973557078E-2</v>
      </c>
      <c r="Q143" s="1">
        <f>(Table1_147[[#This Row],[Likes]]+Table1_147[[#This Row],[Shares]]+Table1_147[[#This Row],[Comments]])</f>
        <v>2731</v>
      </c>
    </row>
    <row r="144" spans="1:17" x14ac:dyDescent="0.3">
      <c r="A144" s="6" t="s">
        <v>196</v>
      </c>
      <c r="B144" s="1" t="s">
        <v>23</v>
      </c>
      <c r="C144" s="7">
        <v>45567</v>
      </c>
      <c r="D144" s="1" t="s">
        <v>36</v>
      </c>
      <c r="E144" s="1" t="s">
        <v>52</v>
      </c>
      <c r="F144" s="1">
        <v>80</v>
      </c>
      <c r="G144" s="1">
        <v>362</v>
      </c>
      <c r="H144" s="1">
        <v>80</v>
      </c>
      <c r="I144" s="1">
        <v>1040</v>
      </c>
      <c r="J144" s="1">
        <v>349</v>
      </c>
      <c r="K144" s="1">
        <v>117</v>
      </c>
      <c r="L144" s="1" t="s">
        <v>25</v>
      </c>
      <c r="M144" s="1" t="s">
        <v>359</v>
      </c>
      <c r="N144" s="1" t="s">
        <v>359</v>
      </c>
      <c r="O144" s="8" t="s">
        <v>26</v>
      </c>
      <c r="P144" s="15">
        <f>(Table1_147[[#This Row],[Likes]]+Table1_147[[#This Row],[Shares]]+Table1_147[[#This Row],[Comments]])/Table1_147[[#This Row],[Impressions]]</f>
        <v>0.50192307692307692</v>
      </c>
      <c r="Q144" s="1">
        <f>(Table1_147[[#This Row],[Likes]]+Table1_147[[#This Row],[Shares]]+Table1_147[[#This Row],[Comments]])</f>
        <v>522</v>
      </c>
    </row>
    <row r="145" spans="1:17" x14ac:dyDescent="0.3">
      <c r="A145" s="6" t="s">
        <v>197</v>
      </c>
      <c r="B145" s="1" t="s">
        <v>23</v>
      </c>
      <c r="C145" s="7">
        <v>45593</v>
      </c>
      <c r="D145" s="1" t="s">
        <v>29</v>
      </c>
      <c r="E145" s="1" t="s">
        <v>101</v>
      </c>
      <c r="F145" s="1">
        <v>4929</v>
      </c>
      <c r="G145" s="1">
        <v>749</v>
      </c>
      <c r="H145" s="1">
        <v>452</v>
      </c>
      <c r="I145" s="1">
        <v>93651</v>
      </c>
      <c r="J145" s="1">
        <v>92810</v>
      </c>
      <c r="K145" s="1">
        <v>66</v>
      </c>
      <c r="L145" s="1" t="s">
        <v>31</v>
      </c>
      <c r="M145" s="1" t="s">
        <v>359</v>
      </c>
      <c r="N145" s="1" t="s">
        <v>359</v>
      </c>
      <c r="O145" s="8" t="s">
        <v>32</v>
      </c>
      <c r="P145" s="15">
        <f>(Table1_147[[#This Row],[Likes]]+Table1_147[[#This Row],[Shares]]+Table1_147[[#This Row],[Comments]])/Table1_147[[#This Row],[Impressions]]</f>
        <v>6.5455787978772245E-2</v>
      </c>
      <c r="Q145" s="1">
        <f>(Table1_147[[#This Row],[Likes]]+Table1_147[[#This Row],[Shares]]+Table1_147[[#This Row],[Comments]])</f>
        <v>6130</v>
      </c>
    </row>
    <row r="146" spans="1:17" x14ac:dyDescent="0.3">
      <c r="A146" s="6" t="s">
        <v>198</v>
      </c>
      <c r="B146" s="1" t="s">
        <v>28</v>
      </c>
      <c r="C146" s="7">
        <v>45516</v>
      </c>
      <c r="D146" s="1" t="s">
        <v>36</v>
      </c>
      <c r="E146" s="1" t="s">
        <v>65</v>
      </c>
      <c r="F146" s="1">
        <v>1878</v>
      </c>
      <c r="G146" s="1">
        <v>62</v>
      </c>
      <c r="H146" s="1">
        <v>179</v>
      </c>
      <c r="I146" s="1">
        <v>37560</v>
      </c>
      <c r="J146" s="1">
        <v>36874</v>
      </c>
      <c r="K146" s="1">
        <v>142</v>
      </c>
      <c r="L146" s="1" t="s">
        <v>25</v>
      </c>
      <c r="M146" s="1" t="s">
        <v>359</v>
      </c>
      <c r="N146" s="1" t="s">
        <v>359</v>
      </c>
      <c r="O146" s="8" t="s">
        <v>32</v>
      </c>
      <c r="P146" s="15">
        <f>(Table1_147[[#This Row],[Likes]]+Table1_147[[#This Row],[Shares]]+Table1_147[[#This Row],[Comments]])/Table1_147[[#This Row],[Impressions]]</f>
        <v>5.6416400425985093E-2</v>
      </c>
      <c r="Q146" s="1">
        <f>(Table1_147[[#This Row],[Likes]]+Table1_147[[#This Row],[Shares]]+Table1_147[[#This Row],[Comments]])</f>
        <v>2119</v>
      </c>
    </row>
    <row r="147" spans="1:17" x14ac:dyDescent="0.3">
      <c r="A147" s="6" t="s">
        <v>199</v>
      </c>
      <c r="B147" s="1" t="s">
        <v>23</v>
      </c>
      <c r="C147" s="7">
        <v>45448</v>
      </c>
      <c r="D147" s="1" t="s">
        <v>15</v>
      </c>
      <c r="E147" s="1" t="s">
        <v>24</v>
      </c>
      <c r="F147" s="1">
        <v>3065</v>
      </c>
      <c r="G147" s="1">
        <v>772</v>
      </c>
      <c r="H147" s="1">
        <v>142</v>
      </c>
      <c r="I147" s="1">
        <v>18390</v>
      </c>
      <c r="J147" s="1">
        <v>17875</v>
      </c>
      <c r="K147" s="1">
        <v>200</v>
      </c>
      <c r="L147" s="1" t="s">
        <v>31</v>
      </c>
      <c r="M147" s="1" t="s">
        <v>354</v>
      </c>
      <c r="N147" s="1" t="s">
        <v>359</v>
      </c>
      <c r="O147" s="8" t="s">
        <v>360</v>
      </c>
      <c r="P147" s="15">
        <f>(Table1_147[[#This Row],[Likes]]+Table1_147[[#This Row],[Shares]]+Table1_147[[#This Row],[Comments]])/Table1_147[[#This Row],[Impressions]]</f>
        <v>0.21636759108210984</v>
      </c>
      <c r="Q147" s="1">
        <f>(Table1_147[[#This Row],[Likes]]+Table1_147[[#This Row],[Shares]]+Table1_147[[#This Row],[Comments]])</f>
        <v>3979</v>
      </c>
    </row>
    <row r="148" spans="1:17" x14ac:dyDescent="0.3">
      <c r="A148" s="6" t="s">
        <v>200</v>
      </c>
      <c r="B148" s="1" t="s">
        <v>28</v>
      </c>
      <c r="C148" s="7">
        <v>45586</v>
      </c>
      <c r="D148" s="1" t="s">
        <v>15</v>
      </c>
      <c r="E148" s="1" t="s">
        <v>61</v>
      </c>
      <c r="F148" s="1">
        <v>3256</v>
      </c>
      <c r="G148" s="1">
        <v>459</v>
      </c>
      <c r="H148" s="1">
        <v>266</v>
      </c>
      <c r="I148" s="1">
        <v>26048</v>
      </c>
      <c r="J148" s="1">
        <v>25529</v>
      </c>
      <c r="K148" s="1">
        <v>143</v>
      </c>
      <c r="L148" s="1" t="s">
        <v>25</v>
      </c>
      <c r="M148" s="1" t="s">
        <v>359</v>
      </c>
      <c r="N148" s="1" t="s">
        <v>359</v>
      </c>
      <c r="O148" s="8" t="s">
        <v>21</v>
      </c>
      <c r="P148" s="15">
        <f>(Table1_147[[#This Row],[Likes]]+Table1_147[[#This Row],[Shares]]+Table1_147[[#This Row],[Comments]])/Table1_147[[#This Row],[Impressions]]</f>
        <v>0.15283323095823095</v>
      </c>
      <c r="Q148" s="1">
        <f>(Table1_147[[#This Row],[Likes]]+Table1_147[[#This Row],[Shares]]+Table1_147[[#This Row],[Comments]])</f>
        <v>3981</v>
      </c>
    </row>
    <row r="149" spans="1:17" x14ac:dyDescent="0.3">
      <c r="A149" s="6" t="s">
        <v>201</v>
      </c>
      <c r="B149" s="1" t="s">
        <v>28</v>
      </c>
      <c r="C149" s="7">
        <v>45762</v>
      </c>
      <c r="D149" s="1" t="s">
        <v>56</v>
      </c>
      <c r="E149" s="1" t="s">
        <v>63</v>
      </c>
      <c r="F149" s="1">
        <v>4133</v>
      </c>
      <c r="G149" s="1">
        <v>466</v>
      </c>
      <c r="H149" s="1">
        <v>327</v>
      </c>
      <c r="I149" s="1">
        <v>24798</v>
      </c>
      <c r="J149" s="1">
        <v>24620</v>
      </c>
      <c r="K149" s="1">
        <v>176</v>
      </c>
      <c r="L149" s="1" t="s">
        <v>31</v>
      </c>
      <c r="M149" s="1" t="s">
        <v>359</v>
      </c>
      <c r="N149" s="1" t="s">
        <v>359</v>
      </c>
      <c r="O149" s="8" t="s">
        <v>32</v>
      </c>
      <c r="P149" s="15">
        <f>(Table1_147[[#This Row],[Likes]]+Table1_147[[#This Row],[Shares]]+Table1_147[[#This Row],[Comments]])/Table1_147[[#This Row],[Impressions]]</f>
        <v>0.19864505202032423</v>
      </c>
      <c r="Q149" s="1">
        <f>(Table1_147[[#This Row],[Likes]]+Table1_147[[#This Row],[Shares]]+Table1_147[[#This Row],[Comments]])</f>
        <v>4926</v>
      </c>
    </row>
    <row r="150" spans="1:17" x14ac:dyDescent="0.3">
      <c r="A150" s="6" t="s">
        <v>202</v>
      </c>
      <c r="B150" s="1" t="s">
        <v>14</v>
      </c>
      <c r="C150" s="7">
        <v>45459</v>
      </c>
      <c r="D150" s="1" t="s">
        <v>56</v>
      </c>
      <c r="E150" s="1" t="s">
        <v>95</v>
      </c>
      <c r="F150" s="1">
        <v>1702</v>
      </c>
      <c r="G150" s="1">
        <v>750</v>
      </c>
      <c r="H150" s="1">
        <v>179</v>
      </c>
      <c r="I150" s="1">
        <v>34040</v>
      </c>
      <c r="J150" s="1">
        <v>33174</v>
      </c>
      <c r="K150" s="1">
        <v>76</v>
      </c>
      <c r="L150" s="1" t="s">
        <v>31</v>
      </c>
      <c r="M150" s="1" t="s">
        <v>359</v>
      </c>
      <c r="N150" s="1" t="s">
        <v>359</v>
      </c>
      <c r="O150" s="8" t="s">
        <v>17</v>
      </c>
      <c r="P150" s="15">
        <f>(Table1_147[[#This Row],[Likes]]+Table1_147[[#This Row],[Shares]]+Table1_147[[#This Row],[Comments]])/Table1_147[[#This Row],[Impressions]]</f>
        <v>7.7291421856639245E-2</v>
      </c>
      <c r="Q150" s="1">
        <f>(Table1_147[[#This Row],[Likes]]+Table1_147[[#This Row],[Shares]]+Table1_147[[#This Row],[Comments]])</f>
        <v>2631</v>
      </c>
    </row>
    <row r="151" spans="1:17" x14ac:dyDescent="0.3">
      <c r="A151" s="6" t="s">
        <v>203</v>
      </c>
      <c r="B151" s="1" t="s">
        <v>23</v>
      </c>
      <c r="C151" s="7">
        <v>45526</v>
      </c>
      <c r="D151" s="1" t="s">
        <v>36</v>
      </c>
      <c r="E151" s="1" t="s">
        <v>52</v>
      </c>
      <c r="F151" s="1">
        <v>4295</v>
      </c>
      <c r="G151" s="1">
        <v>853</v>
      </c>
      <c r="H151" s="1">
        <v>325</v>
      </c>
      <c r="I151" s="1">
        <v>85900</v>
      </c>
      <c r="J151" s="1">
        <v>85788</v>
      </c>
      <c r="K151" s="1">
        <v>290</v>
      </c>
      <c r="L151" s="1" t="s">
        <v>25</v>
      </c>
      <c r="M151" s="1" t="s">
        <v>359</v>
      </c>
      <c r="N151" s="1" t="s">
        <v>359</v>
      </c>
      <c r="O151" s="8" t="s">
        <v>32</v>
      </c>
      <c r="P151" s="15">
        <f>(Table1_147[[#This Row],[Likes]]+Table1_147[[#This Row],[Shares]]+Table1_147[[#This Row],[Comments]])/Table1_147[[#This Row],[Impressions]]</f>
        <v>6.3713620488940623E-2</v>
      </c>
      <c r="Q151" s="1">
        <f>(Table1_147[[#This Row],[Likes]]+Table1_147[[#This Row],[Shares]]+Table1_147[[#This Row],[Comments]])</f>
        <v>5473</v>
      </c>
    </row>
    <row r="152" spans="1:17" x14ac:dyDescent="0.3">
      <c r="A152" s="6" t="s">
        <v>204</v>
      </c>
      <c r="B152" s="1" t="s">
        <v>28</v>
      </c>
      <c r="C152" s="7">
        <v>45499</v>
      </c>
      <c r="D152" s="1" t="s">
        <v>41</v>
      </c>
      <c r="E152" s="1" t="s">
        <v>134</v>
      </c>
      <c r="F152" s="1">
        <v>3559</v>
      </c>
      <c r="G152" s="1">
        <v>59</v>
      </c>
      <c r="H152" s="1">
        <v>289</v>
      </c>
      <c r="I152" s="1">
        <v>35590</v>
      </c>
      <c r="J152" s="1">
        <v>35105</v>
      </c>
      <c r="K152" s="1">
        <v>122</v>
      </c>
      <c r="L152" s="1" t="s">
        <v>31</v>
      </c>
      <c r="M152" s="1" t="s">
        <v>359</v>
      </c>
      <c r="N152" s="1" t="s">
        <v>359</v>
      </c>
      <c r="O152" s="8" t="s">
        <v>17</v>
      </c>
      <c r="P152" s="15">
        <f>(Table1_147[[#This Row],[Likes]]+Table1_147[[#This Row],[Shares]]+Table1_147[[#This Row],[Comments]])/Table1_147[[#This Row],[Impressions]]</f>
        <v>0.10977802753582468</v>
      </c>
      <c r="Q152" s="1">
        <f>(Table1_147[[#This Row],[Likes]]+Table1_147[[#This Row],[Shares]]+Table1_147[[#This Row],[Comments]])</f>
        <v>3907</v>
      </c>
    </row>
    <row r="153" spans="1:17" x14ac:dyDescent="0.3">
      <c r="A153" s="6" t="s">
        <v>205</v>
      </c>
      <c r="B153" s="1" t="s">
        <v>35</v>
      </c>
      <c r="C153" s="7">
        <v>45769</v>
      </c>
      <c r="D153" s="1" t="s">
        <v>41</v>
      </c>
      <c r="E153" s="1" t="s">
        <v>46</v>
      </c>
      <c r="F153" s="1">
        <v>4804</v>
      </c>
      <c r="G153" s="1">
        <v>550</v>
      </c>
      <c r="H153" s="1">
        <v>270</v>
      </c>
      <c r="I153" s="1">
        <v>28824</v>
      </c>
      <c r="J153" s="1">
        <v>28370</v>
      </c>
      <c r="K153" s="1">
        <v>47</v>
      </c>
      <c r="L153" s="1" t="s">
        <v>31</v>
      </c>
      <c r="M153" s="1" t="s">
        <v>359</v>
      </c>
      <c r="N153" s="1" t="s">
        <v>359</v>
      </c>
      <c r="O153" s="8" t="s">
        <v>32</v>
      </c>
      <c r="P153" s="15">
        <f>(Table1_147[[#This Row],[Likes]]+Table1_147[[#This Row],[Shares]]+Table1_147[[#This Row],[Comments]])/Table1_147[[#This Row],[Impressions]]</f>
        <v>0.19511518179295032</v>
      </c>
      <c r="Q153" s="1">
        <f>(Table1_147[[#This Row],[Likes]]+Table1_147[[#This Row],[Shares]]+Table1_147[[#This Row],[Comments]])</f>
        <v>5624</v>
      </c>
    </row>
    <row r="154" spans="1:17" x14ac:dyDescent="0.3">
      <c r="A154" s="6" t="s">
        <v>206</v>
      </c>
      <c r="B154" s="1" t="s">
        <v>14</v>
      </c>
      <c r="C154" s="7">
        <v>45658</v>
      </c>
      <c r="D154" s="1" t="s">
        <v>56</v>
      </c>
      <c r="E154" s="1" t="s">
        <v>95</v>
      </c>
      <c r="F154" s="1">
        <v>754</v>
      </c>
      <c r="G154" s="1">
        <v>197</v>
      </c>
      <c r="H154" s="1">
        <v>257</v>
      </c>
      <c r="I154" s="1">
        <v>6786</v>
      </c>
      <c r="J154" s="1">
        <v>6221</v>
      </c>
      <c r="K154" s="1">
        <v>212</v>
      </c>
      <c r="L154" s="1" t="s">
        <v>25</v>
      </c>
      <c r="M154" s="1" t="s">
        <v>359</v>
      </c>
      <c r="N154" s="1" t="s">
        <v>359</v>
      </c>
      <c r="O154" s="8" t="s">
        <v>26</v>
      </c>
      <c r="P154" s="15">
        <f>(Table1_147[[#This Row],[Likes]]+Table1_147[[#This Row],[Shares]]+Table1_147[[#This Row],[Comments]])/Table1_147[[#This Row],[Impressions]]</f>
        <v>0.17801355732390214</v>
      </c>
      <c r="Q154" s="1">
        <f>(Table1_147[[#This Row],[Likes]]+Table1_147[[#This Row],[Shares]]+Table1_147[[#This Row],[Comments]])</f>
        <v>1208</v>
      </c>
    </row>
    <row r="155" spans="1:17" x14ac:dyDescent="0.3">
      <c r="A155" s="6" t="s">
        <v>207</v>
      </c>
      <c r="B155" s="1" t="s">
        <v>28</v>
      </c>
      <c r="C155" s="7">
        <v>45574</v>
      </c>
      <c r="D155" s="1" t="s">
        <v>36</v>
      </c>
      <c r="E155" s="1" t="s">
        <v>65</v>
      </c>
      <c r="F155" s="1">
        <v>985</v>
      </c>
      <c r="G155" s="1">
        <v>932</v>
      </c>
      <c r="H155" s="1">
        <v>287</v>
      </c>
      <c r="I155" s="1">
        <v>6895</v>
      </c>
      <c r="J155" s="1">
        <v>6757</v>
      </c>
      <c r="K155" s="1">
        <v>64</v>
      </c>
      <c r="L155" s="1" t="s">
        <v>48</v>
      </c>
      <c r="M155" s="1" t="s">
        <v>359</v>
      </c>
      <c r="N155" s="1" t="s">
        <v>359</v>
      </c>
      <c r="O155" s="8" t="s">
        <v>32</v>
      </c>
      <c r="P155" s="15">
        <f>(Table1_147[[#This Row],[Likes]]+Table1_147[[#This Row],[Shares]]+Table1_147[[#This Row],[Comments]])/Table1_147[[#This Row],[Impressions]]</f>
        <v>0.31965192168237855</v>
      </c>
      <c r="Q155" s="1">
        <f>(Table1_147[[#This Row],[Likes]]+Table1_147[[#This Row],[Shares]]+Table1_147[[#This Row],[Comments]])</f>
        <v>2204</v>
      </c>
    </row>
    <row r="156" spans="1:17" x14ac:dyDescent="0.3">
      <c r="A156" s="6" t="s">
        <v>208</v>
      </c>
      <c r="B156" s="1" t="s">
        <v>23</v>
      </c>
      <c r="C156" s="7">
        <v>45647</v>
      </c>
      <c r="D156" s="1" t="s">
        <v>41</v>
      </c>
      <c r="E156" s="1" t="s">
        <v>42</v>
      </c>
      <c r="F156" s="1">
        <v>2283</v>
      </c>
      <c r="G156" s="1">
        <v>210</v>
      </c>
      <c r="H156" s="1">
        <v>130</v>
      </c>
      <c r="I156" s="1">
        <v>22830</v>
      </c>
      <c r="J156" s="1">
        <v>22617</v>
      </c>
      <c r="K156" s="1">
        <v>143</v>
      </c>
      <c r="L156" s="1" t="s">
        <v>48</v>
      </c>
      <c r="M156" s="1" t="s">
        <v>359</v>
      </c>
      <c r="N156" s="1" t="s">
        <v>359</v>
      </c>
      <c r="O156" s="8" t="s">
        <v>21</v>
      </c>
      <c r="P156" s="15">
        <f>(Table1_147[[#This Row],[Likes]]+Table1_147[[#This Row],[Shares]]+Table1_147[[#This Row],[Comments]])/Table1_147[[#This Row],[Impressions]]</f>
        <v>0.11489268506351293</v>
      </c>
      <c r="Q156" s="1">
        <f>(Table1_147[[#This Row],[Likes]]+Table1_147[[#This Row],[Shares]]+Table1_147[[#This Row],[Comments]])</f>
        <v>2623</v>
      </c>
    </row>
    <row r="157" spans="1:17" x14ac:dyDescent="0.3">
      <c r="A157" s="6" t="s">
        <v>209</v>
      </c>
      <c r="B157" s="1" t="s">
        <v>35</v>
      </c>
      <c r="C157" s="7">
        <v>45587</v>
      </c>
      <c r="D157" s="1" t="s">
        <v>36</v>
      </c>
      <c r="E157" s="1" t="s">
        <v>37</v>
      </c>
      <c r="F157" s="1">
        <v>3352</v>
      </c>
      <c r="G157" s="1">
        <v>941</v>
      </c>
      <c r="H157" s="1">
        <v>482</v>
      </c>
      <c r="I157" s="1">
        <v>43576</v>
      </c>
      <c r="J157" s="1">
        <v>43338</v>
      </c>
      <c r="K157" s="1">
        <v>240</v>
      </c>
      <c r="L157" s="1" t="s">
        <v>48</v>
      </c>
      <c r="M157" s="1" t="s">
        <v>359</v>
      </c>
      <c r="N157" s="1" t="s">
        <v>359</v>
      </c>
      <c r="O157" s="8" t="s">
        <v>21</v>
      </c>
      <c r="P157" s="15">
        <f>(Table1_147[[#This Row],[Likes]]+Table1_147[[#This Row],[Shares]]+Table1_147[[#This Row],[Comments]])/Table1_147[[#This Row],[Impressions]]</f>
        <v>0.1095786671562328</v>
      </c>
      <c r="Q157" s="1">
        <f>(Table1_147[[#This Row],[Likes]]+Table1_147[[#This Row],[Shares]]+Table1_147[[#This Row],[Comments]])</f>
        <v>4775</v>
      </c>
    </row>
    <row r="158" spans="1:17" x14ac:dyDescent="0.3">
      <c r="A158" s="6" t="s">
        <v>210</v>
      </c>
      <c r="B158" s="1" t="s">
        <v>23</v>
      </c>
      <c r="C158" s="7">
        <v>45496</v>
      </c>
      <c r="D158" s="1" t="s">
        <v>29</v>
      </c>
      <c r="E158" s="1" t="s">
        <v>101</v>
      </c>
      <c r="F158" s="1">
        <v>4775</v>
      </c>
      <c r="G158" s="1">
        <v>173</v>
      </c>
      <c r="H158" s="1">
        <v>206</v>
      </c>
      <c r="I158" s="1">
        <v>47750</v>
      </c>
      <c r="J158" s="1">
        <v>47544</v>
      </c>
      <c r="K158" s="1">
        <v>187</v>
      </c>
      <c r="L158" s="1" t="s">
        <v>48</v>
      </c>
      <c r="M158" s="1" t="s">
        <v>359</v>
      </c>
      <c r="N158" s="1" t="s">
        <v>359</v>
      </c>
      <c r="O158" s="8" t="s">
        <v>21</v>
      </c>
      <c r="P158" s="15">
        <f>(Table1_147[[#This Row],[Likes]]+Table1_147[[#This Row],[Shares]]+Table1_147[[#This Row],[Comments]])/Table1_147[[#This Row],[Impressions]]</f>
        <v>0.10793717277486911</v>
      </c>
      <c r="Q158" s="1">
        <f>(Table1_147[[#This Row],[Likes]]+Table1_147[[#This Row],[Shares]]+Table1_147[[#This Row],[Comments]])</f>
        <v>5154</v>
      </c>
    </row>
    <row r="159" spans="1:17" x14ac:dyDescent="0.3">
      <c r="A159" s="6" t="s">
        <v>211</v>
      </c>
      <c r="B159" s="1" t="s">
        <v>28</v>
      </c>
      <c r="C159" s="7">
        <v>45515</v>
      </c>
      <c r="D159" s="1" t="s">
        <v>29</v>
      </c>
      <c r="E159" s="1" t="s">
        <v>30</v>
      </c>
      <c r="F159" s="1">
        <v>1762</v>
      </c>
      <c r="G159" s="1">
        <v>405</v>
      </c>
      <c r="H159" s="1">
        <v>423</v>
      </c>
      <c r="I159" s="1">
        <v>22906</v>
      </c>
      <c r="J159" s="1">
        <v>21925</v>
      </c>
      <c r="K159" s="1">
        <v>25</v>
      </c>
      <c r="L159" s="1" t="s">
        <v>25</v>
      </c>
      <c r="M159" s="1" t="s">
        <v>359</v>
      </c>
      <c r="N159" s="1" t="s">
        <v>359</v>
      </c>
      <c r="O159" s="8" t="s">
        <v>17</v>
      </c>
      <c r="P159" s="15">
        <f>(Table1_147[[#This Row],[Likes]]+Table1_147[[#This Row],[Shares]]+Table1_147[[#This Row],[Comments]])/Table1_147[[#This Row],[Impressions]]</f>
        <v>0.11307081114118571</v>
      </c>
      <c r="Q159" s="1">
        <f>(Table1_147[[#This Row],[Likes]]+Table1_147[[#This Row],[Shares]]+Table1_147[[#This Row],[Comments]])</f>
        <v>2590</v>
      </c>
    </row>
    <row r="160" spans="1:17" x14ac:dyDescent="0.3">
      <c r="A160" s="6" t="s">
        <v>212</v>
      </c>
      <c r="B160" s="1" t="s">
        <v>35</v>
      </c>
      <c r="C160" s="7">
        <v>45621</v>
      </c>
      <c r="D160" s="1" t="s">
        <v>29</v>
      </c>
      <c r="E160" s="1" t="s">
        <v>54</v>
      </c>
      <c r="F160" s="1">
        <v>2120</v>
      </c>
      <c r="G160" s="1">
        <v>158</v>
      </c>
      <c r="H160" s="1">
        <v>488</v>
      </c>
      <c r="I160" s="1">
        <v>12720</v>
      </c>
      <c r="J160" s="1">
        <v>12085</v>
      </c>
      <c r="K160" s="1">
        <v>17</v>
      </c>
      <c r="L160" s="1" t="s">
        <v>48</v>
      </c>
      <c r="M160" s="1" t="s">
        <v>359</v>
      </c>
      <c r="N160" s="1" t="s">
        <v>359</v>
      </c>
      <c r="O160" s="8" t="s">
        <v>21</v>
      </c>
      <c r="P160" s="15">
        <f>(Table1_147[[#This Row],[Likes]]+Table1_147[[#This Row],[Shares]]+Table1_147[[#This Row],[Comments]])/Table1_147[[#This Row],[Impressions]]</f>
        <v>0.21745283018867925</v>
      </c>
      <c r="Q160" s="1">
        <f>(Table1_147[[#This Row],[Likes]]+Table1_147[[#This Row],[Shares]]+Table1_147[[#This Row],[Comments]])</f>
        <v>2766</v>
      </c>
    </row>
    <row r="161" spans="1:17" x14ac:dyDescent="0.3">
      <c r="A161" s="6" t="s">
        <v>213</v>
      </c>
      <c r="B161" s="1" t="s">
        <v>14</v>
      </c>
      <c r="C161" s="7">
        <v>45528</v>
      </c>
      <c r="D161" s="1" t="s">
        <v>56</v>
      </c>
      <c r="E161" s="1" t="s">
        <v>95</v>
      </c>
      <c r="F161" s="1">
        <v>1082</v>
      </c>
      <c r="G161" s="1">
        <v>209</v>
      </c>
      <c r="H161" s="1">
        <v>484</v>
      </c>
      <c r="I161" s="1">
        <v>19476</v>
      </c>
      <c r="J161" s="1">
        <v>18654</v>
      </c>
      <c r="K161" s="1">
        <v>20</v>
      </c>
      <c r="L161" s="1" t="s">
        <v>25</v>
      </c>
      <c r="M161" s="1" t="s">
        <v>359</v>
      </c>
      <c r="N161" s="1" t="s">
        <v>359</v>
      </c>
      <c r="O161" s="8" t="s">
        <v>360</v>
      </c>
      <c r="P161" s="15">
        <f>(Table1_147[[#This Row],[Likes]]+Table1_147[[#This Row],[Shares]]+Table1_147[[#This Row],[Comments]])/Table1_147[[#This Row],[Impressions]]</f>
        <v>9.1137810638734856E-2</v>
      </c>
      <c r="Q161" s="1">
        <f>(Table1_147[[#This Row],[Likes]]+Table1_147[[#This Row],[Shares]]+Table1_147[[#This Row],[Comments]])</f>
        <v>1775</v>
      </c>
    </row>
    <row r="162" spans="1:17" x14ac:dyDescent="0.3">
      <c r="A162" s="6" t="s">
        <v>214</v>
      </c>
      <c r="B162" s="1" t="s">
        <v>14</v>
      </c>
      <c r="C162" s="7">
        <v>45707</v>
      </c>
      <c r="D162" s="1" t="s">
        <v>19</v>
      </c>
      <c r="E162" s="1" t="s">
        <v>20</v>
      </c>
      <c r="F162" s="1">
        <v>4671</v>
      </c>
      <c r="G162" s="1">
        <v>876</v>
      </c>
      <c r="H162" s="1">
        <v>366</v>
      </c>
      <c r="I162" s="1">
        <v>51381</v>
      </c>
      <c r="J162" s="1">
        <v>50565</v>
      </c>
      <c r="K162" s="1">
        <v>245</v>
      </c>
      <c r="L162" s="1" t="s">
        <v>25</v>
      </c>
      <c r="M162" s="1" t="s">
        <v>359</v>
      </c>
      <c r="N162" s="1" t="s">
        <v>359</v>
      </c>
      <c r="O162" s="8" t="s">
        <v>32</v>
      </c>
      <c r="P162" s="15">
        <f>(Table1_147[[#This Row],[Likes]]+Table1_147[[#This Row],[Shares]]+Table1_147[[#This Row],[Comments]])/Table1_147[[#This Row],[Impressions]]</f>
        <v>0.11508145034156594</v>
      </c>
      <c r="Q162" s="1">
        <f>(Table1_147[[#This Row],[Likes]]+Table1_147[[#This Row],[Shares]]+Table1_147[[#This Row],[Comments]])</f>
        <v>5913</v>
      </c>
    </row>
    <row r="163" spans="1:17" x14ac:dyDescent="0.3">
      <c r="A163" s="6" t="s">
        <v>215</v>
      </c>
      <c r="B163" s="1" t="s">
        <v>35</v>
      </c>
      <c r="C163" s="7">
        <v>45748</v>
      </c>
      <c r="D163" s="1" t="s">
        <v>29</v>
      </c>
      <c r="E163" s="1" t="s">
        <v>54</v>
      </c>
      <c r="F163" s="1">
        <v>3430</v>
      </c>
      <c r="G163" s="1">
        <v>566</v>
      </c>
      <c r="H163" s="1">
        <v>164</v>
      </c>
      <c r="I163" s="1">
        <v>48020</v>
      </c>
      <c r="J163" s="1">
        <v>47305</v>
      </c>
      <c r="K163" s="1">
        <v>120</v>
      </c>
      <c r="L163" s="1" t="s">
        <v>48</v>
      </c>
      <c r="M163" s="1" t="s">
        <v>359</v>
      </c>
      <c r="N163" s="1" t="s">
        <v>359</v>
      </c>
      <c r="O163" s="8" t="s">
        <v>360</v>
      </c>
      <c r="P163" s="15">
        <f>(Table1_147[[#This Row],[Likes]]+Table1_147[[#This Row],[Shares]]+Table1_147[[#This Row],[Comments]])/Table1_147[[#This Row],[Impressions]]</f>
        <v>8.6630570595585168E-2</v>
      </c>
      <c r="Q163" s="1">
        <f>(Table1_147[[#This Row],[Likes]]+Table1_147[[#This Row],[Shares]]+Table1_147[[#This Row],[Comments]])</f>
        <v>4160</v>
      </c>
    </row>
    <row r="164" spans="1:17" x14ac:dyDescent="0.3">
      <c r="A164" s="6" t="s">
        <v>216</v>
      </c>
      <c r="B164" s="1" t="s">
        <v>28</v>
      </c>
      <c r="C164" s="7">
        <v>45755</v>
      </c>
      <c r="D164" s="1" t="s">
        <v>41</v>
      </c>
      <c r="E164" s="1" t="s">
        <v>134</v>
      </c>
      <c r="F164" s="1">
        <v>4501</v>
      </c>
      <c r="G164" s="1">
        <v>375</v>
      </c>
      <c r="H164" s="1">
        <v>323</v>
      </c>
      <c r="I164" s="1">
        <v>22505</v>
      </c>
      <c r="J164" s="1">
        <v>21836</v>
      </c>
      <c r="K164" s="1">
        <v>132</v>
      </c>
      <c r="L164" s="1" t="s">
        <v>25</v>
      </c>
      <c r="M164" s="1" t="s">
        <v>359</v>
      </c>
      <c r="N164" s="1" t="s">
        <v>359</v>
      </c>
      <c r="O164" s="8" t="s">
        <v>21</v>
      </c>
      <c r="P164" s="15">
        <f>(Table1_147[[#This Row],[Likes]]+Table1_147[[#This Row],[Shares]]+Table1_147[[#This Row],[Comments]])/Table1_147[[#This Row],[Impressions]]</f>
        <v>0.23101532992668297</v>
      </c>
      <c r="Q164" s="1">
        <f>(Table1_147[[#This Row],[Likes]]+Table1_147[[#This Row],[Shares]]+Table1_147[[#This Row],[Comments]])</f>
        <v>5199</v>
      </c>
    </row>
    <row r="165" spans="1:17" x14ac:dyDescent="0.3">
      <c r="A165" s="6" t="s">
        <v>217</v>
      </c>
      <c r="B165" s="1" t="s">
        <v>23</v>
      </c>
      <c r="C165" s="7">
        <v>45715</v>
      </c>
      <c r="D165" s="1" t="s">
        <v>19</v>
      </c>
      <c r="E165" s="1" t="s">
        <v>73</v>
      </c>
      <c r="F165" s="1">
        <v>4934</v>
      </c>
      <c r="G165" s="1">
        <v>971</v>
      </c>
      <c r="H165" s="1">
        <v>156</v>
      </c>
      <c r="I165" s="1">
        <v>39472</v>
      </c>
      <c r="J165" s="1">
        <v>39025</v>
      </c>
      <c r="K165" s="1">
        <v>169</v>
      </c>
      <c r="L165" s="1" t="s">
        <v>25</v>
      </c>
      <c r="M165" s="1" t="s">
        <v>354</v>
      </c>
      <c r="N165" s="1" t="s">
        <v>359</v>
      </c>
      <c r="O165" s="8" t="s">
        <v>32</v>
      </c>
      <c r="P165" s="15">
        <f>(Table1_147[[#This Row],[Likes]]+Table1_147[[#This Row],[Shares]]+Table1_147[[#This Row],[Comments]])/Table1_147[[#This Row],[Impressions]]</f>
        <v>0.15355188488042157</v>
      </c>
      <c r="Q165" s="1">
        <f>(Table1_147[[#This Row],[Likes]]+Table1_147[[#This Row],[Shares]]+Table1_147[[#This Row],[Comments]])</f>
        <v>6061</v>
      </c>
    </row>
    <row r="166" spans="1:17" x14ac:dyDescent="0.3">
      <c r="A166" s="6" t="s">
        <v>218</v>
      </c>
      <c r="B166" s="1" t="s">
        <v>14</v>
      </c>
      <c r="C166" s="7">
        <v>45637</v>
      </c>
      <c r="D166" s="1" t="s">
        <v>19</v>
      </c>
      <c r="E166" s="1" t="s">
        <v>20</v>
      </c>
      <c r="F166" s="1">
        <v>3239</v>
      </c>
      <c r="G166" s="1">
        <v>43</v>
      </c>
      <c r="H166" s="1">
        <v>211</v>
      </c>
      <c r="I166" s="1">
        <v>22673</v>
      </c>
      <c r="J166" s="1">
        <v>22171</v>
      </c>
      <c r="K166" s="1">
        <v>230</v>
      </c>
      <c r="L166" s="1" t="s">
        <v>25</v>
      </c>
      <c r="M166" s="1" t="s">
        <v>359</v>
      </c>
      <c r="N166" s="1" t="s">
        <v>359</v>
      </c>
      <c r="O166" s="8" t="s">
        <v>21</v>
      </c>
      <c r="P166" s="15">
        <f>(Table1_147[[#This Row],[Likes]]+Table1_147[[#This Row],[Shares]]+Table1_147[[#This Row],[Comments]])/Table1_147[[#This Row],[Impressions]]</f>
        <v>0.15405989502933004</v>
      </c>
      <c r="Q166" s="1">
        <f>(Table1_147[[#This Row],[Likes]]+Table1_147[[#This Row],[Shares]]+Table1_147[[#This Row],[Comments]])</f>
        <v>3493</v>
      </c>
    </row>
    <row r="167" spans="1:17" x14ac:dyDescent="0.3">
      <c r="A167" s="6" t="s">
        <v>219</v>
      </c>
      <c r="B167" s="1" t="s">
        <v>14</v>
      </c>
      <c r="C167" s="7">
        <v>45704</v>
      </c>
      <c r="D167" s="1" t="s">
        <v>15</v>
      </c>
      <c r="E167" s="1" t="s">
        <v>16</v>
      </c>
      <c r="F167" s="1">
        <v>1076</v>
      </c>
      <c r="G167" s="1">
        <v>313</v>
      </c>
      <c r="H167" s="1">
        <v>306</v>
      </c>
      <c r="I167" s="1">
        <v>11836</v>
      </c>
      <c r="J167" s="1">
        <v>11596</v>
      </c>
      <c r="K167" s="1">
        <v>104</v>
      </c>
      <c r="L167" s="1" t="s">
        <v>48</v>
      </c>
      <c r="M167" s="1" t="s">
        <v>359</v>
      </c>
      <c r="N167" s="1" t="s">
        <v>359</v>
      </c>
      <c r="O167" s="8" t="s">
        <v>17</v>
      </c>
      <c r="P167" s="15">
        <f>(Table1_147[[#This Row],[Likes]]+Table1_147[[#This Row],[Shares]]+Table1_147[[#This Row],[Comments]])/Table1_147[[#This Row],[Impressions]]</f>
        <v>0.14320716458262928</v>
      </c>
      <c r="Q167" s="1">
        <f>(Table1_147[[#This Row],[Likes]]+Table1_147[[#This Row],[Shares]]+Table1_147[[#This Row],[Comments]])</f>
        <v>1695</v>
      </c>
    </row>
    <row r="168" spans="1:17" x14ac:dyDescent="0.3">
      <c r="A168" s="6" t="s">
        <v>220</v>
      </c>
      <c r="B168" s="1" t="s">
        <v>28</v>
      </c>
      <c r="C168" s="7">
        <v>45624</v>
      </c>
      <c r="D168" s="1" t="s">
        <v>19</v>
      </c>
      <c r="E168" s="1" t="s">
        <v>78</v>
      </c>
      <c r="F168" s="1">
        <v>4771</v>
      </c>
      <c r="G168" s="1">
        <v>818</v>
      </c>
      <c r="H168" s="1">
        <v>56</v>
      </c>
      <c r="I168" s="1">
        <v>57252</v>
      </c>
      <c r="J168" s="1">
        <v>56378</v>
      </c>
      <c r="K168" s="1">
        <v>150</v>
      </c>
      <c r="L168" s="1" t="s">
        <v>48</v>
      </c>
      <c r="M168" s="1" t="s">
        <v>359</v>
      </c>
      <c r="N168" s="1" t="s">
        <v>359</v>
      </c>
      <c r="O168" s="8" t="s">
        <v>360</v>
      </c>
      <c r="P168" s="15">
        <f>(Table1_147[[#This Row],[Likes]]+Table1_147[[#This Row],[Shares]]+Table1_147[[#This Row],[Comments]])/Table1_147[[#This Row],[Impressions]]</f>
        <v>9.859917557465242E-2</v>
      </c>
      <c r="Q168" s="1">
        <f>(Table1_147[[#This Row],[Likes]]+Table1_147[[#This Row],[Shares]]+Table1_147[[#This Row],[Comments]])</f>
        <v>5645</v>
      </c>
    </row>
    <row r="169" spans="1:17" x14ac:dyDescent="0.3">
      <c r="A169" s="6" t="s">
        <v>221</v>
      </c>
      <c r="B169" s="1" t="s">
        <v>35</v>
      </c>
      <c r="C169" s="7">
        <v>45608</v>
      </c>
      <c r="D169" s="1" t="s">
        <v>19</v>
      </c>
      <c r="E169" s="1" t="s">
        <v>44</v>
      </c>
      <c r="F169" s="1">
        <v>2418</v>
      </c>
      <c r="G169" s="1">
        <v>754</v>
      </c>
      <c r="H169" s="1">
        <v>54</v>
      </c>
      <c r="I169" s="1">
        <v>43524</v>
      </c>
      <c r="J169" s="1">
        <v>42743</v>
      </c>
      <c r="K169" s="1">
        <v>182</v>
      </c>
      <c r="L169" s="1" t="s">
        <v>31</v>
      </c>
      <c r="M169" s="1" t="s">
        <v>359</v>
      </c>
      <c r="N169" s="1" t="s">
        <v>359</v>
      </c>
      <c r="O169" s="8" t="s">
        <v>17</v>
      </c>
      <c r="P169" s="15">
        <f>(Table1_147[[#This Row],[Likes]]+Table1_147[[#This Row],[Shares]]+Table1_147[[#This Row],[Comments]])/Table1_147[[#This Row],[Impressions]]</f>
        <v>7.412002573292896E-2</v>
      </c>
      <c r="Q169" s="1">
        <f>(Table1_147[[#This Row],[Likes]]+Table1_147[[#This Row],[Shares]]+Table1_147[[#This Row],[Comments]])</f>
        <v>3226</v>
      </c>
    </row>
    <row r="170" spans="1:17" x14ac:dyDescent="0.3">
      <c r="A170" s="6" t="s">
        <v>222</v>
      </c>
      <c r="B170" s="1" t="s">
        <v>23</v>
      </c>
      <c r="C170" s="7">
        <v>45629</v>
      </c>
      <c r="D170" s="1" t="s">
        <v>56</v>
      </c>
      <c r="E170" s="1" t="s">
        <v>136</v>
      </c>
      <c r="F170" s="1">
        <v>3809</v>
      </c>
      <c r="G170" s="1">
        <v>273</v>
      </c>
      <c r="H170" s="1">
        <v>200</v>
      </c>
      <c r="I170" s="1">
        <v>34281</v>
      </c>
      <c r="J170" s="1">
        <v>33534</v>
      </c>
      <c r="K170" s="1">
        <v>83</v>
      </c>
      <c r="L170" s="1" t="s">
        <v>31</v>
      </c>
      <c r="M170" s="1" t="s">
        <v>359</v>
      </c>
      <c r="N170" s="1" t="s">
        <v>359</v>
      </c>
      <c r="O170" s="8" t="s">
        <v>17</v>
      </c>
      <c r="P170" s="15">
        <f>(Table1_147[[#This Row],[Likes]]+Table1_147[[#This Row],[Shares]]+Table1_147[[#This Row],[Comments]])/Table1_147[[#This Row],[Impressions]]</f>
        <v>0.12490884163239112</v>
      </c>
      <c r="Q170" s="1">
        <f>(Table1_147[[#This Row],[Likes]]+Table1_147[[#This Row],[Shares]]+Table1_147[[#This Row],[Comments]])</f>
        <v>4282</v>
      </c>
    </row>
    <row r="171" spans="1:17" x14ac:dyDescent="0.3">
      <c r="A171" s="6" t="s">
        <v>223</v>
      </c>
      <c r="B171" s="1" t="s">
        <v>14</v>
      </c>
      <c r="C171" s="7">
        <v>45775</v>
      </c>
      <c r="D171" s="1" t="s">
        <v>19</v>
      </c>
      <c r="E171" s="1" t="s">
        <v>20</v>
      </c>
      <c r="F171" s="1">
        <v>3577</v>
      </c>
      <c r="G171" s="1">
        <v>596</v>
      </c>
      <c r="H171" s="1">
        <v>493</v>
      </c>
      <c r="I171" s="1">
        <v>67963</v>
      </c>
      <c r="J171" s="1">
        <v>67839</v>
      </c>
      <c r="K171" s="1">
        <v>53</v>
      </c>
      <c r="L171" s="1" t="s">
        <v>25</v>
      </c>
      <c r="M171" s="1" t="s">
        <v>359</v>
      </c>
      <c r="N171" s="1" t="s">
        <v>359</v>
      </c>
      <c r="O171" s="8" t="s">
        <v>26</v>
      </c>
      <c r="P171" s="15">
        <f>(Table1_147[[#This Row],[Likes]]+Table1_147[[#This Row],[Shares]]+Table1_147[[#This Row],[Comments]])/Table1_147[[#This Row],[Impressions]]</f>
        <v>6.8655003457763777E-2</v>
      </c>
      <c r="Q171" s="1">
        <f>(Table1_147[[#This Row],[Likes]]+Table1_147[[#This Row],[Shares]]+Table1_147[[#This Row],[Comments]])</f>
        <v>4666</v>
      </c>
    </row>
    <row r="172" spans="1:17" x14ac:dyDescent="0.3">
      <c r="A172" s="6" t="s">
        <v>224</v>
      </c>
      <c r="B172" s="1" t="s">
        <v>23</v>
      </c>
      <c r="C172" s="7">
        <v>45657</v>
      </c>
      <c r="D172" s="1" t="s">
        <v>56</v>
      </c>
      <c r="E172" s="1" t="s">
        <v>136</v>
      </c>
      <c r="F172" s="1">
        <v>1018</v>
      </c>
      <c r="G172" s="1">
        <v>447</v>
      </c>
      <c r="H172" s="1">
        <v>332</v>
      </c>
      <c r="I172" s="1">
        <v>18324</v>
      </c>
      <c r="J172" s="1">
        <v>18164</v>
      </c>
      <c r="K172" s="1">
        <v>38</v>
      </c>
      <c r="L172" s="1" t="s">
        <v>48</v>
      </c>
      <c r="M172" s="1" t="s">
        <v>359</v>
      </c>
      <c r="N172" s="1" t="s">
        <v>359</v>
      </c>
      <c r="O172" s="8" t="s">
        <v>21</v>
      </c>
      <c r="P172" s="15">
        <f>(Table1_147[[#This Row],[Likes]]+Table1_147[[#This Row],[Shares]]+Table1_147[[#This Row],[Comments]])/Table1_147[[#This Row],[Impressions]]</f>
        <v>9.8068107400130972E-2</v>
      </c>
      <c r="Q172" s="1">
        <f>(Table1_147[[#This Row],[Likes]]+Table1_147[[#This Row],[Shares]]+Table1_147[[#This Row],[Comments]])</f>
        <v>1797</v>
      </c>
    </row>
    <row r="173" spans="1:17" x14ac:dyDescent="0.3">
      <c r="A173" s="6" t="s">
        <v>225</v>
      </c>
      <c r="B173" s="1" t="s">
        <v>35</v>
      </c>
      <c r="C173" s="7">
        <v>45518</v>
      </c>
      <c r="D173" s="1" t="s">
        <v>36</v>
      </c>
      <c r="E173" s="1" t="s">
        <v>37</v>
      </c>
      <c r="F173" s="1">
        <v>3073</v>
      </c>
      <c r="G173" s="1">
        <v>553</v>
      </c>
      <c r="H173" s="1">
        <v>174</v>
      </c>
      <c r="I173" s="1">
        <v>52241</v>
      </c>
      <c r="J173" s="1">
        <v>51605</v>
      </c>
      <c r="K173" s="1">
        <v>246</v>
      </c>
      <c r="L173" s="1" t="s">
        <v>31</v>
      </c>
      <c r="M173" s="1" t="s">
        <v>359</v>
      </c>
      <c r="N173" s="1" t="s">
        <v>359</v>
      </c>
      <c r="O173" s="8" t="s">
        <v>26</v>
      </c>
      <c r="P173" s="15">
        <f>(Table1_147[[#This Row],[Likes]]+Table1_147[[#This Row],[Shares]]+Table1_147[[#This Row],[Comments]])/Table1_147[[#This Row],[Impressions]]</f>
        <v>7.2739802071170159E-2</v>
      </c>
      <c r="Q173" s="1">
        <f>(Table1_147[[#This Row],[Likes]]+Table1_147[[#This Row],[Shares]]+Table1_147[[#This Row],[Comments]])</f>
        <v>3800</v>
      </c>
    </row>
    <row r="174" spans="1:17" x14ac:dyDescent="0.3">
      <c r="A174" s="6" t="s">
        <v>226</v>
      </c>
      <c r="B174" s="1" t="s">
        <v>14</v>
      </c>
      <c r="C174" s="7">
        <v>45631</v>
      </c>
      <c r="D174" s="1" t="s">
        <v>56</v>
      </c>
      <c r="E174" s="1" t="s">
        <v>95</v>
      </c>
      <c r="F174" s="1">
        <v>1330</v>
      </c>
      <c r="G174" s="1">
        <v>925</v>
      </c>
      <c r="H174" s="1">
        <v>35</v>
      </c>
      <c r="I174" s="1">
        <v>15960</v>
      </c>
      <c r="J174" s="1">
        <v>15379</v>
      </c>
      <c r="K174" s="1">
        <v>229</v>
      </c>
      <c r="L174" s="1" t="s">
        <v>48</v>
      </c>
      <c r="M174" s="1" t="s">
        <v>359</v>
      </c>
      <c r="N174" s="1" t="s">
        <v>359</v>
      </c>
      <c r="O174" s="8" t="s">
        <v>26</v>
      </c>
      <c r="P174" s="15">
        <f>(Table1_147[[#This Row],[Likes]]+Table1_147[[#This Row],[Shares]]+Table1_147[[#This Row],[Comments]])/Table1_147[[#This Row],[Impressions]]</f>
        <v>0.14348370927318296</v>
      </c>
      <c r="Q174" s="1">
        <f>(Table1_147[[#This Row],[Likes]]+Table1_147[[#This Row],[Shares]]+Table1_147[[#This Row],[Comments]])</f>
        <v>2290</v>
      </c>
    </row>
    <row r="175" spans="1:17" x14ac:dyDescent="0.3">
      <c r="A175" s="6" t="s">
        <v>227</v>
      </c>
      <c r="B175" s="1" t="s">
        <v>35</v>
      </c>
      <c r="C175" s="7">
        <v>45465</v>
      </c>
      <c r="D175" s="1" t="s">
        <v>19</v>
      </c>
      <c r="E175" s="1" t="s">
        <v>44</v>
      </c>
      <c r="F175" s="1">
        <v>3828</v>
      </c>
      <c r="G175" s="1">
        <v>148</v>
      </c>
      <c r="H175" s="1">
        <v>253</v>
      </c>
      <c r="I175" s="1">
        <v>30624</v>
      </c>
      <c r="J175" s="1">
        <v>30229</v>
      </c>
      <c r="K175" s="1">
        <v>235</v>
      </c>
      <c r="L175" s="1" t="s">
        <v>31</v>
      </c>
      <c r="M175" s="1" t="s">
        <v>359</v>
      </c>
      <c r="N175" s="1" t="s">
        <v>359</v>
      </c>
      <c r="O175" s="8" t="s">
        <v>360</v>
      </c>
      <c r="P175" s="15">
        <f>(Table1_147[[#This Row],[Likes]]+Table1_147[[#This Row],[Shares]]+Table1_147[[#This Row],[Comments]])/Table1_147[[#This Row],[Impressions]]</f>
        <v>0.13809430512016718</v>
      </c>
      <c r="Q175" s="1">
        <f>(Table1_147[[#This Row],[Likes]]+Table1_147[[#This Row],[Shares]]+Table1_147[[#This Row],[Comments]])</f>
        <v>4229</v>
      </c>
    </row>
    <row r="176" spans="1:17" x14ac:dyDescent="0.3">
      <c r="A176" s="6" t="s">
        <v>228</v>
      </c>
      <c r="B176" s="1" t="s">
        <v>28</v>
      </c>
      <c r="C176" s="7">
        <v>45674</v>
      </c>
      <c r="D176" s="1" t="s">
        <v>15</v>
      </c>
      <c r="E176" s="1" t="s">
        <v>61</v>
      </c>
      <c r="F176" s="1">
        <v>142</v>
      </c>
      <c r="G176" s="1">
        <v>784</v>
      </c>
      <c r="H176" s="1">
        <v>183</v>
      </c>
      <c r="I176" s="1">
        <v>1704</v>
      </c>
      <c r="J176" s="1">
        <v>995</v>
      </c>
      <c r="K176" s="1">
        <v>154</v>
      </c>
      <c r="L176" s="1" t="s">
        <v>48</v>
      </c>
      <c r="M176" s="1" t="s">
        <v>359</v>
      </c>
      <c r="N176" s="1" t="s">
        <v>359</v>
      </c>
      <c r="O176" s="8" t="s">
        <v>32</v>
      </c>
      <c r="P176" s="15">
        <f>(Table1_147[[#This Row],[Likes]]+Table1_147[[#This Row],[Shares]]+Table1_147[[#This Row],[Comments]])/Table1_147[[#This Row],[Impressions]]</f>
        <v>0.6508215962441315</v>
      </c>
      <c r="Q176" s="1">
        <f>(Table1_147[[#This Row],[Likes]]+Table1_147[[#This Row],[Shares]]+Table1_147[[#This Row],[Comments]])</f>
        <v>1109</v>
      </c>
    </row>
    <row r="177" spans="1:17" x14ac:dyDescent="0.3">
      <c r="A177" s="6" t="s">
        <v>229</v>
      </c>
      <c r="B177" s="1" t="s">
        <v>35</v>
      </c>
      <c r="C177" s="7">
        <v>45463</v>
      </c>
      <c r="D177" s="1" t="s">
        <v>56</v>
      </c>
      <c r="E177" s="1" t="s">
        <v>57</v>
      </c>
      <c r="F177" s="1">
        <v>3798</v>
      </c>
      <c r="G177" s="1">
        <v>31</v>
      </c>
      <c r="H177" s="1">
        <v>279</v>
      </c>
      <c r="I177" s="1">
        <v>75960</v>
      </c>
      <c r="J177" s="1">
        <v>75813</v>
      </c>
      <c r="K177" s="1">
        <v>266</v>
      </c>
      <c r="L177" s="1" t="s">
        <v>25</v>
      </c>
      <c r="M177" s="1" t="s">
        <v>359</v>
      </c>
      <c r="N177" s="1" t="s">
        <v>359</v>
      </c>
      <c r="O177" s="8" t="s">
        <v>17</v>
      </c>
      <c r="P177" s="15">
        <f>(Table1_147[[#This Row],[Likes]]+Table1_147[[#This Row],[Shares]]+Table1_147[[#This Row],[Comments]])/Table1_147[[#This Row],[Impressions]]</f>
        <v>5.4081095313322801E-2</v>
      </c>
      <c r="Q177" s="1">
        <f>(Table1_147[[#This Row],[Likes]]+Table1_147[[#This Row],[Shares]]+Table1_147[[#This Row],[Comments]])</f>
        <v>4108</v>
      </c>
    </row>
    <row r="178" spans="1:17" x14ac:dyDescent="0.3">
      <c r="A178" s="6" t="s">
        <v>230</v>
      </c>
      <c r="B178" s="1" t="s">
        <v>28</v>
      </c>
      <c r="C178" s="7">
        <v>45483</v>
      </c>
      <c r="D178" s="1" t="s">
        <v>36</v>
      </c>
      <c r="E178" s="1" t="s">
        <v>65</v>
      </c>
      <c r="F178" s="1">
        <v>3099</v>
      </c>
      <c r="G178" s="1">
        <v>694</v>
      </c>
      <c r="H178" s="1">
        <v>171</v>
      </c>
      <c r="I178" s="1">
        <v>43386</v>
      </c>
      <c r="J178" s="1">
        <v>42921</v>
      </c>
      <c r="K178" s="1">
        <v>52</v>
      </c>
      <c r="L178" s="1" t="s">
        <v>25</v>
      </c>
      <c r="M178" s="1" t="s">
        <v>359</v>
      </c>
      <c r="N178" s="1" t="s">
        <v>359</v>
      </c>
      <c r="O178" s="8" t="s">
        <v>26</v>
      </c>
      <c r="P178" s="15">
        <f>(Table1_147[[#This Row],[Likes]]+Table1_147[[#This Row],[Shares]]+Table1_147[[#This Row],[Comments]])/Table1_147[[#This Row],[Impressions]]</f>
        <v>9.1365878393951966E-2</v>
      </c>
      <c r="Q178" s="1">
        <f>(Table1_147[[#This Row],[Likes]]+Table1_147[[#This Row],[Shares]]+Table1_147[[#This Row],[Comments]])</f>
        <v>3964</v>
      </c>
    </row>
    <row r="179" spans="1:17" x14ac:dyDescent="0.3">
      <c r="A179" s="6" t="s">
        <v>231</v>
      </c>
      <c r="B179" s="1" t="s">
        <v>28</v>
      </c>
      <c r="C179" s="7">
        <v>45603</v>
      </c>
      <c r="D179" s="1" t="s">
        <v>56</v>
      </c>
      <c r="E179" s="1" t="s">
        <v>63</v>
      </c>
      <c r="F179" s="1">
        <v>129</v>
      </c>
      <c r="G179" s="1">
        <v>643</v>
      </c>
      <c r="H179" s="1">
        <v>136</v>
      </c>
      <c r="I179" s="1">
        <v>1290</v>
      </c>
      <c r="J179" s="1">
        <v>839</v>
      </c>
      <c r="K179" s="1">
        <v>238</v>
      </c>
      <c r="L179" s="1" t="s">
        <v>25</v>
      </c>
      <c r="M179" s="1" t="s">
        <v>359</v>
      </c>
      <c r="N179" s="1" t="s">
        <v>359</v>
      </c>
      <c r="O179" s="8" t="s">
        <v>32</v>
      </c>
      <c r="P179" s="15">
        <f>(Table1_147[[#This Row],[Likes]]+Table1_147[[#This Row],[Shares]]+Table1_147[[#This Row],[Comments]])/Table1_147[[#This Row],[Impressions]]</f>
        <v>0.70387596899224802</v>
      </c>
      <c r="Q179" s="1">
        <f>(Table1_147[[#This Row],[Likes]]+Table1_147[[#This Row],[Shares]]+Table1_147[[#This Row],[Comments]])</f>
        <v>908</v>
      </c>
    </row>
    <row r="180" spans="1:17" x14ac:dyDescent="0.3">
      <c r="A180" s="6" t="s">
        <v>232</v>
      </c>
      <c r="B180" s="1" t="s">
        <v>35</v>
      </c>
      <c r="C180" s="7">
        <v>45488</v>
      </c>
      <c r="D180" s="1" t="s">
        <v>36</v>
      </c>
      <c r="E180" s="1" t="s">
        <v>37</v>
      </c>
      <c r="F180" s="1">
        <v>3796</v>
      </c>
      <c r="G180" s="1">
        <v>667</v>
      </c>
      <c r="H180" s="1">
        <v>395</v>
      </c>
      <c r="I180" s="1">
        <v>64532</v>
      </c>
      <c r="J180" s="1">
        <v>63550</v>
      </c>
      <c r="K180" s="1">
        <v>292</v>
      </c>
      <c r="L180" s="1" t="s">
        <v>25</v>
      </c>
      <c r="M180" s="1" t="s">
        <v>359</v>
      </c>
      <c r="N180" s="1" t="s">
        <v>359</v>
      </c>
      <c r="O180" s="8" t="s">
        <v>360</v>
      </c>
      <c r="P180" s="15">
        <f>(Table1_147[[#This Row],[Likes]]+Table1_147[[#This Row],[Shares]]+Table1_147[[#This Row],[Comments]])/Table1_147[[#This Row],[Impressions]]</f>
        <v>7.5280481001673588E-2</v>
      </c>
      <c r="Q180" s="1">
        <f>(Table1_147[[#This Row],[Likes]]+Table1_147[[#This Row],[Shares]]+Table1_147[[#This Row],[Comments]])</f>
        <v>4858</v>
      </c>
    </row>
    <row r="181" spans="1:17" x14ac:dyDescent="0.3">
      <c r="A181" s="6" t="s">
        <v>233</v>
      </c>
      <c r="B181" s="1" t="s">
        <v>23</v>
      </c>
      <c r="C181" s="7">
        <v>45629</v>
      </c>
      <c r="D181" s="1" t="s">
        <v>19</v>
      </c>
      <c r="E181" s="1" t="s">
        <v>73</v>
      </c>
      <c r="F181" s="1">
        <v>3711</v>
      </c>
      <c r="G181" s="1">
        <v>352</v>
      </c>
      <c r="H181" s="1">
        <v>290</v>
      </c>
      <c r="I181" s="1">
        <v>48243</v>
      </c>
      <c r="J181" s="1">
        <v>47579</v>
      </c>
      <c r="K181" s="1">
        <v>11</v>
      </c>
      <c r="L181" s="1" t="s">
        <v>25</v>
      </c>
      <c r="M181" s="1" t="s">
        <v>359</v>
      </c>
      <c r="N181" s="1" t="s">
        <v>359</v>
      </c>
      <c r="O181" s="8" t="s">
        <v>17</v>
      </c>
      <c r="P181" s="15">
        <f>(Table1_147[[#This Row],[Likes]]+Table1_147[[#This Row],[Shares]]+Table1_147[[#This Row],[Comments]])/Table1_147[[#This Row],[Impressions]]</f>
        <v>9.023070704558174E-2</v>
      </c>
      <c r="Q181" s="1">
        <f>(Table1_147[[#This Row],[Likes]]+Table1_147[[#This Row],[Shares]]+Table1_147[[#This Row],[Comments]])</f>
        <v>4353</v>
      </c>
    </row>
    <row r="182" spans="1:17" x14ac:dyDescent="0.3">
      <c r="A182" s="6" t="s">
        <v>234</v>
      </c>
      <c r="B182" s="1" t="s">
        <v>23</v>
      </c>
      <c r="C182" s="7">
        <v>45737</v>
      </c>
      <c r="D182" s="1" t="s">
        <v>41</v>
      </c>
      <c r="E182" s="1" t="s">
        <v>42</v>
      </c>
      <c r="F182" s="1">
        <v>606</v>
      </c>
      <c r="G182" s="1">
        <v>789</v>
      </c>
      <c r="H182" s="1">
        <v>470</v>
      </c>
      <c r="I182" s="1">
        <v>7878</v>
      </c>
      <c r="J182" s="1">
        <v>7389</v>
      </c>
      <c r="K182" s="1">
        <v>239</v>
      </c>
      <c r="L182" s="1" t="s">
        <v>31</v>
      </c>
      <c r="M182" s="1" t="s">
        <v>359</v>
      </c>
      <c r="N182" s="1" t="s">
        <v>359</v>
      </c>
      <c r="O182" s="8" t="s">
        <v>26</v>
      </c>
      <c r="P182" s="15">
        <f>(Table1_147[[#This Row],[Likes]]+Table1_147[[#This Row],[Shares]]+Table1_147[[#This Row],[Comments]])/Table1_147[[#This Row],[Impressions]]</f>
        <v>0.23673521198273673</v>
      </c>
      <c r="Q182" s="1">
        <f>(Table1_147[[#This Row],[Likes]]+Table1_147[[#This Row],[Shares]]+Table1_147[[#This Row],[Comments]])</f>
        <v>1865</v>
      </c>
    </row>
    <row r="183" spans="1:17" x14ac:dyDescent="0.3">
      <c r="A183" s="6" t="s">
        <v>235</v>
      </c>
      <c r="B183" s="1" t="s">
        <v>35</v>
      </c>
      <c r="C183" s="7">
        <v>45504</v>
      </c>
      <c r="D183" s="1" t="s">
        <v>41</v>
      </c>
      <c r="E183" s="1" t="s">
        <v>46</v>
      </c>
      <c r="F183" s="1">
        <v>4689</v>
      </c>
      <c r="G183" s="1">
        <v>134</v>
      </c>
      <c r="H183" s="1">
        <v>403</v>
      </c>
      <c r="I183" s="1">
        <v>51579</v>
      </c>
      <c r="J183" s="1">
        <v>50924</v>
      </c>
      <c r="K183" s="1">
        <v>173</v>
      </c>
      <c r="L183" s="1" t="s">
        <v>25</v>
      </c>
      <c r="M183" s="1" t="s">
        <v>359</v>
      </c>
      <c r="N183" s="1" t="s">
        <v>359</v>
      </c>
      <c r="O183" s="8" t="s">
        <v>32</v>
      </c>
      <c r="P183" s="15">
        <f>(Table1_147[[#This Row],[Likes]]+Table1_147[[#This Row],[Shares]]+Table1_147[[#This Row],[Comments]])/Table1_147[[#This Row],[Impressions]]</f>
        <v>0.10132030477519921</v>
      </c>
      <c r="Q183" s="1">
        <f>(Table1_147[[#This Row],[Likes]]+Table1_147[[#This Row],[Shares]]+Table1_147[[#This Row],[Comments]])</f>
        <v>5226</v>
      </c>
    </row>
    <row r="184" spans="1:17" x14ac:dyDescent="0.3">
      <c r="A184" s="6" t="s">
        <v>236</v>
      </c>
      <c r="B184" s="1" t="s">
        <v>28</v>
      </c>
      <c r="C184" s="7">
        <v>45643</v>
      </c>
      <c r="D184" s="1" t="s">
        <v>29</v>
      </c>
      <c r="E184" s="1" t="s">
        <v>30</v>
      </c>
      <c r="F184" s="1">
        <v>360</v>
      </c>
      <c r="G184" s="1">
        <v>590</v>
      </c>
      <c r="H184" s="1">
        <v>393</v>
      </c>
      <c r="I184" s="1">
        <v>4680</v>
      </c>
      <c r="J184" s="1">
        <v>4322</v>
      </c>
      <c r="K184" s="1">
        <v>208</v>
      </c>
      <c r="L184" s="1" t="s">
        <v>48</v>
      </c>
      <c r="M184" s="1" t="s">
        <v>359</v>
      </c>
      <c r="N184" s="1" t="s">
        <v>359</v>
      </c>
      <c r="O184" s="8" t="s">
        <v>21</v>
      </c>
      <c r="P184" s="15">
        <f>(Table1_147[[#This Row],[Likes]]+Table1_147[[#This Row],[Shares]]+Table1_147[[#This Row],[Comments]])/Table1_147[[#This Row],[Impressions]]</f>
        <v>0.28696581196581195</v>
      </c>
      <c r="Q184" s="1">
        <f>(Table1_147[[#This Row],[Likes]]+Table1_147[[#This Row],[Shares]]+Table1_147[[#This Row],[Comments]])</f>
        <v>1343</v>
      </c>
    </row>
    <row r="185" spans="1:17" x14ac:dyDescent="0.3">
      <c r="A185" s="6" t="s">
        <v>237</v>
      </c>
      <c r="B185" s="1" t="s">
        <v>14</v>
      </c>
      <c r="C185" s="7">
        <v>45501</v>
      </c>
      <c r="D185" s="1" t="s">
        <v>41</v>
      </c>
      <c r="E185" s="1" t="s">
        <v>88</v>
      </c>
      <c r="F185" s="1">
        <v>3215</v>
      </c>
      <c r="G185" s="1">
        <v>960</v>
      </c>
      <c r="H185" s="1">
        <v>202</v>
      </c>
      <c r="I185" s="1">
        <v>32150</v>
      </c>
      <c r="J185" s="1">
        <v>31404</v>
      </c>
      <c r="K185" s="1">
        <v>251</v>
      </c>
      <c r="L185" s="1" t="s">
        <v>31</v>
      </c>
      <c r="M185" s="1" t="s">
        <v>359</v>
      </c>
      <c r="N185" s="1" t="s">
        <v>359</v>
      </c>
      <c r="O185" s="8" t="s">
        <v>17</v>
      </c>
      <c r="P185" s="15">
        <f>(Table1_147[[#This Row],[Likes]]+Table1_147[[#This Row],[Shares]]+Table1_147[[#This Row],[Comments]])/Table1_147[[#This Row],[Impressions]]</f>
        <v>0.13614307931570763</v>
      </c>
      <c r="Q185" s="1">
        <f>(Table1_147[[#This Row],[Likes]]+Table1_147[[#This Row],[Shares]]+Table1_147[[#This Row],[Comments]])</f>
        <v>4377</v>
      </c>
    </row>
    <row r="186" spans="1:17" x14ac:dyDescent="0.3">
      <c r="A186" s="6" t="s">
        <v>238</v>
      </c>
      <c r="B186" s="1" t="s">
        <v>28</v>
      </c>
      <c r="C186" s="7">
        <v>45668</v>
      </c>
      <c r="D186" s="1" t="s">
        <v>36</v>
      </c>
      <c r="E186" s="1" t="s">
        <v>65</v>
      </c>
      <c r="F186" s="1">
        <v>4523</v>
      </c>
      <c r="G186" s="1">
        <v>61</v>
      </c>
      <c r="H186" s="1">
        <v>157</v>
      </c>
      <c r="I186" s="1">
        <v>49753</v>
      </c>
      <c r="J186" s="1">
        <v>49329</v>
      </c>
      <c r="K186" s="1">
        <v>71</v>
      </c>
      <c r="L186" s="1" t="s">
        <v>31</v>
      </c>
      <c r="M186" s="1" t="s">
        <v>359</v>
      </c>
      <c r="N186" s="1" t="s">
        <v>359</v>
      </c>
      <c r="O186" s="8" t="s">
        <v>360</v>
      </c>
      <c r="P186" s="15">
        <f>(Table1_147[[#This Row],[Likes]]+Table1_147[[#This Row],[Shares]]+Table1_147[[#This Row],[Comments]])/Table1_147[[#This Row],[Impressions]]</f>
        <v>9.5290736237010829E-2</v>
      </c>
      <c r="Q186" s="1">
        <f>(Table1_147[[#This Row],[Likes]]+Table1_147[[#This Row],[Shares]]+Table1_147[[#This Row],[Comments]])</f>
        <v>4741</v>
      </c>
    </row>
    <row r="187" spans="1:17" x14ac:dyDescent="0.3">
      <c r="A187" s="6" t="s">
        <v>239</v>
      </c>
      <c r="B187" s="1" t="s">
        <v>35</v>
      </c>
      <c r="C187" s="7">
        <v>45528</v>
      </c>
      <c r="D187" s="1" t="s">
        <v>36</v>
      </c>
      <c r="E187" s="1" t="s">
        <v>37</v>
      </c>
      <c r="F187" s="1">
        <v>4292</v>
      </c>
      <c r="G187" s="1">
        <v>51</v>
      </c>
      <c r="H187" s="1">
        <v>392</v>
      </c>
      <c r="I187" s="1">
        <v>55796</v>
      </c>
      <c r="J187" s="1">
        <v>54826</v>
      </c>
      <c r="K187" s="1">
        <v>264</v>
      </c>
      <c r="L187" s="1" t="s">
        <v>31</v>
      </c>
      <c r="M187" s="1" t="s">
        <v>359</v>
      </c>
      <c r="N187" s="1" t="s">
        <v>359</v>
      </c>
      <c r="O187" s="8" t="s">
        <v>26</v>
      </c>
      <c r="P187" s="15">
        <f>(Table1_147[[#This Row],[Likes]]+Table1_147[[#This Row],[Shares]]+Table1_147[[#This Row],[Comments]])/Table1_147[[#This Row],[Impressions]]</f>
        <v>8.4862714173059003E-2</v>
      </c>
      <c r="Q187" s="1">
        <f>(Table1_147[[#This Row],[Likes]]+Table1_147[[#This Row],[Shares]]+Table1_147[[#This Row],[Comments]])</f>
        <v>4735</v>
      </c>
    </row>
    <row r="188" spans="1:17" x14ac:dyDescent="0.3">
      <c r="A188" s="6" t="s">
        <v>240</v>
      </c>
      <c r="B188" s="1" t="s">
        <v>14</v>
      </c>
      <c r="C188" s="7">
        <v>45648</v>
      </c>
      <c r="D188" s="1" t="s">
        <v>15</v>
      </c>
      <c r="E188" s="1" t="s">
        <v>16</v>
      </c>
      <c r="F188" s="1">
        <v>1644</v>
      </c>
      <c r="G188" s="1">
        <v>546</v>
      </c>
      <c r="H188" s="1">
        <v>150</v>
      </c>
      <c r="I188" s="1">
        <v>27948</v>
      </c>
      <c r="J188" s="1">
        <v>27184</v>
      </c>
      <c r="K188" s="1">
        <v>300</v>
      </c>
      <c r="L188" s="1" t="s">
        <v>31</v>
      </c>
      <c r="M188" s="1" t="s">
        <v>359</v>
      </c>
      <c r="N188" s="1" t="s">
        <v>359</v>
      </c>
      <c r="O188" s="8" t="s">
        <v>26</v>
      </c>
      <c r="P188" s="15">
        <f>(Table1_147[[#This Row],[Likes]]+Table1_147[[#This Row],[Shares]]+Table1_147[[#This Row],[Comments]])/Table1_147[[#This Row],[Impressions]]</f>
        <v>8.3726921425504502E-2</v>
      </c>
      <c r="Q188" s="1">
        <f>(Table1_147[[#This Row],[Likes]]+Table1_147[[#This Row],[Shares]]+Table1_147[[#This Row],[Comments]])</f>
        <v>2340</v>
      </c>
    </row>
    <row r="189" spans="1:17" x14ac:dyDescent="0.3">
      <c r="A189" s="6" t="s">
        <v>241</v>
      </c>
      <c r="B189" s="1" t="s">
        <v>23</v>
      </c>
      <c r="C189" s="7">
        <v>45449</v>
      </c>
      <c r="D189" s="1" t="s">
        <v>15</v>
      </c>
      <c r="E189" s="1" t="s">
        <v>24</v>
      </c>
      <c r="F189" s="1">
        <v>2728</v>
      </c>
      <c r="G189" s="1">
        <v>533</v>
      </c>
      <c r="H189" s="1">
        <v>215</v>
      </c>
      <c r="I189" s="1">
        <v>40920</v>
      </c>
      <c r="J189" s="1">
        <v>40816</v>
      </c>
      <c r="K189" s="1">
        <v>137</v>
      </c>
      <c r="L189" s="1" t="s">
        <v>48</v>
      </c>
      <c r="M189" s="1" t="s">
        <v>359</v>
      </c>
      <c r="N189" s="1" t="s">
        <v>359</v>
      </c>
      <c r="O189" s="8" t="s">
        <v>21</v>
      </c>
      <c r="P189" s="15">
        <f>(Table1_147[[#This Row],[Likes]]+Table1_147[[#This Row],[Shares]]+Table1_147[[#This Row],[Comments]])/Table1_147[[#This Row],[Impressions]]</f>
        <v>8.4946236559139784E-2</v>
      </c>
      <c r="Q189" s="1">
        <f>(Table1_147[[#This Row],[Likes]]+Table1_147[[#This Row],[Shares]]+Table1_147[[#This Row],[Comments]])</f>
        <v>3476</v>
      </c>
    </row>
    <row r="190" spans="1:17" x14ac:dyDescent="0.3">
      <c r="A190" s="6" t="s">
        <v>242</v>
      </c>
      <c r="B190" s="1" t="s">
        <v>35</v>
      </c>
      <c r="C190" s="7">
        <v>45740</v>
      </c>
      <c r="D190" s="1" t="s">
        <v>15</v>
      </c>
      <c r="E190" s="1" t="s">
        <v>50</v>
      </c>
      <c r="F190" s="1">
        <v>3360</v>
      </c>
      <c r="G190" s="1">
        <v>525</v>
      </c>
      <c r="H190" s="1">
        <v>500</v>
      </c>
      <c r="I190" s="1">
        <v>60480</v>
      </c>
      <c r="J190" s="1">
        <v>59610</v>
      </c>
      <c r="K190" s="1">
        <v>192</v>
      </c>
      <c r="L190" s="1" t="s">
        <v>25</v>
      </c>
      <c r="M190" s="1" t="s">
        <v>359</v>
      </c>
      <c r="N190" s="1" t="s">
        <v>359</v>
      </c>
      <c r="O190" s="8" t="s">
        <v>17</v>
      </c>
      <c r="P190" s="15">
        <f>(Table1_147[[#This Row],[Likes]]+Table1_147[[#This Row],[Shares]]+Table1_147[[#This Row],[Comments]])/Table1_147[[#This Row],[Impressions]]</f>
        <v>7.2503306878306875E-2</v>
      </c>
      <c r="Q190" s="1">
        <f>(Table1_147[[#This Row],[Likes]]+Table1_147[[#This Row],[Shares]]+Table1_147[[#This Row],[Comments]])</f>
        <v>4385</v>
      </c>
    </row>
    <row r="191" spans="1:17" x14ac:dyDescent="0.3">
      <c r="A191" s="6" t="s">
        <v>243</v>
      </c>
      <c r="B191" s="1" t="s">
        <v>23</v>
      </c>
      <c r="C191" s="7">
        <v>45569</v>
      </c>
      <c r="D191" s="1" t="s">
        <v>19</v>
      </c>
      <c r="E191" s="1" t="s">
        <v>73</v>
      </c>
      <c r="F191" s="1">
        <v>1963</v>
      </c>
      <c r="G191" s="1">
        <v>213</v>
      </c>
      <c r="H191" s="1">
        <v>19</v>
      </c>
      <c r="I191" s="1">
        <v>39260</v>
      </c>
      <c r="J191" s="1">
        <v>38771</v>
      </c>
      <c r="K191" s="1">
        <v>145</v>
      </c>
      <c r="L191" s="1" t="s">
        <v>48</v>
      </c>
      <c r="M191" s="1" t="s">
        <v>359</v>
      </c>
      <c r="N191" s="1" t="s">
        <v>359</v>
      </c>
      <c r="O191" s="8" t="s">
        <v>360</v>
      </c>
      <c r="P191" s="15">
        <f>(Table1_147[[#This Row],[Likes]]+Table1_147[[#This Row],[Shares]]+Table1_147[[#This Row],[Comments]])/Table1_147[[#This Row],[Impressions]]</f>
        <v>5.5909322465613857E-2</v>
      </c>
      <c r="Q191" s="1">
        <f>(Table1_147[[#This Row],[Likes]]+Table1_147[[#This Row],[Shares]]+Table1_147[[#This Row],[Comments]])</f>
        <v>2195</v>
      </c>
    </row>
    <row r="192" spans="1:17" x14ac:dyDescent="0.3">
      <c r="A192" s="6" t="s">
        <v>244</v>
      </c>
      <c r="B192" s="1" t="s">
        <v>23</v>
      </c>
      <c r="C192" s="7">
        <v>45629</v>
      </c>
      <c r="D192" s="1" t="s">
        <v>29</v>
      </c>
      <c r="E192" s="1" t="s">
        <v>101</v>
      </c>
      <c r="F192" s="1">
        <v>4285</v>
      </c>
      <c r="G192" s="1">
        <v>886</v>
      </c>
      <c r="H192" s="1">
        <v>376</v>
      </c>
      <c r="I192" s="1">
        <v>55705</v>
      </c>
      <c r="J192" s="1">
        <v>55556</v>
      </c>
      <c r="K192" s="1">
        <v>51</v>
      </c>
      <c r="L192" s="1" t="s">
        <v>48</v>
      </c>
      <c r="M192" s="1" t="s">
        <v>359</v>
      </c>
      <c r="N192" s="1" t="s">
        <v>359</v>
      </c>
      <c r="O192" s="8" t="s">
        <v>26</v>
      </c>
      <c r="P192" s="15">
        <f>(Table1_147[[#This Row],[Likes]]+Table1_147[[#This Row],[Shares]]+Table1_147[[#This Row],[Comments]])/Table1_147[[#This Row],[Impressions]]</f>
        <v>9.9578134817341346E-2</v>
      </c>
      <c r="Q192" s="1">
        <f>(Table1_147[[#This Row],[Likes]]+Table1_147[[#This Row],[Shares]]+Table1_147[[#This Row],[Comments]])</f>
        <v>5547</v>
      </c>
    </row>
    <row r="193" spans="1:17" x14ac:dyDescent="0.3">
      <c r="A193" s="6" t="s">
        <v>245</v>
      </c>
      <c r="B193" s="1" t="s">
        <v>28</v>
      </c>
      <c r="C193" s="7">
        <v>45625</v>
      </c>
      <c r="D193" s="1" t="s">
        <v>56</v>
      </c>
      <c r="E193" s="1" t="s">
        <v>63</v>
      </c>
      <c r="F193" s="1">
        <v>1176</v>
      </c>
      <c r="G193" s="1">
        <v>464</v>
      </c>
      <c r="H193" s="1">
        <v>394</v>
      </c>
      <c r="I193" s="1">
        <v>14112</v>
      </c>
      <c r="J193" s="1">
        <v>13588</v>
      </c>
      <c r="K193" s="1">
        <v>272</v>
      </c>
      <c r="L193" s="1" t="s">
        <v>31</v>
      </c>
      <c r="M193" s="1" t="s">
        <v>359</v>
      </c>
      <c r="N193" s="1" t="s">
        <v>359</v>
      </c>
      <c r="O193" s="8" t="s">
        <v>360</v>
      </c>
      <c r="P193" s="15">
        <f>(Table1_147[[#This Row],[Likes]]+Table1_147[[#This Row],[Shares]]+Table1_147[[#This Row],[Comments]])/Table1_147[[#This Row],[Impressions]]</f>
        <v>0.1441326530612245</v>
      </c>
      <c r="Q193" s="1">
        <f>(Table1_147[[#This Row],[Likes]]+Table1_147[[#This Row],[Shares]]+Table1_147[[#This Row],[Comments]])</f>
        <v>2034</v>
      </c>
    </row>
    <row r="194" spans="1:17" x14ac:dyDescent="0.3">
      <c r="A194" s="6" t="s">
        <v>246</v>
      </c>
      <c r="B194" s="1" t="s">
        <v>14</v>
      </c>
      <c r="C194" s="7">
        <v>45546</v>
      </c>
      <c r="D194" s="1" t="s">
        <v>41</v>
      </c>
      <c r="E194" s="1" t="s">
        <v>88</v>
      </c>
      <c r="F194" s="1">
        <v>4858</v>
      </c>
      <c r="G194" s="1">
        <v>317</v>
      </c>
      <c r="H194" s="1">
        <v>129</v>
      </c>
      <c r="I194" s="1">
        <v>53438</v>
      </c>
      <c r="J194" s="1">
        <v>52687</v>
      </c>
      <c r="K194" s="1">
        <v>223</v>
      </c>
      <c r="L194" s="1" t="s">
        <v>31</v>
      </c>
      <c r="M194" s="1" t="s">
        <v>359</v>
      </c>
      <c r="N194" s="1" t="s">
        <v>359</v>
      </c>
      <c r="O194" s="8" t="s">
        <v>26</v>
      </c>
      <c r="P194" s="15">
        <f>(Table1_147[[#This Row],[Likes]]+Table1_147[[#This Row],[Shares]]+Table1_147[[#This Row],[Comments]])/Table1_147[[#This Row],[Impressions]]</f>
        <v>9.9255211647142488E-2</v>
      </c>
      <c r="Q194" s="1">
        <f>(Table1_147[[#This Row],[Likes]]+Table1_147[[#This Row],[Shares]]+Table1_147[[#This Row],[Comments]])</f>
        <v>5304</v>
      </c>
    </row>
    <row r="195" spans="1:17" x14ac:dyDescent="0.3">
      <c r="A195" s="6" t="s">
        <v>247</v>
      </c>
      <c r="B195" s="1" t="s">
        <v>23</v>
      </c>
      <c r="C195" s="7">
        <v>45567</v>
      </c>
      <c r="D195" s="1" t="s">
        <v>29</v>
      </c>
      <c r="E195" s="1" t="s">
        <v>101</v>
      </c>
      <c r="F195" s="1">
        <v>4350</v>
      </c>
      <c r="G195" s="1">
        <v>771</v>
      </c>
      <c r="H195" s="1">
        <v>7</v>
      </c>
      <c r="I195" s="1">
        <v>60900</v>
      </c>
      <c r="J195" s="1">
        <v>60592</v>
      </c>
      <c r="K195" s="1">
        <v>195</v>
      </c>
      <c r="L195" s="1" t="s">
        <v>31</v>
      </c>
      <c r="M195" s="1" t="s">
        <v>359</v>
      </c>
      <c r="N195" s="1" t="s">
        <v>359</v>
      </c>
      <c r="O195" s="8" t="s">
        <v>17</v>
      </c>
      <c r="P195" s="15">
        <f>(Table1_147[[#This Row],[Likes]]+Table1_147[[#This Row],[Shares]]+Table1_147[[#This Row],[Comments]])/Table1_147[[#This Row],[Impressions]]</f>
        <v>8.4203612479474554E-2</v>
      </c>
      <c r="Q195" s="1">
        <f>(Table1_147[[#This Row],[Likes]]+Table1_147[[#This Row],[Shares]]+Table1_147[[#This Row],[Comments]])</f>
        <v>5128</v>
      </c>
    </row>
    <row r="196" spans="1:17" x14ac:dyDescent="0.3">
      <c r="A196" s="6" t="s">
        <v>248</v>
      </c>
      <c r="B196" s="1" t="s">
        <v>28</v>
      </c>
      <c r="C196" s="7">
        <v>45519</v>
      </c>
      <c r="D196" s="1" t="s">
        <v>36</v>
      </c>
      <c r="E196" s="1" t="s">
        <v>65</v>
      </c>
      <c r="F196" s="1">
        <v>914</v>
      </c>
      <c r="G196" s="1">
        <v>464</v>
      </c>
      <c r="H196" s="1">
        <v>246</v>
      </c>
      <c r="I196" s="1">
        <v>11882</v>
      </c>
      <c r="J196" s="1">
        <v>11500</v>
      </c>
      <c r="K196" s="1">
        <v>282</v>
      </c>
      <c r="L196" s="1" t="s">
        <v>48</v>
      </c>
      <c r="M196" s="1" t="s">
        <v>25</v>
      </c>
      <c r="N196" s="1" t="s">
        <v>354</v>
      </c>
      <c r="O196" s="8" t="s">
        <v>32</v>
      </c>
      <c r="P196" s="15">
        <f>(Table1_147[[#This Row],[Likes]]+Table1_147[[#This Row],[Shares]]+Table1_147[[#This Row],[Comments]])/Table1_147[[#This Row],[Impressions]]</f>
        <v>0.13667732704931829</v>
      </c>
      <c r="Q196" s="1">
        <f>(Table1_147[[#This Row],[Likes]]+Table1_147[[#This Row],[Shares]]+Table1_147[[#This Row],[Comments]])</f>
        <v>1624</v>
      </c>
    </row>
    <row r="197" spans="1:17" x14ac:dyDescent="0.3">
      <c r="A197" s="6" t="s">
        <v>249</v>
      </c>
      <c r="B197" s="1" t="s">
        <v>28</v>
      </c>
      <c r="C197" s="7">
        <v>45645</v>
      </c>
      <c r="D197" s="1" t="s">
        <v>19</v>
      </c>
      <c r="E197" s="1" t="s">
        <v>78</v>
      </c>
      <c r="F197" s="1">
        <v>1813</v>
      </c>
      <c r="G197" s="1">
        <v>623</v>
      </c>
      <c r="H197" s="1">
        <v>72</v>
      </c>
      <c r="I197" s="1">
        <v>19943</v>
      </c>
      <c r="J197" s="1">
        <v>18959</v>
      </c>
      <c r="K197" s="1">
        <v>85</v>
      </c>
      <c r="L197" s="1" t="s">
        <v>31</v>
      </c>
      <c r="M197" s="1" t="s">
        <v>359</v>
      </c>
      <c r="N197" s="1" t="s">
        <v>359</v>
      </c>
      <c r="O197" s="8" t="s">
        <v>26</v>
      </c>
      <c r="P197" s="15">
        <f>(Table1_147[[#This Row],[Likes]]+Table1_147[[#This Row],[Shares]]+Table1_147[[#This Row],[Comments]])/Table1_147[[#This Row],[Impressions]]</f>
        <v>0.12575841147269717</v>
      </c>
      <c r="Q197" s="1">
        <f>(Table1_147[[#This Row],[Likes]]+Table1_147[[#This Row],[Shares]]+Table1_147[[#This Row],[Comments]])</f>
        <v>2508</v>
      </c>
    </row>
    <row r="198" spans="1:17" x14ac:dyDescent="0.3">
      <c r="A198" s="6" t="s">
        <v>250</v>
      </c>
      <c r="B198" s="1" t="s">
        <v>14</v>
      </c>
      <c r="C198" s="7">
        <v>45587</v>
      </c>
      <c r="D198" s="1" t="s">
        <v>15</v>
      </c>
      <c r="E198" s="1" t="s">
        <v>16</v>
      </c>
      <c r="F198" s="1">
        <v>4782</v>
      </c>
      <c r="G198" s="1">
        <v>721</v>
      </c>
      <c r="H198" s="1">
        <v>82</v>
      </c>
      <c r="I198" s="1">
        <v>86076</v>
      </c>
      <c r="J198" s="1">
        <v>85339</v>
      </c>
      <c r="K198" s="1">
        <v>19</v>
      </c>
      <c r="L198" s="1" t="s">
        <v>31</v>
      </c>
      <c r="M198" s="1" t="s">
        <v>359</v>
      </c>
      <c r="N198" s="1" t="s">
        <v>359</v>
      </c>
      <c r="O198" s="8" t="s">
        <v>17</v>
      </c>
      <c r="P198" s="15">
        <f>(Table1_147[[#This Row],[Likes]]+Table1_147[[#This Row],[Shares]]+Table1_147[[#This Row],[Comments]])/Table1_147[[#This Row],[Impressions]]</f>
        <v>6.4884520656164318E-2</v>
      </c>
      <c r="Q198" s="1">
        <f>(Table1_147[[#This Row],[Likes]]+Table1_147[[#This Row],[Shares]]+Table1_147[[#This Row],[Comments]])</f>
        <v>5585</v>
      </c>
    </row>
    <row r="199" spans="1:17" x14ac:dyDescent="0.3">
      <c r="A199" s="6" t="s">
        <v>251</v>
      </c>
      <c r="B199" s="1" t="s">
        <v>14</v>
      </c>
      <c r="C199" s="7">
        <v>45549</v>
      </c>
      <c r="D199" s="1" t="s">
        <v>41</v>
      </c>
      <c r="E199" s="1" t="s">
        <v>88</v>
      </c>
      <c r="F199" s="1">
        <v>1048</v>
      </c>
      <c r="G199" s="1">
        <v>374</v>
      </c>
      <c r="H199" s="1">
        <v>450</v>
      </c>
      <c r="I199" s="1">
        <v>9432</v>
      </c>
      <c r="J199" s="1">
        <v>8882</v>
      </c>
      <c r="K199" s="1">
        <v>158</v>
      </c>
      <c r="L199" s="1" t="s">
        <v>25</v>
      </c>
      <c r="M199" s="1" t="s">
        <v>359</v>
      </c>
      <c r="N199" s="1" t="s">
        <v>359</v>
      </c>
      <c r="O199" s="8" t="s">
        <v>26</v>
      </c>
      <c r="P199" s="15">
        <f>(Table1_147[[#This Row],[Likes]]+Table1_147[[#This Row],[Shares]]+Table1_147[[#This Row],[Comments]])/Table1_147[[#This Row],[Impressions]]</f>
        <v>0.19847328244274809</v>
      </c>
      <c r="Q199" s="1">
        <f>(Table1_147[[#This Row],[Likes]]+Table1_147[[#This Row],[Shares]]+Table1_147[[#This Row],[Comments]])</f>
        <v>1872</v>
      </c>
    </row>
    <row r="200" spans="1:17" x14ac:dyDescent="0.3">
      <c r="A200" s="6" t="s">
        <v>252</v>
      </c>
      <c r="B200" s="1" t="s">
        <v>23</v>
      </c>
      <c r="C200" s="7">
        <v>45626</v>
      </c>
      <c r="D200" s="1" t="s">
        <v>36</v>
      </c>
      <c r="E200" s="1" t="s">
        <v>52</v>
      </c>
      <c r="F200" s="1">
        <v>2509</v>
      </c>
      <c r="G200" s="1">
        <v>324</v>
      </c>
      <c r="H200" s="1">
        <v>171</v>
      </c>
      <c r="I200" s="1">
        <v>35126</v>
      </c>
      <c r="J200" s="1">
        <v>34685</v>
      </c>
      <c r="K200" s="1">
        <v>277</v>
      </c>
      <c r="L200" s="1" t="s">
        <v>25</v>
      </c>
      <c r="M200" s="1" t="s">
        <v>359</v>
      </c>
      <c r="N200" s="1" t="s">
        <v>359</v>
      </c>
      <c r="O200" s="8" t="s">
        <v>21</v>
      </c>
      <c r="P200" s="15">
        <f>(Table1_147[[#This Row],[Likes]]+Table1_147[[#This Row],[Shares]]+Table1_147[[#This Row],[Comments]])/Table1_147[[#This Row],[Impressions]]</f>
        <v>8.5520696919660646E-2</v>
      </c>
      <c r="Q200" s="1">
        <f>(Table1_147[[#This Row],[Likes]]+Table1_147[[#This Row],[Shares]]+Table1_147[[#This Row],[Comments]])</f>
        <v>3004</v>
      </c>
    </row>
    <row r="201" spans="1:17" x14ac:dyDescent="0.3">
      <c r="A201" s="6" t="s">
        <v>253</v>
      </c>
      <c r="B201" s="1" t="s">
        <v>35</v>
      </c>
      <c r="C201" s="7">
        <v>45754</v>
      </c>
      <c r="D201" s="1" t="s">
        <v>15</v>
      </c>
      <c r="E201" s="1" t="s">
        <v>50</v>
      </c>
      <c r="F201" s="1">
        <v>3718</v>
      </c>
      <c r="G201" s="1">
        <v>385</v>
      </c>
      <c r="H201" s="1">
        <v>310</v>
      </c>
      <c r="I201" s="1">
        <v>70642</v>
      </c>
      <c r="J201" s="1">
        <v>69749</v>
      </c>
      <c r="K201" s="1">
        <v>233</v>
      </c>
      <c r="L201" s="1" t="s">
        <v>25</v>
      </c>
      <c r="M201" s="1" t="s">
        <v>359</v>
      </c>
      <c r="N201" s="1" t="s">
        <v>359</v>
      </c>
      <c r="O201" s="8" t="s">
        <v>21</v>
      </c>
      <c r="P201" s="15">
        <f>(Table1_147[[#This Row],[Likes]]+Table1_147[[#This Row],[Shares]]+Table1_147[[#This Row],[Comments]])/Table1_147[[#This Row],[Impressions]]</f>
        <v>6.246991874522239E-2</v>
      </c>
      <c r="Q201" s="1">
        <f>(Table1_147[[#This Row],[Likes]]+Table1_147[[#This Row],[Shares]]+Table1_147[[#This Row],[Comments]])</f>
        <v>4413</v>
      </c>
    </row>
    <row r="202" spans="1:17" x14ac:dyDescent="0.3">
      <c r="A202" s="6" t="s">
        <v>254</v>
      </c>
      <c r="B202" s="1" t="s">
        <v>14</v>
      </c>
      <c r="C202" s="7">
        <v>45672</v>
      </c>
      <c r="D202" s="1" t="s">
        <v>15</v>
      </c>
      <c r="E202" s="1" t="s">
        <v>16</v>
      </c>
      <c r="F202" s="1">
        <v>802</v>
      </c>
      <c r="G202" s="1">
        <v>262</v>
      </c>
      <c r="H202" s="1">
        <v>244</v>
      </c>
      <c r="I202" s="1">
        <v>14436</v>
      </c>
      <c r="J202" s="1">
        <v>14280</v>
      </c>
      <c r="K202" s="1">
        <v>49</v>
      </c>
      <c r="L202" s="1" t="s">
        <v>31</v>
      </c>
      <c r="M202" s="1" t="s">
        <v>359</v>
      </c>
      <c r="N202" s="1" t="s">
        <v>359</v>
      </c>
      <c r="O202" s="8" t="s">
        <v>17</v>
      </c>
      <c r="P202" s="15">
        <f>(Table1_147[[#This Row],[Likes]]+Table1_147[[#This Row],[Shares]]+Table1_147[[#This Row],[Comments]])/Table1_147[[#This Row],[Impressions]]</f>
        <v>9.0606816292601824E-2</v>
      </c>
      <c r="Q202" s="1">
        <f>(Table1_147[[#This Row],[Likes]]+Table1_147[[#This Row],[Shares]]+Table1_147[[#This Row],[Comments]])</f>
        <v>1308</v>
      </c>
    </row>
    <row r="203" spans="1:17" x14ac:dyDescent="0.3">
      <c r="A203" s="6" t="s">
        <v>255</v>
      </c>
      <c r="B203" s="1" t="s">
        <v>35</v>
      </c>
      <c r="C203" s="7">
        <v>45445</v>
      </c>
      <c r="D203" s="1" t="s">
        <v>41</v>
      </c>
      <c r="E203" s="1" t="s">
        <v>46</v>
      </c>
      <c r="F203" s="1">
        <v>1871</v>
      </c>
      <c r="G203" s="1">
        <v>252</v>
      </c>
      <c r="H203" s="1">
        <v>335</v>
      </c>
      <c r="I203" s="1">
        <v>29936</v>
      </c>
      <c r="J203" s="1">
        <v>29576</v>
      </c>
      <c r="K203" s="1">
        <v>288</v>
      </c>
      <c r="L203" s="1" t="s">
        <v>31</v>
      </c>
      <c r="M203" s="1" t="s">
        <v>359</v>
      </c>
      <c r="N203" s="1" t="s">
        <v>359</v>
      </c>
      <c r="O203" s="8" t="s">
        <v>26</v>
      </c>
      <c r="P203" s="15">
        <f>(Table1_147[[#This Row],[Likes]]+Table1_147[[#This Row],[Shares]]+Table1_147[[#This Row],[Comments]])/Table1_147[[#This Row],[Impressions]]</f>
        <v>8.2108498129342594E-2</v>
      </c>
      <c r="Q203" s="1">
        <f>(Table1_147[[#This Row],[Likes]]+Table1_147[[#This Row],[Shares]]+Table1_147[[#This Row],[Comments]])</f>
        <v>2458</v>
      </c>
    </row>
    <row r="204" spans="1:17" x14ac:dyDescent="0.3">
      <c r="A204" s="6" t="s">
        <v>256</v>
      </c>
      <c r="B204" s="1" t="s">
        <v>28</v>
      </c>
      <c r="C204" s="7">
        <v>45617</v>
      </c>
      <c r="D204" s="1" t="s">
        <v>36</v>
      </c>
      <c r="E204" s="1" t="s">
        <v>65</v>
      </c>
      <c r="F204" s="1">
        <v>3773</v>
      </c>
      <c r="G204" s="1">
        <v>299</v>
      </c>
      <c r="H204" s="1">
        <v>38</v>
      </c>
      <c r="I204" s="1">
        <v>71687</v>
      </c>
      <c r="J204" s="1">
        <v>71447</v>
      </c>
      <c r="K204" s="1">
        <v>286</v>
      </c>
      <c r="L204" s="1" t="s">
        <v>48</v>
      </c>
      <c r="M204" s="1" t="s">
        <v>359</v>
      </c>
      <c r="N204" s="1" t="s">
        <v>359</v>
      </c>
      <c r="O204" s="8" t="s">
        <v>17</v>
      </c>
      <c r="P204" s="15">
        <f>(Table1_147[[#This Row],[Likes]]+Table1_147[[#This Row],[Shares]]+Table1_147[[#This Row],[Comments]])/Table1_147[[#This Row],[Impressions]]</f>
        <v>5.7332570758993957E-2</v>
      </c>
      <c r="Q204" s="1">
        <f>(Table1_147[[#This Row],[Likes]]+Table1_147[[#This Row],[Shares]]+Table1_147[[#This Row],[Comments]])</f>
        <v>4110</v>
      </c>
    </row>
    <row r="205" spans="1:17" x14ac:dyDescent="0.3">
      <c r="A205" s="6" t="s">
        <v>257</v>
      </c>
      <c r="B205" s="1" t="s">
        <v>28</v>
      </c>
      <c r="C205" s="7">
        <v>45658</v>
      </c>
      <c r="D205" s="1" t="s">
        <v>36</v>
      </c>
      <c r="E205" s="1" t="s">
        <v>65</v>
      </c>
      <c r="F205" s="1">
        <v>2234</v>
      </c>
      <c r="G205" s="1">
        <v>653</v>
      </c>
      <c r="H205" s="1">
        <v>432</v>
      </c>
      <c r="I205" s="1">
        <v>11170</v>
      </c>
      <c r="J205" s="1">
        <v>10569</v>
      </c>
      <c r="K205" s="1">
        <v>198</v>
      </c>
      <c r="L205" s="1" t="s">
        <v>48</v>
      </c>
      <c r="M205" s="1" t="s">
        <v>359</v>
      </c>
      <c r="N205" s="1" t="s">
        <v>359</v>
      </c>
      <c r="O205" s="8" t="s">
        <v>26</v>
      </c>
      <c r="P205" s="15">
        <f>(Table1_147[[#This Row],[Likes]]+Table1_147[[#This Row],[Shares]]+Table1_147[[#This Row],[Comments]])/Table1_147[[#This Row],[Impressions]]</f>
        <v>0.29713518352730528</v>
      </c>
      <c r="Q205" s="1">
        <f>(Table1_147[[#This Row],[Likes]]+Table1_147[[#This Row],[Shares]]+Table1_147[[#This Row],[Comments]])</f>
        <v>3319</v>
      </c>
    </row>
    <row r="206" spans="1:17" x14ac:dyDescent="0.3">
      <c r="A206" s="6" t="s">
        <v>258</v>
      </c>
      <c r="B206" s="1" t="s">
        <v>14</v>
      </c>
      <c r="C206" s="7">
        <v>45771</v>
      </c>
      <c r="D206" s="1" t="s">
        <v>56</v>
      </c>
      <c r="E206" s="1" t="s">
        <v>95</v>
      </c>
      <c r="F206" s="1">
        <v>3820</v>
      </c>
      <c r="G206" s="1">
        <v>697</v>
      </c>
      <c r="H206" s="1">
        <v>268</v>
      </c>
      <c r="I206" s="1">
        <v>45840</v>
      </c>
      <c r="J206" s="1">
        <v>45631</v>
      </c>
      <c r="K206" s="1">
        <v>171</v>
      </c>
      <c r="L206" s="1" t="s">
        <v>25</v>
      </c>
      <c r="M206" s="1" t="s">
        <v>356</v>
      </c>
      <c r="N206" s="1" t="s">
        <v>359</v>
      </c>
      <c r="O206" s="8" t="s">
        <v>32</v>
      </c>
      <c r="P206" s="15">
        <f>(Table1_147[[#This Row],[Likes]]+Table1_147[[#This Row],[Shares]]+Table1_147[[#This Row],[Comments]])/Table1_147[[#This Row],[Impressions]]</f>
        <v>0.1043848167539267</v>
      </c>
      <c r="Q206" s="1">
        <f>(Table1_147[[#This Row],[Likes]]+Table1_147[[#This Row],[Shares]]+Table1_147[[#This Row],[Comments]])</f>
        <v>4785</v>
      </c>
    </row>
    <row r="207" spans="1:17" x14ac:dyDescent="0.3">
      <c r="A207" s="6" t="s">
        <v>259</v>
      </c>
      <c r="B207" s="1" t="s">
        <v>14</v>
      </c>
      <c r="C207" s="7">
        <v>45467</v>
      </c>
      <c r="D207" s="1" t="s">
        <v>19</v>
      </c>
      <c r="E207" s="1" t="s">
        <v>20</v>
      </c>
      <c r="F207" s="1">
        <v>941</v>
      </c>
      <c r="G207" s="1">
        <v>121</v>
      </c>
      <c r="H207" s="1">
        <v>458</v>
      </c>
      <c r="I207" s="1">
        <v>14115</v>
      </c>
      <c r="J207" s="1">
        <v>13838</v>
      </c>
      <c r="K207" s="1">
        <v>87</v>
      </c>
      <c r="L207" s="1" t="s">
        <v>31</v>
      </c>
      <c r="M207" s="1" t="s">
        <v>359</v>
      </c>
      <c r="N207" s="1" t="s">
        <v>359</v>
      </c>
      <c r="O207" s="8" t="s">
        <v>17</v>
      </c>
      <c r="P207" s="15">
        <f>(Table1_147[[#This Row],[Likes]]+Table1_147[[#This Row],[Shares]]+Table1_147[[#This Row],[Comments]])/Table1_147[[#This Row],[Impressions]]</f>
        <v>0.10768685795253277</v>
      </c>
      <c r="Q207" s="1">
        <f>(Table1_147[[#This Row],[Likes]]+Table1_147[[#This Row],[Shares]]+Table1_147[[#This Row],[Comments]])</f>
        <v>1520</v>
      </c>
    </row>
    <row r="208" spans="1:17" x14ac:dyDescent="0.3">
      <c r="A208" s="6" t="s">
        <v>260</v>
      </c>
      <c r="B208" s="1" t="s">
        <v>14</v>
      </c>
      <c r="C208" s="7">
        <v>45655</v>
      </c>
      <c r="D208" s="1" t="s">
        <v>36</v>
      </c>
      <c r="E208" s="1" t="s">
        <v>39</v>
      </c>
      <c r="F208" s="1">
        <v>4274</v>
      </c>
      <c r="G208" s="1">
        <v>340</v>
      </c>
      <c r="H208" s="1">
        <v>281</v>
      </c>
      <c r="I208" s="1">
        <v>34192</v>
      </c>
      <c r="J208" s="1">
        <v>33446</v>
      </c>
      <c r="K208" s="1">
        <v>129</v>
      </c>
      <c r="L208" s="1" t="s">
        <v>25</v>
      </c>
      <c r="M208" s="1" t="s">
        <v>356</v>
      </c>
      <c r="N208" s="1" t="s">
        <v>359</v>
      </c>
      <c r="O208" s="8" t="s">
        <v>26</v>
      </c>
      <c r="P208" s="15">
        <f>(Table1_147[[#This Row],[Likes]]+Table1_147[[#This Row],[Shares]]+Table1_147[[#This Row],[Comments]])/Table1_147[[#This Row],[Impressions]]</f>
        <v>0.14316214319138981</v>
      </c>
      <c r="Q208" s="1">
        <f>(Table1_147[[#This Row],[Likes]]+Table1_147[[#This Row],[Shares]]+Table1_147[[#This Row],[Comments]])</f>
        <v>4895</v>
      </c>
    </row>
    <row r="209" spans="1:17" x14ac:dyDescent="0.3">
      <c r="A209" s="6" t="s">
        <v>261</v>
      </c>
      <c r="B209" s="1" t="s">
        <v>23</v>
      </c>
      <c r="C209" s="7">
        <v>45467</v>
      </c>
      <c r="D209" s="1" t="s">
        <v>56</v>
      </c>
      <c r="E209" s="1" t="s">
        <v>136</v>
      </c>
      <c r="F209" s="1">
        <v>2949</v>
      </c>
      <c r="G209" s="1">
        <v>476</v>
      </c>
      <c r="H209" s="1">
        <v>403</v>
      </c>
      <c r="I209" s="1">
        <v>44235</v>
      </c>
      <c r="J209" s="1">
        <v>43705</v>
      </c>
      <c r="K209" s="1">
        <v>135</v>
      </c>
      <c r="L209" s="1" t="s">
        <v>25</v>
      </c>
      <c r="M209" s="1" t="s">
        <v>359</v>
      </c>
      <c r="N209" s="1" t="s">
        <v>359</v>
      </c>
      <c r="O209" s="8" t="s">
        <v>21</v>
      </c>
      <c r="P209" s="15">
        <f>(Table1_147[[#This Row],[Likes]]+Table1_147[[#This Row],[Shares]]+Table1_147[[#This Row],[Comments]])/Table1_147[[#This Row],[Impressions]]</f>
        <v>8.6537809426924378E-2</v>
      </c>
      <c r="Q209" s="1">
        <f>(Table1_147[[#This Row],[Likes]]+Table1_147[[#This Row],[Shares]]+Table1_147[[#This Row],[Comments]])</f>
        <v>3828</v>
      </c>
    </row>
    <row r="210" spans="1:17" x14ac:dyDescent="0.3">
      <c r="A210" s="6" t="s">
        <v>262</v>
      </c>
      <c r="B210" s="1" t="s">
        <v>14</v>
      </c>
      <c r="C210" s="7">
        <v>45735</v>
      </c>
      <c r="D210" s="1" t="s">
        <v>56</v>
      </c>
      <c r="E210" s="1" t="s">
        <v>95</v>
      </c>
      <c r="F210" s="1">
        <v>3160</v>
      </c>
      <c r="G210" s="1">
        <v>204</v>
      </c>
      <c r="H210" s="1">
        <v>297</v>
      </c>
      <c r="I210" s="1">
        <v>44240</v>
      </c>
      <c r="J210" s="1">
        <v>43666</v>
      </c>
      <c r="K210" s="1">
        <v>49</v>
      </c>
      <c r="L210" s="1" t="s">
        <v>48</v>
      </c>
      <c r="M210" s="1" t="s">
        <v>354</v>
      </c>
      <c r="N210" s="1" t="s">
        <v>359</v>
      </c>
      <c r="O210" s="8" t="s">
        <v>32</v>
      </c>
      <c r="P210" s="15">
        <f>(Table1_147[[#This Row],[Likes]]+Table1_147[[#This Row],[Shares]]+Table1_147[[#This Row],[Comments]])/Table1_147[[#This Row],[Impressions]]</f>
        <v>8.2753164556962022E-2</v>
      </c>
      <c r="Q210" s="1">
        <f>(Table1_147[[#This Row],[Likes]]+Table1_147[[#This Row],[Shares]]+Table1_147[[#This Row],[Comments]])</f>
        <v>3661</v>
      </c>
    </row>
    <row r="211" spans="1:17" x14ac:dyDescent="0.3">
      <c r="A211" s="6" t="s">
        <v>263</v>
      </c>
      <c r="B211" s="1" t="s">
        <v>23</v>
      </c>
      <c r="C211" s="7">
        <v>45707</v>
      </c>
      <c r="D211" s="1" t="s">
        <v>41</v>
      </c>
      <c r="E211" s="1" t="s">
        <v>42</v>
      </c>
      <c r="F211" s="1">
        <v>257</v>
      </c>
      <c r="G211" s="1">
        <v>966</v>
      </c>
      <c r="H211" s="1">
        <v>398</v>
      </c>
      <c r="I211" s="1">
        <v>3341</v>
      </c>
      <c r="J211" s="1">
        <v>2753</v>
      </c>
      <c r="K211" s="1">
        <v>287</v>
      </c>
      <c r="L211" s="1" t="s">
        <v>48</v>
      </c>
      <c r="M211" s="1" t="s">
        <v>359</v>
      </c>
      <c r="N211" s="1" t="s">
        <v>359</v>
      </c>
      <c r="O211" s="8" t="s">
        <v>17</v>
      </c>
      <c r="P211" s="15">
        <f>(Table1_147[[#This Row],[Likes]]+Table1_147[[#This Row],[Shares]]+Table1_147[[#This Row],[Comments]])/Table1_147[[#This Row],[Impressions]]</f>
        <v>0.48518407662376534</v>
      </c>
      <c r="Q211" s="1">
        <f>(Table1_147[[#This Row],[Likes]]+Table1_147[[#This Row],[Shares]]+Table1_147[[#This Row],[Comments]])</f>
        <v>1621</v>
      </c>
    </row>
    <row r="212" spans="1:17" x14ac:dyDescent="0.3">
      <c r="A212" s="6" t="s">
        <v>264</v>
      </c>
      <c r="B212" s="1" t="s">
        <v>14</v>
      </c>
      <c r="C212" s="7">
        <v>45491</v>
      </c>
      <c r="D212" s="1" t="s">
        <v>36</v>
      </c>
      <c r="E212" s="1" t="s">
        <v>39</v>
      </c>
      <c r="F212" s="1">
        <v>2120</v>
      </c>
      <c r="G212" s="1">
        <v>38</v>
      </c>
      <c r="H212" s="1">
        <v>212</v>
      </c>
      <c r="I212" s="1">
        <v>12720</v>
      </c>
      <c r="J212" s="1">
        <v>12564</v>
      </c>
      <c r="K212" s="1">
        <v>21</v>
      </c>
      <c r="L212" s="1" t="s">
        <v>48</v>
      </c>
      <c r="M212" s="1" t="s">
        <v>359</v>
      </c>
      <c r="N212" s="1" t="s">
        <v>359</v>
      </c>
      <c r="O212" s="8" t="s">
        <v>32</v>
      </c>
      <c r="P212" s="15">
        <f>(Table1_147[[#This Row],[Likes]]+Table1_147[[#This Row],[Shares]]+Table1_147[[#This Row],[Comments]])/Table1_147[[#This Row],[Impressions]]</f>
        <v>0.18632075471698112</v>
      </c>
      <c r="Q212" s="1">
        <f>(Table1_147[[#This Row],[Likes]]+Table1_147[[#This Row],[Shares]]+Table1_147[[#This Row],[Comments]])</f>
        <v>2370</v>
      </c>
    </row>
    <row r="213" spans="1:17" x14ac:dyDescent="0.3">
      <c r="A213" s="6" t="s">
        <v>265</v>
      </c>
      <c r="B213" s="1" t="s">
        <v>23</v>
      </c>
      <c r="C213" s="7">
        <v>45719</v>
      </c>
      <c r="D213" s="1" t="s">
        <v>56</v>
      </c>
      <c r="E213" s="1" t="s">
        <v>136</v>
      </c>
      <c r="F213" s="1">
        <v>3874</v>
      </c>
      <c r="G213" s="1">
        <v>884</v>
      </c>
      <c r="H213" s="1">
        <v>19</v>
      </c>
      <c r="I213" s="1">
        <v>38740</v>
      </c>
      <c r="J213" s="1">
        <v>38552</v>
      </c>
      <c r="K213" s="1">
        <v>219</v>
      </c>
      <c r="L213" s="1" t="s">
        <v>25</v>
      </c>
      <c r="M213" s="1" t="s">
        <v>359</v>
      </c>
      <c r="N213" s="1" t="s">
        <v>359</v>
      </c>
      <c r="O213" s="8" t="s">
        <v>21</v>
      </c>
      <c r="P213" s="15">
        <f>(Table1_147[[#This Row],[Likes]]+Table1_147[[#This Row],[Shares]]+Table1_147[[#This Row],[Comments]])/Table1_147[[#This Row],[Impressions]]</f>
        <v>0.123309241094476</v>
      </c>
      <c r="Q213" s="1">
        <f>(Table1_147[[#This Row],[Likes]]+Table1_147[[#This Row],[Shares]]+Table1_147[[#This Row],[Comments]])</f>
        <v>4777</v>
      </c>
    </row>
    <row r="214" spans="1:17" x14ac:dyDescent="0.3">
      <c r="A214" s="6" t="s">
        <v>266</v>
      </c>
      <c r="B214" s="1" t="s">
        <v>35</v>
      </c>
      <c r="C214" s="7">
        <v>45778</v>
      </c>
      <c r="D214" s="1" t="s">
        <v>36</v>
      </c>
      <c r="E214" s="1" t="s">
        <v>37</v>
      </c>
      <c r="F214" s="1">
        <v>2696</v>
      </c>
      <c r="G214" s="1">
        <v>628</v>
      </c>
      <c r="H214" s="1">
        <v>443</v>
      </c>
      <c r="I214" s="1">
        <v>45832</v>
      </c>
      <c r="J214" s="1">
        <v>45632</v>
      </c>
      <c r="K214" s="1">
        <v>248</v>
      </c>
      <c r="L214" s="1" t="s">
        <v>31</v>
      </c>
      <c r="M214" s="1" t="s">
        <v>359</v>
      </c>
      <c r="N214" s="1" t="s">
        <v>359</v>
      </c>
      <c r="O214" s="8" t="s">
        <v>32</v>
      </c>
      <c r="P214" s="15">
        <f>(Table1_147[[#This Row],[Likes]]+Table1_147[[#This Row],[Shares]]+Table1_147[[#This Row],[Comments]])/Table1_147[[#This Row],[Impressions]]</f>
        <v>8.21914819340199E-2</v>
      </c>
      <c r="Q214" s="1">
        <f>(Table1_147[[#This Row],[Likes]]+Table1_147[[#This Row],[Shares]]+Table1_147[[#This Row],[Comments]])</f>
        <v>3767</v>
      </c>
    </row>
    <row r="215" spans="1:17" x14ac:dyDescent="0.3">
      <c r="A215" s="6" t="s">
        <v>267</v>
      </c>
      <c r="B215" s="1" t="s">
        <v>28</v>
      </c>
      <c r="C215" s="7">
        <v>45649</v>
      </c>
      <c r="D215" s="1" t="s">
        <v>41</v>
      </c>
      <c r="E215" s="1" t="s">
        <v>134</v>
      </c>
      <c r="F215" s="1">
        <v>521</v>
      </c>
      <c r="G215" s="1">
        <v>746</v>
      </c>
      <c r="H215" s="1">
        <v>315</v>
      </c>
      <c r="I215" s="1">
        <v>4168</v>
      </c>
      <c r="J215" s="1">
        <v>3399</v>
      </c>
      <c r="K215" s="1">
        <v>282</v>
      </c>
      <c r="L215" s="1" t="s">
        <v>48</v>
      </c>
      <c r="M215" s="1" t="s">
        <v>359</v>
      </c>
      <c r="N215" s="1" t="s">
        <v>359</v>
      </c>
      <c r="O215" s="8" t="s">
        <v>21</v>
      </c>
      <c r="P215" s="15">
        <f>(Table1_147[[#This Row],[Likes]]+Table1_147[[#This Row],[Shares]]+Table1_147[[#This Row],[Comments]])/Table1_147[[#This Row],[Impressions]]</f>
        <v>0.37955854126679461</v>
      </c>
      <c r="Q215" s="1">
        <f>(Table1_147[[#This Row],[Likes]]+Table1_147[[#This Row],[Shares]]+Table1_147[[#This Row],[Comments]])</f>
        <v>1582</v>
      </c>
    </row>
    <row r="216" spans="1:17" x14ac:dyDescent="0.3">
      <c r="A216" s="6" t="s">
        <v>268</v>
      </c>
      <c r="B216" s="1" t="s">
        <v>35</v>
      </c>
      <c r="C216" s="7">
        <v>45783</v>
      </c>
      <c r="D216" s="1" t="s">
        <v>41</v>
      </c>
      <c r="E216" s="1" t="s">
        <v>46</v>
      </c>
      <c r="F216" s="1">
        <v>4872</v>
      </c>
      <c r="G216" s="1">
        <v>925</v>
      </c>
      <c r="H216" s="1">
        <v>176</v>
      </c>
      <c r="I216" s="1">
        <v>82824</v>
      </c>
      <c r="J216" s="1">
        <v>82543</v>
      </c>
      <c r="K216" s="1">
        <v>89</v>
      </c>
      <c r="L216" s="1" t="s">
        <v>31</v>
      </c>
      <c r="M216" s="1" t="s">
        <v>359</v>
      </c>
      <c r="N216" s="1" t="s">
        <v>359</v>
      </c>
      <c r="O216" s="8" t="s">
        <v>21</v>
      </c>
      <c r="P216" s="15">
        <f>(Table1_147[[#This Row],[Likes]]+Table1_147[[#This Row],[Shares]]+Table1_147[[#This Row],[Comments]])/Table1_147[[#This Row],[Impressions]]</f>
        <v>7.2116777745580993E-2</v>
      </c>
      <c r="Q216" s="1">
        <f>(Table1_147[[#This Row],[Likes]]+Table1_147[[#This Row],[Shares]]+Table1_147[[#This Row],[Comments]])</f>
        <v>5973</v>
      </c>
    </row>
    <row r="217" spans="1:17" x14ac:dyDescent="0.3">
      <c r="A217" s="6" t="s">
        <v>269</v>
      </c>
      <c r="B217" s="1" t="s">
        <v>23</v>
      </c>
      <c r="C217" s="7">
        <v>45502</v>
      </c>
      <c r="D217" s="1" t="s">
        <v>29</v>
      </c>
      <c r="E217" s="1" t="s">
        <v>101</v>
      </c>
      <c r="F217" s="1">
        <v>1509</v>
      </c>
      <c r="G217" s="1">
        <v>88</v>
      </c>
      <c r="H217" s="1">
        <v>163</v>
      </c>
      <c r="I217" s="1">
        <v>30180</v>
      </c>
      <c r="J217" s="1">
        <v>29689</v>
      </c>
      <c r="K217" s="1">
        <v>119</v>
      </c>
      <c r="L217" s="1" t="s">
        <v>31</v>
      </c>
      <c r="M217" s="1" t="s">
        <v>359</v>
      </c>
      <c r="N217" s="1" t="s">
        <v>359</v>
      </c>
      <c r="O217" s="8" t="s">
        <v>21</v>
      </c>
      <c r="P217" s="15">
        <f>(Table1_147[[#This Row],[Likes]]+Table1_147[[#This Row],[Shares]]+Table1_147[[#This Row],[Comments]])/Table1_147[[#This Row],[Impressions]]</f>
        <v>5.8316766070245198E-2</v>
      </c>
      <c r="Q217" s="1">
        <f>(Table1_147[[#This Row],[Likes]]+Table1_147[[#This Row],[Shares]]+Table1_147[[#This Row],[Comments]])</f>
        <v>1760</v>
      </c>
    </row>
    <row r="218" spans="1:17" x14ac:dyDescent="0.3">
      <c r="A218" s="6" t="s">
        <v>270</v>
      </c>
      <c r="B218" s="1" t="s">
        <v>35</v>
      </c>
      <c r="C218" s="7">
        <v>45629</v>
      </c>
      <c r="D218" s="1" t="s">
        <v>41</v>
      </c>
      <c r="E218" s="1" t="s">
        <v>46</v>
      </c>
      <c r="F218" s="1">
        <v>4606</v>
      </c>
      <c r="G218" s="1">
        <v>931</v>
      </c>
      <c r="H218" s="1">
        <v>230</v>
      </c>
      <c r="I218" s="1">
        <v>92120</v>
      </c>
      <c r="J218" s="1">
        <v>91440</v>
      </c>
      <c r="K218" s="1">
        <v>56</v>
      </c>
      <c r="L218" s="1" t="s">
        <v>25</v>
      </c>
      <c r="M218" s="1" t="s">
        <v>359</v>
      </c>
      <c r="N218" s="1" t="s">
        <v>359</v>
      </c>
      <c r="O218" s="8" t="s">
        <v>360</v>
      </c>
      <c r="P218" s="15">
        <f>(Table1_147[[#This Row],[Likes]]+Table1_147[[#This Row],[Shares]]+Table1_147[[#This Row],[Comments]])/Table1_147[[#This Row],[Impressions]]</f>
        <v>6.2603126356925748E-2</v>
      </c>
      <c r="Q218" s="1">
        <f>(Table1_147[[#This Row],[Likes]]+Table1_147[[#This Row],[Shares]]+Table1_147[[#This Row],[Comments]])</f>
        <v>5767</v>
      </c>
    </row>
    <row r="219" spans="1:17" x14ac:dyDescent="0.3">
      <c r="A219" s="6" t="s">
        <v>271</v>
      </c>
      <c r="B219" s="1" t="s">
        <v>35</v>
      </c>
      <c r="C219" s="7">
        <v>45454</v>
      </c>
      <c r="D219" s="1" t="s">
        <v>36</v>
      </c>
      <c r="E219" s="1" t="s">
        <v>37</v>
      </c>
      <c r="F219" s="1">
        <v>1869</v>
      </c>
      <c r="G219" s="1">
        <v>453</v>
      </c>
      <c r="H219" s="1">
        <v>490</v>
      </c>
      <c r="I219" s="1">
        <v>14952</v>
      </c>
      <c r="J219" s="1">
        <v>14309</v>
      </c>
      <c r="K219" s="1">
        <v>275</v>
      </c>
      <c r="L219" s="1" t="s">
        <v>25</v>
      </c>
      <c r="M219" s="1" t="s">
        <v>359</v>
      </c>
      <c r="N219" s="1" t="s">
        <v>359</v>
      </c>
      <c r="O219" s="8" t="s">
        <v>32</v>
      </c>
      <c r="P219" s="15">
        <f>(Table1_147[[#This Row],[Likes]]+Table1_147[[#This Row],[Shares]]+Table1_147[[#This Row],[Comments]])/Table1_147[[#This Row],[Impressions]]</f>
        <v>0.18806848582129482</v>
      </c>
      <c r="Q219" s="1">
        <f>(Table1_147[[#This Row],[Likes]]+Table1_147[[#This Row],[Shares]]+Table1_147[[#This Row],[Comments]])</f>
        <v>2812</v>
      </c>
    </row>
    <row r="220" spans="1:17" x14ac:dyDescent="0.3">
      <c r="A220" s="6" t="s">
        <v>272</v>
      </c>
      <c r="B220" s="1" t="s">
        <v>14</v>
      </c>
      <c r="C220" s="7">
        <v>45685</v>
      </c>
      <c r="D220" s="1" t="s">
        <v>15</v>
      </c>
      <c r="E220" s="1" t="s">
        <v>16</v>
      </c>
      <c r="F220" s="1">
        <v>1188</v>
      </c>
      <c r="G220" s="1">
        <v>470</v>
      </c>
      <c r="H220" s="1">
        <v>174</v>
      </c>
      <c r="I220" s="1">
        <v>7128</v>
      </c>
      <c r="J220" s="1">
        <v>6145</v>
      </c>
      <c r="K220" s="1">
        <v>270</v>
      </c>
      <c r="L220" s="1" t="s">
        <v>25</v>
      </c>
      <c r="M220" s="1" t="s">
        <v>359</v>
      </c>
      <c r="N220" s="1" t="s">
        <v>359</v>
      </c>
      <c r="O220" s="8" t="s">
        <v>32</v>
      </c>
      <c r="P220" s="15">
        <f>(Table1_147[[#This Row],[Likes]]+Table1_147[[#This Row],[Shares]]+Table1_147[[#This Row],[Comments]])/Table1_147[[#This Row],[Impressions]]</f>
        <v>0.25701459034792368</v>
      </c>
      <c r="Q220" s="1">
        <f>(Table1_147[[#This Row],[Likes]]+Table1_147[[#This Row],[Shares]]+Table1_147[[#This Row],[Comments]])</f>
        <v>1832</v>
      </c>
    </row>
    <row r="221" spans="1:17" x14ac:dyDescent="0.3">
      <c r="A221" s="6" t="s">
        <v>273</v>
      </c>
      <c r="B221" s="1" t="s">
        <v>28</v>
      </c>
      <c r="C221" s="7">
        <v>45445</v>
      </c>
      <c r="D221" s="1" t="s">
        <v>29</v>
      </c>
      <c r="E221" s="1" t="s">
        <v>30</v>
      </c>
      <c r="F221" s="1">
        <v>84</v>
      </c>
      <c r="G221" s="1">
        <v>897</v>
      </c>
      <c r="H221" s="1">
        <v>85</v>
      </c>
      <c r="I221" s="1">
        <v>588</v>
      </c>
      <c r="J221" s="1">
        <v>8</v>
      </c>
      <c r="K221" s="1">
        <v>12</v>
      </c>
      <c r="L221" s="1" t="s">
        <v>31</v>
      </c>
      <c r="M221" s="1" t="s">
        <v>359</v>
      </c>
      <c r="N221" s="1" t="s">
        <v>359</v>
      </c>
      <c r="O221" s="8" t="s">
        <v>360</v>
      </c>
      <c r="P221" s="15">
        <f>(Table1_147[[#This Row],[Likes]]+Table1_147[[#This Row],[Shares]]+Table1_147[[#This Row],[Comments]])/Table1_147[[#This Row],[Impressions]]</f>
        <v>1.8129251700680271</v>
      </c>
      <c r="Q221" s="1">
        <f>(Table1_147[[#This Row],[Likes]]+Table1_147[[#This Row],[Shares]]+Table1_147[[#This Row],[Comments]])</f>
        <v>1066</v>
      </c>
    </row>
    <row r="222" spans="1:17" x14ac:dyDescent="0.3">
      <c r="A222" s="6" t="s">
        <v>274</v>
      </c>
      <c r="B222" s="1" t="s">
        <v>35</v>
      </c>
      <c r="C222" s="7">
        <v>45739</v>
      </c>
      <c r="D222" s="1" t="s">
        <v>56</v>
      </c>
      <c r="E222" s="1" t="s">
        <v>57</v>
      </c>
      <c r="F222" s="1">
        <v>4453</v>
      </c>
      <c r="G222" s="1">
        <v>111</v>
      </c>
      <c r="H222" s="1">
        <v>420</v>
      </c>
      <c r="I222" s="1">
        <v>31171</v>
      </c>
      <c r="J222" s="1">
        <v>30565</v>
      </c>
      <c r="K222" s="1">
        <v>23</v>
      </c>
      <c r="L222" s="1" t="s">
        <v>25</v>
      </c>
      <c r="M222" s="1" t="s">
        <v>359</v>
      </c>
      <c r="N222" s="1" t="s">
        <v>359</v>
      </c>
      <c r="O222" s="8" t="s">
        <v>360</v>
      </c>
      <c r="P222" s="15">
        <f>(Table1_147[[#This Row],[Likes]]+Table1_147[[#This Row],[Shares]]+Table1_147[[#This Row],[Comments]])/Table1_147[[#This Row],[Impressions]]</f>
        <v>0.15989220750056141</v>
      </c>
      <c r="Q222" s="1">
        <f>(Table1_147[[#This Row],[Likes]]+Table1_147[[#This Row],[Shares]]+Table1_147[[#This Row],[Comments]])</f>
        <v>4984</v>
      </c>
    </row>
    <row r="223" spans="1:17" x14ac:dyDescent="0.3">
      <c r="A223" s="6" t="s">
        <v>275</v>
      </c>
      <c r="B223" s="1" t="s">
        <v>35</v>
      </c>
      <c r="C223" s="7">
        <v>45573</v>
      </c>
      <c r="D223" s="1" t="s">
        <v>15</v>
      </c>
      <c r="E223" s="1" t="s">
        <v>50</v>
      </c>
      <c r="F223" s="1">
        <v>1814</v>
      </c>
      <c r="G223" s="1">
        <v>653</v>
      </c>
      <c r="H223" s="1">
        <v>363</v>
      </c>
      <c r="I223" s="1">
        <v>25396</v>
      </c>
      <c r="J223" s="1">
        <v>25286</v>
      </c>
      <c r="K223" s="1">
        <v>39</v>
      </c>
      <c r="L223" s="1" t="s">
        <v>48</v>
      </c>
      <c r="M223" s="1" t="s">
        <v>356</v>
      </c>
      <c r="N223" s="1" t="s">
        <v>359</v>
      </c>
      <c r="O223" s="8" t="s">
        <v>17</v>
      </c>
      <c r="P223" s="15">
        <f>(Table1_147[[#This Row],[Likes]]+Table1_147[[#This Row],[Shares]]+Table1_147[[#This Row],[Comments]])/Table1_147[[#This Row],[Impressions]]</f>
        <v>0.11143487163332809</v>
      </c>
      <c r="Q223" s="1">
        <f>(Table1_147[[#This Row],[Likes]]+Table1_147[[#This Row],[Shares]]+Table1_147[[#This Row],[Comments]])</f>
        <v>2830</v>
      </c>
    </row>
    <row r="224" spans="1:17" x14ac:dyDescent="0.3">
      <c r="A224" s="6" t="s">
        <v>276</v>
      </c>
      <c r="B224" s="1" t="s">
        <v>14</v>
      </c>
      <c r="C224" s="7">
        <v>45608</v>
      </c>
      <c r="D224" s="1" t="s">
        <v>41</v>
      </c>
      <c r="E224" s="1" t="s">
        <v>88</v>
      </c>
      <c r="F224" s="1">
        <v>3338</v>
      </c>
      <c r="G224" s="1">
        <v>277</v>
      </c>
      <c r="H224" s="1">
        <v>118</v>
      </c>
      <c r="I224" s="1">
        <v>60084</v>
      </c>
      <c r="J224" s="1">
        <v>59842</v>
      </c>
      <c r="K224" s="1">
        <v>252</v>
      </c>
      <c r="L224" s="1" t="s">
        <v>25</v>
      </c>
      <c r="M224" s="1" t="s">
        <v>359</v>
      </c>
      <c r="N224" s="1" t="s">
        <v>359</v>
      </c>
      <c r="O224" s="8" t="s">
        <v>360</v>
      </c>
      <c r="P224" s="15">
        <f>(Table1_147[[#This Row],[Likes]]+Table1_147[[#This Row],[Shares]]+Table1_147[[#This Row],[Comments]])/Table1_147[[#This Row],[Impressions]]</f>
        <v>6.2129685107516146E-2</v>
      </c>
      <c r="Q224" s="1">
        <f>(Table1_147[[#This Row],[Likes]]+Table1_147[[#This Row],[Shares]]+Table1_147[[#This Row],[Comments]])</f>
        <v>3733</v>
      </c>
    </row>
    <row r="225" spans="1:17" x14ac:dyDescent="0.3">
      <c r="A225" s="6" t="s">
        <v>277</v>
      </c>
      <c r="B225" s="1" t="s">
        <v>35</v>
      </c>
      <c r="C225" s="7">
        <v>45790</v>
      </c>
      <c r="D225" s="1" t="s">
        <v>41</v>
      </c>
      <c r="E225" s="1" t="s">
        <v>46</v>
      </c>
      <c r="F225" s="1">
        <v>602</v>
      </c>
      <c r="G225" s="1">
        <v>594</v>
      </c>
      <c r="H225" s="1">
        <v>156</v>
      </c>
      <c r="I225" s="1">
        <v>4214</v>
      </c>
      <c r="J225" s="1">
        <v>3363</v>
      </c>
      <c r="K225" s="1">
        <v>164</v>
      </c>
      <c r="L225" s="1" t="s">
        <v>25</v>
      </c>
      <c r="M225" s="1" t="s">
        <v>359</v>
      </c>
      <c r="N225" s="1" t="s">
        <v>359</v>
      </c>
      <c r="O225" s="8" t="s">
        <v>26</v>
      </c>
      <c r="P225" s="15">
        <f>(Table1_147[[#This Row],[Likes]]+Table1_147[[#This Row],[Shares]]+Table1_147[[#This Row],[Comments]])/Table1_147[[#This Row],[Impressions]]</f>
        <v>0.32083531086853345</v>
      </c>
      <c r="Q225" s="1">
        <f>(Table1_147[[#This Row],[Likes]]+Table1_147[[#This Row],[Shares]]+Table1_147[[#This Row],[Comments]])</f>
        <v>1352</v>
      </c>
    </row>
    <row r="226" spans="1:17" x14ac:dyDescent="0.3">
      <c r="A226" s="6" t="s">
        <v>278</v>
      </c>
      <c r="B226" s="1" t="s">
        <v>14</v>
      </c>
      <c r="C226" s="7">
        <v>45463</v>
      </c>
      <c r="D226" s="1" t="s">
        <v>36</v>
      </c>
      <c r="E226" s="1" t="s">
        <v>39</v>
      </c>
      <c r="F226" s="1">
        <v>4672</v>
      </c>
      <c r="G226" s="1">
        <v>325</v>
      </c>
      <c r="H226" s="1">
        <v>32</v>
      </c>
      <c r="I226" s="1">
        <v>88768</v>
      </c>
      <c r="J226" s="1">
        <v>87833</v>
      </c>
      <c r="K226" s="1">
        <v>118</v>
      </c>
      <c r="L226" s="1" t="s">
        <v>31</v>
      </c>
      <c r="M226" s="1" t="s">
        <v>359</v>
      </c>
      <c r="N226" s="1" t="s">
        <v>359</v>
      </c>
      <c r="O226" s="8" t="s">
        <v>360</v>
      </c>
      <c r="P226" s="15">
        <f>(Table1_147[[#This Row],[Likes]]+Table1_147[[#This Row],[Shares]]+Table1_147[[#This Row],[Comments]])/Table1_147[[#This Row],[Impressions]]</f>
        <v>5.6653298485940883E-2</v>
      </c>
      <c r="Q226" s="1">
        <f>(Table1_147[[#This Row],[Likes]]+Table1_147[[#This Row],[Shares]]+Table1_147[[#This Row],[Comments]])</f>
        <v>5029</v>
      </c>
    </row>
    <row r="227" spans="1:17" x14ac:dyDescent="0.3">
      <c r="A227" s="6" t="s">
        <v>279</v>
      </c>
      <c r="B227" s="1" t="s">
        <v>28</v>
      </c>
      <c r="C227" s="7">
        <v>45511</v>
      </c>
      <c r="D227" s="1" t="s">
        <v>36</v>
      </c>
      <c r="E227" s="1" t="s">
        <v>65</v>
      </c>
      <c r="F227" s="1">
        <v>1741</v>
      </c>
      <c r="G227" s="1">
        <v>164</v>
      </c>
      <c r="H227" s="1">
        <v>318</v>
      </c>
      <c r="I227" s="1">
        <v>8705</v>
      </c>
      <c r="J227" s="1">
        <v>8272</v>
      </c>
      <c r="K227" s="1">
        <v>121</v>
      </c>
      <c r="L227" s="1" t="s">
        <v>25</v>
      </c>
      <c r="M227" s="1" t="s">
        <v>359</v>
      </c>
      <c r="N227" s="1" t="s">
        <v>359</v>
      </c>
      <c r="O227" s="8" t="s">
        <v>360</v>
      </c>
      <c r="P227" s="15">
        <f>(Table1_147[[#This Row],[Likes]]+Table1_147[[#This Row],[Shares]]+Table1_147[[#This Row],[Comments]])/Table1_147[[#This Row],[Impressions]]</f>
        <v>0.25537047673750718</v>
      </c>
      <c r="Q227" s="1">
        <f>(Table1_147[[#This Row],[Likes]]+Table1_147[[#This Row],[Shares]]+Table1_147[[#This Row],[Comments]])</f>
        <v>2223</v>
      </c>
    </row>
    <row r="228" spans="1:17" x14ac:dyDescent="0.3">
      <c r="A228" s="6" t="s">
        <v>280</v>
      </c>
      <c r="B228" s="1" t="s">
        <v>28</v>
      </c>
      <c r="C228" s="7">
        <v>45455</v>
      </c>
      <c r="D228" s="1" t="s">
        <v>19</v>
      </c>
      <c r="E228" s="1" t="s">
        <v>78</v>
      </c>
      <c r="F228" s="1">
        <v>246</v>
      </c>
      <c r="G228" s="1">
        <v>149</v>
      </c>
      <c r="H228" s="1">
        <v>130</v>
      </c>
      <c r="I228" s="1">
        <v>4674</v>
      </c>
      <c r="J228" s="1">
        <v>4390</v>
      </c>
      <c r="K228" s="1">
        <v>217</v>
      </c>
      <c r="L228" s="1" t="s">
        <v>48</v>
      </c>
      <c r="M228" s="1" t="s">
        <v>359</v>
      </c>
      <c r="N228" s="1" t="s">
        <v>359</v>
      </c>
      <c r="O228" s="8" t="s">
        <v>26</v>
      </c>
      <c r="P228" s="15">
        <f>(Table1_147[[#This Row],[Likes]]+Table1_147[[#This Row],[Shares]]+Table1_147[[#This Row],[Comments]])/Table1_147[[#This Row],[Impressions]]</f>
        <v>0.11232349165596919</v>
      </c>
      <c r="Q228" s="1">
        <f>(Table1_147[[#This Row],[Likes]]+Table1_147[[#This Row],[Shares]]+Table1_147[[#This Row],[Comments]])</f>
        <v>525</v>
      </c>
    </row>
    <row r="229" spans="1:17" x14ac:dyDescent="0.3">
      <c r="A229" s="6" t="s">
        <v>281</v>
      </c>
      <c r="B229" s="1" t="s">
        <v>28</v>
      </c>
      <c r="C229" s="7">
        <v>45474</v>
      </c>
      <c r="D229" s="1" t="s">
        <v>29</v>
      </c>
      <c r="E229" s="1" t="s">
        <v>30</v>
      </c>
      <c r="F229" s="1">
        <v>4808</v>
      </c>
      <c r="G229" s="1">
        <v>772</v>
      </c>
      <c r="H229" s="1">
        <v>320</v>
      </c>
      <c r="I229" s="1">
        <v>72120</v>
      </c>
      <c r="J229" s="1">
        <v>71696</v>
      </c>
      <c r="K229" s="1">
        <v>195</v>
      </c>
      <c r="L229" s="1" t="s">
        <v>31</v>
      </c>
      <c r="M229" s="1" t="s">
        <v>359</v>
      </c>
      <c r="N229" s="1" t="s">
        <v>359</v>
      </c>
      <c r="O229" s="8" t="s">
        <v>17</v>
      </c>
      <c r="P229" s="15">
        <f>(Table1_147[[#This Row],[Likes]]+Table1_147[[#This Row],[Shares]]+Table1_147[[#This Row],[Comments]])/Table1_147[[#This Row],[Impressions]]</f>
        <v>8.1808097615085965E-2</v>
      </c>
      <c r="Q229" s="1">
        <f>(Table1_147[[#This Row],[Likes]]+Table1_147[[#This Row],[Shares]]+Table1_147[[#This Row],[Comments]])</f>
        <v>5900</v>
      </c>
    </row>
    <row r="230" spans="1:17" x14ac:dyDescent="0.3">
      <c r="A230" s="6" t="s">
        <v>282</v>
      </c>
      <c r="B230" s="1" t="s">
        <v>28</v>
      </c>
      <c r="C230" s="7">
        <v>45476</v>
      </c>
      <c r="D230" s="1" t="s">
        <v>36</v>
      </c>
      <c r="E230" s="1" t="s">
        <v>65</v>
      </c>
      <c r="F230" s="1">
        <v>4799</v>
      </c>
      <c r="G230" s="1">
        <v>694</v>
      </c>
      <c r="H230" s="1">
        <v>289</v>
      </c>
      <c r="I230" s="1">
        <v>43191</v>
      </c>
      <c r="J230" s="1">
        <v>42228</v>
      </c>
      <c r="K230" s="1">
        <v>118</v>
      </c>
      <c r="L230" s="1" t="s">
        <v>25</v>
      </c>
      <c r="M230" s="1" t="s">
        <v>359</v>
      </c>
      <c r="N230" s="1" t="s">
        <v>359</v>
      </c>
      <c r="O230" s="8" t="s">
        <v>360</v>
      </c>
      <c r="P230" s="15">
        <f>(Table1_147[[#This Row],[Likes]]+Table1_147[[#This Row],[Shares]]+Table1_147[[#This Row],[Comments]])/Table1_147[[#This Row],[Impressions]]</f>
        <v>0.13387048227640017</v>
      </c>
      <c r="Q230" s="1">
        <f>(Table1_147[[#This Row],[Likes]]+Table1_147[[#This Row],[Shares]]+Table1_147[[#This Row],[Comments]])</f>
        <v>5782</v>
      </c>
    </row>
    <row r="231" spans="1:17" x14ac:dyDescent="0.3">
      <c r="A231" s="6" t="s">
        <v>283</v>
      </c>
      <c r="B231" s="1" t="s">
        <v>35</v>
      </c>
      <c r="C231" s="7">
        <v>45488</v>
      </c>
      <c r="D231" s="1" t="s">
        <v>15</v>
      </c>
      <c r="E231" s="1" t="s">
        <v>50</v>
      </c>
      <c r="F231" s="1">
        <v>3663</v>
      </c>
      <c r="G231" s="1">
        <v>17</v>
      </c>
      <c r="H231" s="1">
        <v>295</v>
      </c>
      <c r="I231" s="1">
        <v>51282</v>
      </c>
      <c r="J231" s="1">
        <v>50567</v>
      </c>
      <c r="K231" s="1">
        <v>84</v>
      </c>
      <c r="L231" s="1" t="s">
        <v>31</v>
      </c>
      <c r="M231" s="1" t="s">
        <v>359</v>
      </c>
      <c r="N231" s="1" t="s">
        <v>359</v>
      </c>
      <c r="O231" s="8" t="s">
        <v>26</v>
      </c>
      <c r="P231" s="15">
        <f>(Table1_147[[#This Row],[Likes]]+Table1_147[[#This Row],[Shares]]+Table1_147[[#This Row],[Comments]])/Table1_147[[#This Row],[Impressions]]</f>
        <v>7.7512577512577507E-2</v>
      </c>
      <c r="Q231" s="1">
        <f>(Table1_147[[#This Row],[Likes]]+Table1_147[[#This Row],[Shares]]+Table1_147[[#This Row],[Comments]])</f>
        <v>3975</v>
      </c>
    </row>
    <row r="232" spans="1:17" x14ac:dyDescent="0.3">
      <c r="A232" s="6" t="s">
        <v>284</v>
      </c>
      <c r="B232" s="1" t="s">
        <v>28</v>
      </c>
      <c r="C232" s="7">
        <v>45778</v>
      </c>
      <c r="D232" s="1" t="s">
        <v>19</v>
      </c>
      <c r="E232" s="1" t="s">
        <v>78</v>
      </c>
      <c r="F232" s="1">
        <v>1430</v>
      </c>
      <c r="G232" s="1">
        <v>376</v>
      </c>
      <c r="H232" s="1">
        <v>33</v>
      </c>
      <c r="I232" s="1">
        <v>21450</v>
      </c>
      <c r="J232" s="1">
        <v>20509</v>
      </c>
      <c r="K232" s="1">
        <v>251</v>
      </c>
      <c r="L232" s="1" t="s">
        <v>48</v>
      </c>
      <c r="M232" s="1" t="s">
        <v>359</v>
      </c>
      <c r="N232" s="1" t="s">
        <v>359</v>
      </c>
      <c r="O232" s="8" t="s">
        <v>17</v>
      </c>
      <c r="P232" s="15">
        <f>(Table1_147[[#This Row],[Likes]]+Table1_147[[#This Row],[Shares]]+Table1_147[[#This Row],[Comments]])/Table1_147[[#This Row],[Impressions]]</f>
        <v>8.5734265734265735E-2</v>
      </c>
      <c r="Q232" s="1">
        <f>(Table1_147[[#This Row],[Likes]]+Table1_147[[#This Row],[Shares]]+Table1_147[[#This Row],[Comments]])</f>
        <v>1839</v>
      </c>
    </row>
    <row r="233" spans="1:17" x14ac:dyDescent="0.3">
      <c r="A233" s="6" t="s">
        <v>285</v>
      </c>
      <c r="B233" s="1" t="s">
        <v>14</v>
      </c>
      <c r="C233" s="7">
        <v>45776</v>
      </c>
      <c r="D233" s="1" t="s">
        <v>29</v>
      </c>
      <c r="E233" s="1" t="s">
        <v>98</v>
      </c>
      <c r="F233" s="1">
        <v>249</v>
      </c>
      <c r="G233" s="1">
        <v>592</v>
      </c>
      <c r="H233" s="1">
        <v>230</v>
      </c>
      <c r="I233" s="1">
        <v>1494</v>
      </c>
      <c r="J233" s="1">
        <v>1044</v>
      </c>
      <c r="K233" s="1">
        <v>201</v>
      </c>
      <c r="L233" s="1" t="s">
        <v>31</v>
      </c>
      <c r="M233" s="1" t="s">
        <v>359</v>
      </c>
      <c r="N233" s="1" t="s">
        <v>359</v>
      </c>
      <c r="O233" s="8" t="s">
        <v>32</v>
      </c>
      <c r="P233" s="15">
        <f>(Table1_147[[#This Row],[Likes]]+Table1_147[[#This Row],[Shares]]+Table1_147[[#This Row],[Comments]])/Table1_147[[#This Row],[Impressions]]</f>
        <v>0.7168674698795181</v>
      </c>
      <c r="Q233" s="1">
        <f>(Table1_147[[#This Row],[Likes]]+Table1_147[[#This Row],[Shares]]+Table1_147[[#This Row],[Comments]])</f>
        <v>1071</v>
      </c>
    </row>
    <row r="234" spans="1:17" x14ac:dyDescent="0.3">
      <c r="A234" s="6" t="s">
        <v>286</v>
      </c>
      <c r="B234" s="1" t="s">
        <v>35</v>
      </c>
      <c r="C234" s="7">
        <v>45724</v>
      </c>
      <c r="D234" s="1" t="s">
        <v>41</v>
      </c>
      <c r="E234" s="1" t="s">
        <v>46</v>
      </c>
      <c r="F234" s="1">
        <v>2382</v>
      </c>
      <c r="G234" s="1">
        <v>265</v>
      </c>
      <c r="H234" s="1">
        <v>134</v>
      </c>
      <c r="I234" s="1">
        <v>38112</v>
      </c>
      <c r="J234" s="1">
        <v>37437</v>
      </c>
      <c r="K234" s="1">
        <v>249</v>
      </c>
      <c r="L234" s="1" t="s">
        <v>48</v>
      </c>
      <c r="M234" s="1" t="s">
        <v>359</v>
      </c>
      <c r="N234" s="1" t="s">
        <v>359</v>
      </c>
      <c r="O234" s="8" t="s">
        <v>32</v>
      </c>
      <c r="P234" s="15">
        <f>(Table1_147[[#This Row],[Likes]]+Table1_147[[#This Row],[Shares]]+Table1_147[[#This Row],[Comments]])/Table1_147[[#This Row],[Impressions]]</f>
        <v>7.2969143576826198E-2</v>
      </c>
      <c r="Q234" s="1">
        <f>(Table1_147[[#This Row],[Likes]]+Table1_147[[#This Row],[Shares]]+Table1_147[[#This Row],[Comments]])</f>
        <v>2781</v>
      </c>
    </row>
    <row r="235" spans="1:17" x14ac:dyDescent="0.3">
      <c r="A235" s="6" t="s">
        <v>287</v>
      </c>
      <c r="B235" s="1" t="s">
        <v>35</v>
      </c>
      <c r="C235" s="7">
        <v>45444</v>
      </c>
      <c r="D235" s="1" t="s">
        <v>19</v>
      </c>
      <c r="E235" s="1" t="s">
        <v>44</v>
      </c>
      <c r="F235" s="1">
        <v>1272</v>
      </c>
      <c r="G235" s="1">
        <v>465</v>
      </c>
      <c r="H235" s="1">
        <v>99</v>
      </c>
      <c r="I235" s="1">
        <v>24168</v>
      </c>
      <c r="J235" s="1">
        <v>23719</v>
      </c>
      <c r="K235" s="1">
        <v>42</v>
      </c>
      <c r="L235" s="1" t="s">
        <v>25</v>
      </c>
      <c r="M235" s="1" t="s">
        <v>359</v>
      </c>
      <c r="N235" s="1" t="s">
        <v>359</v>
      </c>
      <c r="O235" s="8" t="s">
        <v>360</v>
      </c>
      <c r="P235" s="15">
        <f>(Table1_147[[#This Row],[Likes]]+Table1_147[[#This Row],[Shares]]+Table1_147[[#This Row],[Comments]])/Table1_147[[#This Row],[Impressions]]</f>
        <v>7.5968222442899705E-2</v>
      </c>
      <c r="Q235" s="1">
        <f>(Table1_147[[#This Row],[Likes]]+Table1_147[[#This Row],[Shares]]+Table1_147[[#This Row],[Comments]])</f>
        <v>1836</v>
      </c>
    </row>
    <row r="236" spans="1:17" x14ac:dyDescent="0.3">
      <c r="A236" s="6" t="s">
        <v>288</v>
      </c>
      <c r="B236" s="1" t="s">
        <v>35</v>
      </c>
      <c r="C236" s="7">
        <v>45648</v>
      </c>
      <c r="D236" s="1" t="s">
        <v>41</v>
      </c>
      <c r="E236" s="1" t="s">
        <v>46</v>
      </c>
      <c r="F236" s="1">
        <v>3196</v>
      </c>
      <c r="G236" s="1">
        <v>941</v>
      </c>
      <c r="H236" s="1">
        <v>376</v>
      </c>
      <c r="I236" s="1">
        <v>35156</v>
      </c>
      <c r="J236" s="1">
        <v>34444</v>
      </c>
      <c r="K236" s="1">
        <v>241</v>
      </c>
      <c r="L236" s="1" t="s">
        <v>25</v>
      </c>
      <c r="M236" s="1" t="s">
        <v>359</v>
      </c>
      <c r="N236" s="1" t="s">
        <v>359</v>
      </c>
      <c r="O236" s="8" t="s">
        <v>26</v>
      </c>
      <c r="P236" s="15">
        <f>(Table1_147[[#This Row],[Likes]]+Table1_147[[#This Row],[Shares]]+Table1_147[[#This Row],[Comments]])/Table1_147[[#This Row],[Impressions]]</f>
        <v>0.1283706906360223</v>
      </c>
      <c r="Q236" s="1">
        <f>(Table1_147[[#This Row],[Likes]]+Table1_147[[#This Row],[Shares]]+Table1_147[[#This Row],[Comments]])</f>
        <v>4513</v>
      </c>
    </row>
    <row r="237" spans="1:17" x14ac:dyDescent="0.3">
      <c r="A237" s="6" t="s">
        <v>289</v>
      </c>
      <c r="B237" s="1" t="s">
        <v>35</v>
      </c>
      <c r="C237" s="7">
        <v>45523</v>
      </c>
      <c r="D237" s="1" t="s">
        <v>19</v>
      </c>
      <c r="E237" s="1" t="s">
        <v>44</v>
      </c>
      <c r="F237" s="1">
        <v>1257</v>
      </c>
      <c r="G237" s="1">
        <v>19</v>
      </c>
      <c r="H237" s="1">
        <v>351</v>
      </c>
      <c r="I237" s="1">
        <v>12570</v>
      </c>
      <c r="J237" s="1">
        <v>11660</v>
      </c>
      <c r="K237" s="1">
        <v>194</v>
      </c>
      <c r="L237" s="1" t="s">
        <v>48</v>
      </c>
      <c r="M237" s="1" t="s">
        <v>354</v>
      </c>
      <c r="N237" s="1" t="s">
        <v>31</v>
      </c>
      <c r="O237" s="8" t="s">
        <v>21</v>
      </c>
      <c r="P237" s="15">
        <f>(Table1_147[[#This Row],[Likes]]+Table1_147[[#This Row],[Shares]]+Table1_147[[#This Row],[Comments]])/Table1_147[[#This Row],[Impressions]]</f>
        <v>0.12943516308671441</v>
      </c>
      <c r="Q237" s="1">
        <f>(Table1_147[[#This Row],[Likes]]+Table1_147[[#This Row],[Shares]]+Table1_147[[#This Row],[Comments]])</f>
        <v>1627</v>
      </c>
    </row>
    <row r="238" spans="1:17" x14ac:dyDescent="0.3">
      <c r="A238" s="6" t="s">
        <v>290</v>
      </c>
      <c r="B238" s="1" t="s">
        <v>28</v>
      </c>
      <c r="C238" s="7">
        <v>45587</v>
      </c>
      <c r="D238" s="1" t="s">
        <v>29</v>
      </c>
      <c r="E238" s="1" t="s">
        <v>30</v>
      </c>
      <c r="F238" s="1">
        <v>3770</v>
      </c>
      <c r="G238" s="1">
        <v>917</v>
      </c>
      <c r="H238" s="1">
        <v>129</v>
      </c>
      <c r="I238" s="1">
        <v>71630</v>
      </c>
      <c r="J238" s="1">
        <v>71322</v>
      </c>
      <c r="K238" s="1">
        <v>76</v>
      </c>
      <c r="L238" s="1" t="s">
        <v>48</v>
      </c>
      <c r="M238" s="1" t="s">
        <v>359</v>
      </c>
      <c r="N238" s="1" t="s">
        <v>359</v>
      </c>
      <c r="O238" s="8" t="s">
        <v>17</v>
      </c>
      <c r="P238" s="15">
        <f>(Table1_147[[#This Row],[Likes]]+Table1_147[[#This Row],[Shares]]+Table1_147[[#This Row],[Comments]])/Table1_147[[#This Row],[Impressions]]</f>
        <v>6.7234398994834563E-2</v>
      </c>
      <c r="Q238" s="1">
        <f>(Table1_147[[#This Row],[Likes]]+Table1_147[[#This Row],[Shares]]+Table1_147[[#This Row],[Comments]])</f>
        <v>4816</v>
      </c>
    </row>
    <row r="239" spans="1:17" x14ac:dyDescent="0.3">
      <c r="A239" s="6" t="s">
        <v>291</v>
      </c>
      <c r="B239" s="1" t="s">
        <v>14</v>
      </c>
      <c r="C239" s="7">
        <v>45489</v>
      </c>
      <c r="D239" s="1" t="s">
        <v>19</v>
      </c>
      <c r="E239" s="1" t="s">
        <v>20</v>
      </c>
      <c r="F239" s="1">
        <v>4725</v>
      </c>
      <c r="G239" s="1">
        <v>400</v>
      </c>
      <c r="H239" s="1">
        <v>362</v>
      </c>
      <c r="I239" s="1">
        <v>75600</v>
      </c>
      <c r="J239" s="1">
        <v>74927</v>
      </c>
      <c r="K239" s="1">
        <v>43</v>
      </c>
      <c r="L239" s="1" t="s">
        <v>48</v>
      </c>
      <c r="M239" s="1" t="s">
        <v>359</v>
      </c>
      <c r="N239" s="1" t="s">
        <v>359</v>
      </c>
      <c r="O239" s="8" t="s">
        <v>32</v>
      </c>
      <c r="P239" s="15">
        <f>(Table1_147[[#This Row],[Likes]]+Table1_147[[#This Row],[Shares]]+Table1_147[[#This Row],[Comments]])/Table1_147[[#This Row],[Impressions]]</f>
        <v>7.2579365079365077E-2</v>
      </c>
      <c r="Q239" s="1">
        <f>(Table1_147[[#This Row],[Likes]]+Table1_147[[#This Row],[Shares]]+Table1_147[[#This Row],[Comments]])</f>
        <v>5487</v>
      </c>
    </row>
    <row r="240" spans="1:17" x14ac:dyDescent="0.3">
      <c r="A240" s="6" t="s">
        <v>292</v>
      </c>
      <c r="B240" s="1" t="s">
        <v>23</v>
      </c>
      <c r="C240" s="7">
        <v>45712</v>
      </c>
      <c r="D240" s="1" t="s">
        <v>19</v>
      </c>
      <c r="E240" s="1" t="s">
        <v>73</v>
      </c>
      <c r="F240" s="1">
        <v>4188</v>
      </c>
      <c r="G240" s="1">
        <v>942</v>
      </c>
      <c r="H240" s="1">
        <v>118</v>
      </c>
      <c r="I240" s="1">
        <v>20940</v>
      </c>
      <c r="J240" s="1">
        <v>20471</v>
      </c>
      <c r="K240" s="1">
        <v>102</v>
      </c>
      <c r="L240" s="1" t="s">
        <v>48</v>
      </c>
      <c r="M240" s="1" t="s">
        <v>359</v>
      </c>
      <c r="N240" s="1" t="s">
        <v>359</v>
      </c>
      <c r="O240" s="8" t="s">
        <v>360</v>
      </c>
      <c r="P240" s="15">
        <f>(Table1_147[[#This Row],[Likes]]+Table1_147[[#This Row],[Shares]]+Table1_147[[#This Row],[Comments]])/Table1_147[[#This Row],[Impressions]]</f>
        <v>0.25062082139446035</v>
      </c>
      <c r="Q240" s="1">
        <f>(Table1_147[[#This Row],[Likes]]+Table1_147[[#This Row],[Shares]]+Table1_147[[#This Row],[Comments]])</f>
        <v>5248</v>
      </c>
    </row>
    <row r="241" spans="1:17" x14ac:dyDescent="0.3">
      <c r="A241" s="6" t="s">
        <v>293</v>
      </c>
      <c r="B241" s="1" t="s">
        <v>14</v>
      </c>
      <c r="C241" s="7">
        <v>45530</v>
      </c>
      <c r="D241" s="1" t="s">
        <v>36</v>
      </c>
      <c r="E241" s="1" t="s">
        <v>39</v>
      </c>
      <c r="F241" s="1">
        <v>929</v>
      </c>
      <c r="G241" s="1">
        <v>192</v>
      </c>
      <c r="H241" s="1">
        <v>322</v>
      </c>
      <c r="I241" s="1">
        <v>16722</v>
      </c>
      <c r="J241" s="1">
        <v>15996</v>
      </c>
      <c r="K241" s="1">
        <v>145</v>
      </c>
      <c r="L241" s="1" t="s">
        <v>31</v>
      </c>
      <c r="M241" s="1" t="s">
        <v>25</v>
      </c>
      <c r="N241" s="1" t="s">
        <v>354</v>
      </c>
      <c r="O241" s="8" t="s">
        <v>26</v>
      </c>
      <c r="P241" s="15">
        <f>(Table1_147[[#This Row],[Likes]]+Table1_147[[#This Row],[Shares]]+Table1_147[[#This Row],[Comments]])/Table1_147[[#This Row],[Impressions]]</f>
        <v>8.6293505561535699E-2</v>
      </c>
      <c r="Q241" s="1">
        <f>(Table1_147[[#This Row],[Likes]]+Table1_147[[#This Row],[Shares]]+Table1_147[[#This Row],[Comments]])</f>
        <v>1443</v>
      </c>
    </row>
    <row r="242" spans="1:17" x14ac:dyDescent="0.3">
      <c r="A242" s="6" t="s">
        <v>294</v>
      </c>
      <c r="B242" s="1" t="s">
        <v>35</v>
      </c>
      <c r="C242" s="7">
        <v>45675</v>
      </c>
      <c r="D242" s="1" t="s">
        <v>29</v>
      </c>
      <c r="E242" s="1" t="s">
        <v>54</v>
      </c>
      <c r="F242" s="1">
        <v>4321</v>
      </c>
      <c r="G242" s="1">
        <v>874</v>
      </c>
      <c r="H242" s="1">
        <v>172</v>
      </c>
      <c r="I242" s="1">
        <v>30247</v>
      </c>
      <c r="J242" s="1">
        <v>29254</v>
      </c>
      <c r="K242" s="1">
        <v>122</v>
      </c>
      <c r="L242" s="1" t="s">
        <v>25</v>
      </c>
      <c r="M242" s="1" t="s">
        <v>359</v>
      </c>
      <c r="N242" s="1" t="s">
        <v>359</v>
      </c>
      <c r="O242" s="8" t="s">
        <v>32</v>
      </c>
      <c r="P242" s="15">
        <f>(Table1_147[[#This Row],[Likes]]+Table1_147[[#This Row],[Shares]]+Table1_147[[#This Row],[Comments]])/Table1_147[[#This Row],[Impressions]]</f>
        <v>0.17743908486792079</v>
      </c>
      <c r="Q242" s="1">
        <f>(Table1_147[[#This Row],[Likes]]+Table1_147[[#This Row],[Shares]]+Table1_147[[#This Row],[Comments]])</f>
        <v>5367</v>
      </c>
    </row>
    <row r="243" spans="1:17" x14ac:dyDescent="0.3">
      <c r="A243" s="6" t="s">
        <v>295</v>
      </c>
      <c r="B243" s="1" t="s">
        <v>35</v>
      </c>
      <c r="C243" s="7">
        <v>45480</v>
      </c>
      <c r="D243" s="1" t="s">
        <v>15</v>
      </c>
      <c r="E243" s="1" t="s">
        <v>50</v>
      </c>
      <c r="F243" s="1">
        <v>4767</v>
      </c>
      <c r="G243" s="1">
        <v>190</v>
      </c>
      <c r="H243" s="1">
        <v>340</v>
      </c>
      <c r="I243" s="1">
        <v>28602</v>
      </c>
      <c r="J243" s="1">
        <v>28044</v>
      </c>
      <c r="K243" s="1">
        <v>210</v>
      </c>
      <c r="L243" s="1" t="s">
        <v>31</v>
      </c>
      <c r="M243" s="1" t="s">
        <v>359</v>
      </c>
      <c r="N243" s="1" t="s">
        <v>359</v>
      </c>
      <c r="O243" s="8" t="s">
        <v>26</v>
      </c>
      <c r="P243" s="15">
        <f>(Table1_147[[#This Row],[Likes]]+Table1_147[[#This Row],[Shares]]+Table1_147[[#This Row],[Comments]])/Table1_147[[#This Row],[Impressions]]</f>
        <v>0.18519683938186141</v>
      </c>
      <c r="Q243" s="1">
        <f>(Table1_147[[#This Row],[Likes]]+Table1_147[[#This Row],[Shares]]+Table1_147[[#This Row],[Comments]])</f>
        <v>5297</v>
      </c>
    </row>
    <row r="244" spans="1:17" x14ac:dyDescent="0.3">
      <c r="A244" s="6" t="s">
        <v>296</v>
      </c>
      <c r="B244" s="1" t="s">
        <v>14</v>
      </c>
      <c r="C244" s="7">
        <v>45722</v>
      </c>
      <c r="D244" s="1" t="s">
        <v>41</v>
      </c>
      <c r="E244" s="1" t="s">
        <v>88</v>
      </c>
      <c r="F244" s="1">
        <v>3592</v>
      </c>
      <c r="G244" s="1">
        <v>911</v>
      </c>
      <c r="H244" s="1">
        <v>375</v>
      </c>
      <c r="I244" s="1">
        <v>50288</v>
      </c>
      <c r="J244" s="1">
        <v>49490</v>
      </c>
      <c r="K244" s="1">
        <v>32</v>
      </c>
      <c r="L244" s="1" t="s">
        <v>48</v>
      </c>
      <c r="M244" s="1" t="s">
        <v>359</v>
      </c>
      <c r="N244" s="1" t="s">
        <v>359</v>
      </c>
      <c r="O244" s="8" t="s">
        <v>32</v>
      </c>
      <c r="P244" s="15">
        <f>(Table1_147[[#This Row],[Likes]]+Table1_147[[#This Row],[Shares]]+Table1_147[[#This Row],[Comments]])/Table1_147[[#This Row],[Impressions]]</f>
        <v>9.7001272669424113E-2</v>
      </c>
      <c r="Q244" s="1">
        <f>(Table1_147[[#This Row],[Likes]]+Table1_147[[#This Row],[Shares]]+Table1_147[[#This Row],[Comments]])</f>
        <v>4878</v>
      </c>
    </row>
    <row r="245" spans="1:17" x14ac:dyDescent="0.3">
      <c r="A245" s="6" t="s">
        <v>297</v>
      </c>
      <c r="B245" s="1" t="s">
        <v>23</v>
      </c>
      <c r="C245" s="7">
        <v>45590</v>
      </c>
      <c r="D245" s="1" t="s">
        <v>56</v>
      </c>
      <c r="E245" s="1" t="s">
        <v>136</v>
      </c>
      <c r="F245" s="1">
        <v>4661</v>
      </c>
      <c r="G245" s="1">
        <v>935</v>
      </c>
      <c r="H245" s="1">
        <v>433</v>
      </c>
      <c r="I245" s="1">
        <v>23305</v>
      </c>
      <c r="J245" s="1">
        <v>22583</v>
      </c>
      <c r="K245" s="1">
        <v>63</v>
      </c>
      <c r="L245" s="1" t="s">
        <v>48</v>
      </c>
      <c r="M245" s="1" t="s">
        <v>359</v>
      </c>
      <c r="N245" s="1" t="s">
        <v>359</v>
      </c>
      <c r="O245" s="8" t="s">
        <v>26</v>
      </c>
      <c r="P245" s="15">
        <f>(Table1_147[[#This Row],[Likes]]+Table1_147[[#This Row],[Shares]]+Table1_147[[#This Row],[Comments]])/Table1_147[[#This Row],[Impressions]]</f>
        <v>0.25869984981763572</v>
      </c>
      <c r="Q245" s="1">
        <f>(Table1_147[[#This Row],[Likes]]+Table1_147[[#This Row],[Shares]]+Table1_147[[#This Row],[Comments]])</f>
        <v>6029</v>
      </c>
    </row>
    <row r="246" spans="1:17" x14ac:dyDescent="0.3">
      <c r="A246" s="6" t="s">
        <v>298</v>
      </c>
      <c r="B246" s="1" t="s">
        <v>35</v>
      </c>
      <c r="C246" s="7">
        <v>45669</v>
      </c>
      <c r="D246" s="1" t="s">
        <v>15</v>
      </c>
      <c r="E246" s="1" t="s">
        <v>50</v>
      </c>
      <c r="F246" s="1">
        <v>4134</v>
      </c>
      <c r="G246" s="1">
        <v>824</v>
      </c>
      <c r="H246" s="1">
        <v>99</v>
      </c>
      <c r="I246" s="1">
        <v>41340</v>
      </c>
      <c r="J246" s="1">
        <v>41050</v>
      </c>
      <c r="K246" s="1">
        <v>177</v>
      </c>
      <c r="L246" s="1" t="s">
        <v>31</v>
      </c>
      <c r="M246" s="1" t="s">
        <v>359</v>
      </c>
      <c r="N246" s="1" t="s">
        <v>359</v>
      </c>
      <c r="O246" s="8" t="s">
        <v>17</v>
      </c>
      <c r="P246" s="15">
        <f>(Table1_147[[#This Row],[Likes]]+Table1_147[[#This Row],[Shares]]+Table1_147[[#This Row],[Comments]])/Table1_147[[#This Row],[Impressions]]</f>
        <v>0.12232704402515723</v>
      </c>
      <c r="Q246" s="1">
        <f>(Table1_147[[#This Row],[Likes]]+Table1_147[[#This Row],[Shares]]+Table1_147[[#This Row],[Comments]])</f>
        <v>5057</v>
      </c>
    </row>
    <row r="247" spans="1:17" x14ac:dyDescent="0.3">
      <c r="A247" s="6" t="s">
        <v>299</v>
      </c>
      <c r="B247" s="1" t="s">
        <v>35</v>
      </c>
      <c r="C247" s="7">
        <v>45576</v>
      </c>
      <c r="D247" s="1" t="s">
        <v>41</v>
      </c>
      <c r="E247" s="1" t="s">
        <v>46</v>
      </c>
      <c r="F247" s="1">
        <v>400</v>
      </c>
      <c r="G247" s="1">
        <v>680</v>
      </c>
      <c r="H247" s="1">
        <v>434</v>
      </c>
      <c r="I247" s="1">
        <v>6400</v>
      </c>
      <c r="J247" s="1">
        <v>5472</v>
      </c>
      <c r="K247" s="1">
        <v>160</v>
      </c>
      <c r="L247" s="1" t="s">
        <v>48</v>
      </c>
      <c r="M247" s="1" t="s">
        <v>359</v>
      </c>
      <c r="N247" s="1" t="s">
        <v>359</v>
      </c>
      <c r="O247" s="8" t="s">
        <v>21</v>
      </c>
      <c r="P247" s="15">
        <f>(Table1_147[[#This Row],[Likes]]+Table1_147[[#This Row],[Shares]]+Table1_147[[#This Row],[Comments]])/Table1_147[[#This Row],[Impressions]]</f>
        <v>0.23656250000000001</v>
      </c>
      <c r="Q247" s="1">
        <f>(Table1_147[[#This Row],[Likes]]+Table1_147[[#This Row],[Shares]]+Table1_147[[#This Row],[Comments]])</f>
        <v>1514</v>
      </c>
    </row>
    <row r="248" spans="1:17" x14ac:dyDescent="0.3">
      <c r="A248" s="6" t="s">
        <v>300</v>
      </c>
      <c r="B248" s="1" t="s">
        <v>35</v>
      </c>
      <c r="C248" s="7">
        <v>45531</v>
      </c>
      <c r="D248" s="1" t="s">
        <v>15</v>
      </c>
      <c r="E248" s="1" t="s">
        <v>50</v>
      </c>
      <c r="F248" s="1">
        <v>3960</v>
      </c>
      <c r="G248" s="1">
        <v>266</v>
      </c>
      <c r="H248" s="1">
        <v>8</v>
      </c>
      <c r="I248" s="1">
        <v>35640</v>
      </c>
      <c r="J248" s="1">
        <v>34850</v>
      </c>
      <c r="K248" s="1">
        <v>208</v>
      </c>
      <c r="L248" s="1" t="s">
        <v>48</v>
      </c>
      <c r="M248" s="1" t="s">
        <v>31</v>
      </c>
      <c r="N248" s="1" t="s">
        <v>355</v>
      </c>
      <c r="O248" s="8" t="s">
        <v>360</v>
      </c>
      <c r="P248" s="15">
        <f>(Table1_147[[#This Row],[Likes]]+Table1_147[[#This Row],[Shares]]+Table1_147[[#This Row],[Comments]])/Table1_147[[#This Row],[Impressions]]</f>
        <v>0.11879910213243547</v>
      </c>
      <c r="Q248" s="1">
        <f>(Table1_147[[#This Row],[Likes]]+Table1_147[[#This Row],[Shares]]+Table1_147[[#This Row],[Comments]])</f>
        <v>4234</v>
      </c>
    </row>
    <row r="249" spans="1:17" x14ac:dyDescent="0.3">
      <c r="A249" s="6" t="s">
        <v>301</v>
      </c>
      <c r="B249" s="1" t="s">
        <v>35</v>
      </c>
      <c r="C249" s="7">
        <v>45690</v>
      </c>
      <c r="D249" s="1" t="s">
        <v>29</v>
      </c>
      <c r="E249" s="1" t="s">
        <v>54</v>
      </c>
      <c r="F249" s="1">
        <v>886</v>
      </c>
      <c r="G249" s="1">
        <v>126</v>
      </c>
      <c r="H249" s="1">
        <v>153</v>
      </c>
      <c r="I249" s="1">
        <v>4430</v>
      </c>
      <c r="J249" s="1">
        <v>4037</v>
      </c>
      <c r="K249" s="1">
        <v>212</v>
      </c>
      <c r="L249" s="1" t="s">
        <v>31</v>
      </c>
      <c r="M249" s="1" t="s">
        <v>359</v>
      </c>
      <c r="N249" s="1" t="s">
        <v>359</v>
      </c>
      <c r="O249" s="8" t="s">
        <v>360</v>
      </c>
      <c r="P249" s="15">
        <f>(Table1_147[[#This Row],[Likes]]+Table1_147[[#This Row],[Shares]]+Table1_147[[#This Row],[Comments]])/Table1_147[[#This Row],[Impressions]]</f>
        <v>0.26297968397291194</v>
      </c>
      <c r="Q249" s="1">
        <f>(Table1_147[[#This Row],[Likes]]+Table1_147[[#This Row],[Shares]]+Table1_147[[#This Row],[Comments]])</f>
        <v>1165</v>
      </c>
    </row>
    <row r="250" spans="1:17" x14ac:dyDescent="0.3">
      <c r="A250" s="6" t="s">
        <v>302</v>
      </c>
      <c r="B250" s="1" t="s">
        <v>14</v>
      </c>
      <c r="C250" s="7">
        <v>45491</v>
      </c>
      <c r="D250" s="1" t="s">
        <v>41</v>
      </c>
      <c r="E250" s="1" t="s">
        <v>88</v>
      </c>
      <c r="F250" s="1">
        <v>827</v>
      </c>
      <c r="G250" s="1">
        <v>77</v>
      </c>
      <c r="H250" s="1">
        <v>402</v>
      </c>
      <c r="I250" s="1">
        <v>14886</v>
      </c>
      <c r="J250" s="1">
        <v>14129</v>
      </c>
      <c r="K250" s="1">
        <v>254</v>
      </c>
      <c r="L250" s="1" t="s">
        <v>31</v>
      </c>
      <c r="M250" s="1" t="s">
        <v>359</v>
      </c>
      <c r="N250" s="1" t="s">
        <v>359</v>
      </c>
      <c r="O250" s="8" t="s">
        <v>21</v>
      </c>
      <c r="P250" s="15">
        <f>(Table1_147[[#This Row],[Likes]]+Table1_147[[#This Row],[Shares]]+Table1_147[[#This Row],[Comments]])/Table1_147[[#This Row],[Impressions]]</f>
        <v>8.7733440816874911E-2</v>
      </c>
      <c r="Q250" s="1">
        <f>(Table1_147[[#This Row],[Likes]]+Table1_147[[#This Row],[Shares]]+Table1_147[[#This Row],[Comments]])</f>
        <v>1306</v>
      </c>
    </row>
    <row r="251" spans="1:17" x14ac:dyDescent="0.3">
      <c r="A251" s="6" t="s">
        <v>303</v>
      </c>
      <c r="B251" s="1" t="s">
        <v>35</v>
      </c>
      <c r="C251" s="7">
        <v>45465</v>
      </c>
      <c r="D251" s="1" t="s">
        <v>15</v>
      </c>
      <c r="E251" s="1" t="s">
        <v>50</v>
      </c>
      <c r="F251" s="1">
        <v>3813</v>
      </c>
      <c r="G251" s="1">
        <v>935</v>
      </c>
      <c r="H251" s="1">
        <v>274</v>
      </c>
      <c r="I251" s="1">
        <v>68634</v>
      </c>
      <c r="J251" s="1">
        <v>68488</v>
      </c>
      <c r="K251" s="1">
        <v>251</v>
      </c>
      <c r="L251" s="1" t="s">
        <v>48</v>
      </c>
      <c r="M251" s="1" t="s">
        <v>359</v>
      </c>
      <c r="N251" s="1" t="s">
        <v>359</v>
      </c>
      <c r="O251" s="8" t="s">
        <v>360</v>
      </c>
      <c r="P251" s="15">
        <f>(Table1_147[[#This Row],[Likes]]+Table1_147[[#This Row],[Shares]]+Table1_147[[#This Row],[Comments]])/Table1_147[[#This Row],[Impressions]]</f>
        <v>7.3170731707317069E-2</v>
      </c>
      <c r="Q251" s="1">
        <f>(Table1_147[[#This Row],[Likes]]+Table1_147[[#This Row],[Shares]]+Table1_147[[#This Row],[Comments]])</f>
        <v>5022</v>
      </c>
    </row>
    <row r="252" spans="1:17" x14ac:dyDescent="0.3">
      <c r="A252" s="6" t="s">
        <v>304</v>
      </c>
      <c r="B252" s="1" t="s">
        <v>28</v>
      </c>
      <c r="C252" s="7">
        <v>45743</v>
      </c>
      <c r="D252" s="1" t="s">
        <v>36</v>
      </c>
      <c r="E252" s="1" t="s">
        <v>65</v>
      </c>
      <c r="F252" s="1">
        <v>1377</v>
      </c>
      <c r="G252" s="1">
        <v>796</v>
      </c>
      <c r="H252" s="1">
        <v>387</v>
      </c>
      <c r="I252" s="1">
        <v>22032</v>
      </c>
      <c r="J252" s="1">
        <v>21869</v>
      </c>
      <c r="K252" s="1">
        <v>189</v>
      </c>
      <c r="L252" s="1" t="s">
        <v>48</v>
      </c>
      <c r="M252" s="1" t="s">
        <v>359</v>
      </c>
      <c r="N252" s="1" t="s">
        <v>359</v>
      </c>
      <c r="O252" s="8" t="s">
        <v>360</v>
      </c>
      <c r="P252" s="15">
        <f>(Table1_147[[#This Row],[Likes]]+Table1_147[[#This Row],[Shares]]+Table1_147[[#This Row],[Comments]])/Table1_147[[#This Row],[Impressions]]</f>
        <v>0.11619462599854757</v>
      </c>
      <c r="Q252" s="1">
        <f>(Table1_147[[#This Row],[Likes]]+Table1_147[[#This Row],[Shares]]+Table1_147[[#This Row],[Comments]])</f>
        <v>2560</v>
      </c>
    </row>
    <row r="253" spans="1:17" x14ac:dyDescent="0.3">
      <c r="A253" s="6" t="s">
        <v>305</v>
      </c>
      <c r="B253" s="1" t="s">
        <v>35</v>
      </c>
      <c r="C253" s="7">
        <v>45775</v>
      </c>
      <c r="D253" s="1" t="s">
        <v>36</v>
      </c>
      <c r="E253" s="1" t="s">
        <v>37</v>
      </c>
      <c r="F253" s="1">
        <v>2089</v>
      </c>
      <c r="G253" s="1">
        <v>476</v>
      </c>
      <c r="H253" s="1">
        <v>69</v>
      </c>
      <c r="I253" s="1">
        <v>16712</v>
      </c>
      <c r="J253" s="1">
        <v>16309</v>
      </c>
      <c r="K253" s="1">
        <v>64</v>
      </c>
      <c r="L253" s="1" t="s">
        <v>48</v>
      </c>
      <c r="M253" s="1" t="s">
        <v>359</v>
      </c>
      <c r="N253" s="1" t="s">
        <v>359</v>
      </c>
      <c r="O253" s="8" t="s">
        <v>26</v>
      </c>
      <c r="P253" s="15">
        <f>(Table1_147[[#This Row],[Likes]]+Table1_147[[#This Row],[Shares]]+Table1_147[[#This Row],[Comments]])/Table1_147[[#This Row],[Impressions]]</f>
        <v>0.15761129727142173</v>
      </c>
      <c r="Q253" s="1">
        <f>(Table1_147[[#This Row],[Likes]]+Table1_147[[#This Row],[Shares]]+Table1_147[[#This Row],[Comments]])</f>
        <v>2634</v>
      </c>
    </row>
    <row r="254" spans="1:17" x14ac:dyDescent="0.3">
      <c r="A254" s="6" t="s">
        <v>306</v>
      </c>
      <c r="B254" s="1" t="s">
        <v>14</v>
      </c>
      <c r="C254" s="7">
        <v>45507</v>
      </c>
      <c r="D254" s="1" t="s">
        <v>15</v>
      </c>
      <c r="E254" s="1" t="s">
        <v>16</v>
      </c>
      <c r="F254" s="1">
        <v>3791</v>
      </c>
      <c r="G254" s="1">
        <v>593</v>
      </c>
      <c r="H254" s="1">
        <v>228</v>
      </c>
      <c r="I254" s="1">
        <v>53074</v>
      </c>
      <c r="J254" s="1">
        <v>52613</v>
      </c>
      <c r="K254" s="1">
        <v>205</v>
      </c>
      <c r="L254" s="1" t="s">
        <v>31</v>
      </c>
      <c r="M254" s="1" t="s">
        <v>359</v>
      </c>
      <c r="N254" s="1" t="s">
        <v>359</v>
      </c>
      <c r="O254" s="8" t="s">
        <v>360</v>
      </c>
      <c r="P254" s="15">
        <f>(Table1_147[[#This Row],[Likes]]+Table1_147[[#This Row],[Shares]]+Table1_147[[#This Row],[Comments]])/Table1_147[[#This Row],[Impressions]]</f>
        <v>8.6897539284772202E-2</v>
      </c>
      <c r="Q254" s="1">
        <f>(Table1_147[[#This Row],[Likes]]+Table1_147[[#This Row],[Shares]]+Table1_147[[#This Row],[Comments]])</f>
        <v>4612</v>
      </c>
    </row>
    <row r="255" spans="1:17" x14ac:dyDescent="0.3">
      <c r="A255" s="6" t="s">
        <v>307</v>
      </c>
      <c r="B255" s="1" t="s">
        <v>14</v>
      </c>
      <c r="C255" s="7">
        <v>45671</v>
      </c>
      <c r="D255" s="1" t="s">
        <v>41</v>
      </c>
      <c r="E255" s="1" t="s">
        <v>88</v>
      </c>
      <c r="F255" s="1">
        <v>2692</v>
      </c>
      <c r="G255" s="1">
        <v>115</v>
      </c>
      <c r="H255" s="1">
        <v>64</v>
      </c>
      <c r="I255" s="1">
        <v>21536</v>
      </c>
      <c r="J255" s="1">
        <v>21120</v>
      </c>
      <c r="K255" s="1">
        <v>224</v>
      </c>
      <c r="L255" s="1" t="s">
        <v>48</v>
      </c>
      <c r="M255" s="1" t="s">
        <v>359</v>
      </c>
      <c r="N255" s="1" t="s">
        <v>359</v>
      </c>
      <c r="O255" s="8" t="s">
        <v>21</v>
      </c>
      <c r="P255" s="15">
        <f>(Table1_147[[#This Row],[Likes]]+Table1_147[[#This Row],[Shares]]+Table1_147[[#This Row],[Comments]])/Table1_147[[#This Row],[Impressions]]</f>
        <v>0.13331166419019316</v>
      </c>
      <c r="Q255" s="1">
        <f>(Table1_147[[#This Row],[Likes]]+Table1_147[[#This Row],[Shares]]+Table1_147[[#This Row],[Comments]])</f>
        <v>2871</v>
      </c>
    </row>
    <row r="256" spans="1:17" x14ac:dyDescent="0.3">
      <c r="A256" s="6" t="s">
        <v>308</v>
      </c>
      <c r="B256" s="1" t="s">
        <v>35</v>
      </c>
      <c r="C256" s="7">
        <v>45750</v>
      </c>
      <c r="D256" s="1" t="s">
        <v>29</v>
      </c>
      <c r="E256" s="1" t="s">
        <v>54</v>
      </c>
      <c r="F256" s="1">
        <v>3767</v>
      </c>
      <c r="G256" s="1">
        <v>514</v>
      </c>
      <c r="H256" s="1">
        <v>238</v>
      </c>
      <c r="I256" s="1">
        <v>37670</v>
      </c>
      <c r="J256" s="1">
        <v>36807</v>
      </c>
      <c r="K256" s="1">
        <v>226</v>
      </c>
      <c r="L256" s="1" t="s">
        <v>48</v>
      </c>
      <c r="M256" s="1" t="s">
        <v>359</v>
      </c>
      <c r="N256" s="1" t="s">
        <v>359</v>
      </c>
      <c r="O256" s="8" t="s">
        <v>32</v>
      </c>
      <c r="P256" s="15">
        <f>(Table1_147[[#This Row],[Likes]]+Table1_147[[#This Row],[Shares]]+Table1_147[[#This Row],[Comments]])/Table1_147[[#This Row],[Impressions]]</f>
        <v>0.11996283514733209</v>
      </c>
      <c r="Q256" s="1">
        <f>(Table1_147[[#This Row],[Likes]]+Table1_147[[#This Row],[Shares]]+Table1_147[[#This Row],[Comments]])</f>
        <v>4519</v>
      </c>
    </row>
    <row r="257" spans="1:17" x14ac:dyDescent="0.3">
      <c r="A257" s="6" t="s">
        <v>309</v>
      </c>
      <c r="B257" s="1" t="s">
        <v>23</v>
      </c>
      <c r="C257" s="7">
        <v>45553</v>
      </c>
      <c r="D257" s="1" t="s">
        <v>36</v>
      </c>
      <c r="E257" s="1" t="s">
        <v>52</v>
      </c>
      <c r="F257" s="1">
        <v>2143</v>
      </c>
      <c r="G257" s="1">
        <v>12</v>
      </c>
      <c r="H257" s="1">
        <v>204</v>
      </c>
      <c r="I257" s="1">
        <v>40717</v>
      </c>
      <c r="J257" s="1">
        <v>40125</v>
      </c>
      <c r="K257" s="1">
        <v>248</v>
      </c>
      <c r="L257" s="1" t="s">
        <v>31</v>
      </c>
      <c r="M257" s="1" t="s">
        <v>359</v>
      </c>
      <c r="N257" s="1" t="s">
        <v>359</v>
      </c>
      <c r="O257" s="8" t="s">
        <v>21</v>
      </c>
      <c r="P257" s="15">
        <f>(Table1_147[[#This Row],[Likes]]+Table1_147[[#This Row],[Shares]]+Table1_147[[#This Row],[Comments]])/Table1_147[[#This Row],[Impressions]]</f>
        <v>5.7936488444630008E-2</v>
      </c>
      <c r="Q257" s="1">
        <f>(Table1_147[[#This Row],[Likes]]+Table1_147[[#This Row],[Shares]]+Table1_147[[#This Row],[Comments]])</f>
        <v>2359</v>
      </c>
    </row>
    <row r="258" spans="1:17" x14ac:dyDescent="0.3">
      <c r="A258" s="6" t="s">
        <v>310</v>
      </c>
      <c r="B258" s="1" t="s">
        <v>35</v>
      </c>
      <c r="C258" s="7">
        <v>45753</v>
      </c>
      <c r="D258" s="1" t="s">
        <v>41</v>
      </c>
      <c r="E258" s="1" t="s">
        <v>46</v>
      </c>
      <c r="F258" s="1">
        <v>3090</v>
      </c>
      <c r="G258" s="1">
        <v>697</v>
      </c>
      <c r="H258" s="1">
        <v>164</v>
      </c>
      <c r="I258" s="1">
        <v>49440</v>
      </c>
      <c r="J258" s="1">
        <v>48524</v>
      </c>
      <c r="K258" s="1">
        <v>25</v>
      </c>
      <c r="L258" s="1" t="s">
        <v>31</v>
      </c>
      <c r="M258" s="1" t="s">
        <v>31</v>
      </c>
      <c r="N258" s="1" t="s">
        <v>355</v>
      </c>
      <c r="O258" s="8" t="s">
        <v>21</v>
      </c>
      <c r="P258" s="15">
        <f>(Table1_147[[#This Row],[Likes]]+Table1_147[[#This Row],[Shares]]+Table1_147[[#This Row],[Comments]])/Table1_147[[#This Row],[Impressions]]</f>
        <v>7.9915048543689318E-2</v>
      </c>
      <c r="Q258" s="1">
        <f>(Table1_147[[#This Row],[Likes]]+Table1_147[[#This Row],[Shares]]+Table1_147[[#This Row],[Comments]])</f>
        <v>3951</v>
      </c>
    </row>
    <row r="259" spans="1:17" x14ac:dyDescent="0.3">
      <c r="A259" s="6" t="s">
        <v>311</v>
      </c>
      <c r="B259" s="1" t="s">
        <v>28</v>
      </c>
      <c r="C259" s="7">
        <v>45509</v>
      </c>
      <c r="D259" s="1" t="s">
        <v>29</v>
      </c>
      <c r="E259" s="1" t="s">
        <v>30</v>
      </c>
      <c r="F259" s="1">
        <v>3601</v>
      </c>
      <c r="G259" s="1">
        <v>695</v>
      </c>
      <c r="H259" s="1">
        <v>75</v>
      </c>
      <c r="I259" s="1">
        <v>21606</v>
      </c>
      <c r="J259" s="1">
        <v>21454</v>
      </c>
      <c r="K259" s="1">
        <v>172</v>
      </c>
      <c r="L259" s="1" t="s">
        <v>31</v>
      </c>
      <c r="M259" s="1" t="s">
        <v>359</v>
      </c>
      <c r="N259" s="1" t="s">
        <v>359</v>
      </c>
      <c r="O259" s="8" t="s">
        <v>21</v>
      </c>
      <c r="P259" s="15">
        <f>(Table1_147[[#This Row],[Likes]]+Table1_147[[#This Row],[Shares]]+Table1_147[[#This Row],[Comments]])/Table1_147[[#This Row],[Impressions]]</f>
        <v>0.2023049153013052</v>
      </c>
      <c r="Q259" s="1">
        <f>(Table1_147[[#This Row],[Likes]]+Table1_147[[#This Row],[Shares]]+Table1_147[[#This Row],[Comments]])</f>
        <v>4371</v>
      </c>
    </row>
    <row r="260" spans="1:17" x14ac:dyDescent="0.3">
      <c r="A260" s="6" t="s">
        <v>312</v>
      </c>
      <c r="B260" s="1" t="s">
        <v>35</v>
      </c>
      <c r="C260" s="7">
        <v>45698</v>
      </c>
      <c r="D260" s="1" t="s">
        <v>19</v>
      </c>
      <c r="E260" s="1" t="s">
        <v>44</v>
      </c>
      <c r="F260" s="1">
        <v>562</v>
      </c>
      <c r="G260" s="1">
        <v>158</v>
      </c>
      <c r="H260" s="1">
        <v>149</v>
      </c>
      <c r="I260" s="1">
        <v>3372</v>
      </c>
      <c r="J260" s="1">
        <v>2940</v>
      </c>
      <c r="K260" s="1">
        <v>93</v>
      </c>
      <c r="L260" s="1" t="s">
        <v>25</v>
      </c>
      <c r="M260" s="1" t="s">
        <v>359</v>
      </c>
      <c r="N260" s="1" t="s">
        <v>359</v>
      </c>
      <c r="O260" s="8" t="s">
        <v>17</v>
      </c>
      <c r="P260" s="15">
        <f>(Table1_147[[#This Row],[Likes]]+Table1_147[[#This Row],[Shares]]+Table1_147[[#This Row],[Comments]])/Table1_147[[#This Row],[Impressions]]</f>
        <v>0.25771055753262156</v>
      </c>
      <c r="Q260" s="1">
        <f>(Table1_147[[#This Row],[Likes]]+Table1_147[[#This Row],[Shares]]+Table1_147[[#This Row],[Comments]])</f>
        <v>869</v>
      </c>
    </row>
    <row r="261" spans="1:17" x14ac:dyDescent="0.3">
      <c r="A261" s="6" t="s">
        <v>313</v>
      </c>
      <c r="B261" s="1" t="s">
        <v>28</v>
      </c>
      <c r="C261" s="7">
        <v>45700</v>
      </c>
      <c r="D261" s="1" t="s">
        <v>29</v>
      </c>
      <c r="E261" s="1" t="s">
        <v>30</v>
      </c>
      <c r="F261" s="1">
        <v>4332</v>
      </c>
      <c r="G261" s="1">
        <v>771</v>
      </c>
      <c r="H261" s="1">
        <v>219</v>
      </c>
      <c r="I261" s="1">
        <v>60648</v>
      </c>
      <c r="J261" s="1">
        <v>60397</v>
      </c>
      <c r="K261" s="1">
        <v>10</v>
      </c>
      <c r="L261" s="1" t="s">
        <v>25</v>
      </c>
      <c r="M261" s="1" t="s">
        <v>31</v>
      </c>
      <c r="N261" s="1" t="s">
        <v>355</v>
      </c>
      <c r="O261" s="8" t="s">
        <v>26</v>
      </c>
      <c r="P261" s="15">
        <f>(Table1_147[[#This Row],[Likes]]+Table1_147[[#This Row],[Shares]]+Table1_147[[#This Row],[Comments]])/Table1_147[[#This Row],[Impressions]]</f>
        <v>8.7752275425405618E-2</v>
      </c>
      <c r="Q261" s="1">
        <f>(Table1_147[[#This Row],[Likes]]+Table1_147[[#This Row],[Shares]]+Table1_147[[#This Row],[Comments]])</f>
        <v>5322</v>
      </c>
    </row>
    <row r="262" spans="1:17" x14ac:dyDescent="0.3">
      <c r="A262" s="6" t="s">
        <v>314</v>
      </c>
      <c r="B262" s="1" t="s">
        <v>28</v>
      </c>
      <c r="C262" s="7">
        <v>45592</v>
      </c>
      <c r="D262" s="1" t="s">
        <v>41</v>
      </c>
      <c r="E262" s="1" t="s">
        <v>134</v>
      </c>
      <c r="F262" s="1">
        <v>4853</v>
      </c>
      <c r="G262" s="1">
        <v>837</v>
      </c>
      <c r="H262" s="1">
        <v>340</v>
      </c>
      <c r="I262" s="1">
        <v>72795</v>
      </c>
      <c r="J262" s="1">
        <v>72237</v>
      </c>
      <c r="K262" s="1">
        <v>170</v>
      </c>
      <c r="L262" s="1" t="s">
        <v>31</v>
      </c>
      <c r="M262" s="1" t="s">
        <v>359</v>
      </c>
      <c r="N262" s="1" t="s">
        <v>359</v>
      </c>
      <c r="O262" s="8" t="s">
        <v>17</v>
      </c>
      <c r="P262" s="15">
        <f>(Table1_147[[#This Row],[Likes]]+Table1_147[[#This Row],[Shares]]+Table1_147[[#This Row],[Comments]])/Table1_147[[#This Row],[Impressions]]</f>
        <v>8.2835359571399134E-2</v>
      </c>
      <c r="Q262" s="1">
        <f>(Table1_147[[#This Row],[Likes]]+Table1_147[[#This Row],[Shares]]+Table1_147[[#This Row],[Comments]])</f>
        <v>6030</v>
      </c>
    </row>
    <row r="263" spans="1:17" x14ac:dyDescent="0.3">
      <c r="A263" s="6" t="s">
        <v>315</v>
      </c>
      <c r="B263" s="1" t="s">
        <v>23</v>
      </c>
      <c r="C263" s="7">
        <v>45675</v>
      </c>
      <c r="D263" s="1" t="s">
        <v>41</v>
      </c>
      <c r="E263" s="1" t="s">
        <v>42</v>
      </c>
      <c r="F263" s="1">
        <v>1206</v>
      </c>
      <c r="G263" s="1">
        <v>238</v>
      </c>
      <c r="H263" s="1">
        <v>36</v>
      </c>
      <c r="I263" s="1">
        <v>9648</v>
      </c>
      <c r="J263" s="1">
        <v>9417</v>
      </c>
      <c r="K263" s="1">
        <v>237</v>
      </c>
      <c r="L263" s="1" t="s">
        <v>25</v>
      </c>
      <c r="M263" s="1" t="s">
        <v>359</v>
      </c>
      <c r="N263" s="1" t="s">
        <v>359</v>
      </c>
      <c r="O263" s="8" t="s">
        <v>360</v>
      </c>
      <c r="P263" s="15">
        <f>(Table1_147[[#This Row],[Likes]]+Table1_147[[#This Row],[Shares]]+Table1_147[[#This Row],[Comments]])/Table1_147[[#This Row],[Impressions]]</f>
        <v>0.15339966832504145</v>
      </c>
      <c r="Q263" s="1">
        <f>(Table1_147[[#This Row],[Likes]]+Table1_147[[#This Row],[Shares]]+Table1_147[[#This Row],[Comments]])</f>
        <v>1480</v>
      </c>
    </row>
    <row r="264" spans="1:17" x14ac:dyDescent="0.3">
      <c r="A264" s="6" t="s">
        <v>316</v>
      </c>
      <c r="B264" s="1" t="s">
        <v>28</v>
      </c>
      <c r="C264" s="7">
        <v>45524</v>
      </c>
      <c r="D264" s="1" t="s">
        <v>15</v>
      </c>
      <c r="E264" s="1" t="s">
        <v>61</v>
      </c>
      <c r="F264" s="1">
        <v>2603</v>
      </c>
      <c r="G264" s="1">
        <v>690</v>
      </c>
      <c r="H264" s="1">
        <v>205</v>
      </c>
      <c r="I264" s="1">
        <v>13015</v>
      </c>
      <c r="J264" s="1">
        <v>12130</v>
      </c>
      <c r="K264" s="1">
        <v>20</v>
      </c>
      <c r="L264" s="1" t="s">
        <v>48</v>
      </c>
      <c r="M264" s="1" t="s">
        <v>359</v>
      </c>
      <c r="N264" s="1" t="s">
        <v>359</v>
      </c>
      <c r="O264" s="8" t="s">
        <v>21</v>
      </c>
      <c r="P264" s="15">
        <f>(Table1_147[[#This Row],[Likes]]+Table1_147[[#This Row],[Shares]]+Table1_147[[#This Row],[Comments]])/Table1_147[[#This Row],[Impressions]]</f>
        <v>0.26876680752977333</v>
      </c>
      <c r="Q264" s="1">
        <f>(Table1_147[[#This Row],[Likes]]+Table1_147[[#This Row],[Shares]]+Table1_147[[#This Row],[Comments]])</f>
        <v>3498</v>
      </c>
    </row>
    <row r="265" spans="1:17" x14ac:dyDescent="0.3">
      <c r="A265" s="6" t="s">
        <v>317</v>
      </c>
      <c r="B265" s="1" t="s">
        <v>14</v>
      </c>
      <c r="C265" s="7">
        <v>45687</v>
      </c>
      <c r="D265" s="1" t="s">
        <v>41</v>
      </c>
      <c r="E265" s="1" t="s">
        <v>88</v>
      </c>
      <c r="F265" s="1">
        <v>59</v>
      </c>
      <c r="G265" s="1">
        <v>163</v>
      </c>
      <c r="H265" s="1">
        <v>93</v>
      </c>
      <c r="I265" s="1">
        <v>590</v>
      </c>
      <c r="J265" s="1">
        <v>475</v>
      </c>
      <c r="K265" s="1">
        <v>293</v>
      </c>
      <c r="L265" s="1" t="s">
        <v>25</v>
      </c>
      <c r="M265" s="1" t="s">
        <v>359</v>
      </c>
      <c r="N265" s="1" t="s">
        <v>359</v>
      </c>
      <c r="O265" s="8" t="s">
        <v>21</v>
      </c>
      <c r="P265" s="15">
        <f>(Table1_147[[#This Row],[Likes]]+Table1_147[[#This Row],[Shares]]+Table1_147[[#This Row],[Comments]])/Table1_147[[#This Row],[Impressions]]</f>
        <v>0.53389830508474578</v>
      </c>
      <c r="Q265" s="1">
        <f>(Table1_147[[#This Row],[Likes]]+Table1_147[[#This Row],[Shares]]+Table1_147[[#This Row],[Comments]])</f>
        <v>315</v>
      </c>
    </row>
    <row r="266" spans="1:17" x14ac:dyDescent="0.3">
      <c r="A266" s="6" t="s">
        <v>318</v>
      </c>
      <c r="B266" s="1" t="s">
        <v>14</v>
      </c>
      <c r="C266" s="7">
        <v>45708</v>
      </c>
      <c r="D266" s="1" t="s">
        <v>36</v>
      </c>
      <c r="E266" s="1" t="s">
        <v>39</v>
      </c>
      <c r="F266" s="1">
        <v>1877</v>
      </c>
      <c r="G266" s="1">
        <v>745</v>
      </c>
      <c r="H266" s="1">
        <v>225</v>
      </c>
      <c r="I266" s="1">
        <v>11262</v>
      </c>
      <c r="J266" s="1">
        <v>10967</v>
      </c>
      <c r="K266" s="1">
        <v>41</v>
      </c>
      <c r="L266" s="1" t="s">
        <v>31</v>
      </c>
      <c r="M266" s="1" t="s">
        <v>359</v>
      </c>
      <c r="N266" s="1" t="s">
        <v>359</v>
      </c>
      <c r="O266" s="8" t="s">
        <v>32</v>
      </c>
      <c r="P266" s="15">
        <f>(Table1_147[[#This Row],[Likes]]+Table1_147[[#This Row],[Shares]]+Table1_147[[#This Row],[Comments]])/Table1_147[[#This Row],[Impressions]]</f>
        <v>0.25279701651571657</v>
      </c>
      <c r="Q266" s="1">
        <f>(Table1_147[[#This Row],[Likes]]+Table1_147[[#This Row],[Shares]]+Table1_147[[#This Row],[Comments]])</f>
        <v>2847</v>
      </c>
    </row>
    <row r="267" spans="1:17" x14ac:dyDescent="0.3">
      <c r="A267" s="6" t="s">
        <v>319</v>
      </c>
      <c r="B267" s="1" t="s">
        <v>35</v>
      </c>
      <c r="C267" s="7">
        <v>45621</v>
      </c>
      <c r="D267" s="1" t="s">
        <v>29</v>
      </c>
      <c r="E267" s="1" t="s">
        <v>54</v>
      </c>
      <c r="F267" s="1">
        <v>4182</v>
      </c>
      <c r="G267" s="1">
        <v>640</v>
      </c>
      <c r="H267" s="1">
        <v>240</v>
      </c>
      <c r="I267" s="1">
        <v>50184</v>
      </c>
      <c r="J267" s="1">
        <v>49351</v>
      </c>
      <c r="K267" s="1">
        <v>10</v>
      </c>
      <c r="L267" s="1" t="s">
        <v>25</v>
      </c>
      <c r="M267" s="1" t="s">
        <v>359</v>
      </c>
      <c r="N267" s="1" t="s">
        <v>359</v>
      </c>
      <c r="O267" s="8" t="s">
        <v>26</v>
      </c>
      <c r="P267" s="15">
        <f>(Table1_147[[#This Row],[Likes]]+Table1_147[[#This Row],[Shares]]+Table1_147[[#This Row],[Comments]])/Table1_147[[#This Row],[Impressions]]</f>
        <v>0.10086880280567512</v>
      </c>
      <c r="Q267" s="1">
        <f>(Table1_147[[#This Row],[Likes]]+Table1_147[[#This Row],[Shares]]+Table1_147[[#This Row],[Comments]])</f>
        <v>5062</v>
      </c>
    </row>
    <row r="268" spans="1:17" x14ac:dyDescent="0.3">
      <c r="A268" s="6" t="s">
        <v>320</v>
      </c>
      <c r="B268" s="1" t="s">
        <v>14</v>
      </c>
      <c r="C268" s="7">
        <v>45569</v>
      </c>
      <c r="D268" s="1" t="s">
        <v>15</v>
      </c>
      <c r="E268" s="1" t="s">
        <v>16</v>
      </c>
      <c r="F268" s="1">
        <v>4187</v>
      </c>
      <c r="G268" s="1">
        <v>66</v>
      </c>
      <c r="H268" s="1">
        <v>31</v>
      </c>
      <c r="I268" s="1">
        <v>66992</v>
      </c>
      <c r="J268" s="1">
        <v>66614</v>
      </c>
      <c r="K268" s="1">
        <v>62</v>
      </c>
      <c r="L268" s="1" t="s">
        <v>48</v>
      </c>
      <c r="M268" s="1" t="s">
        <v>359</v>
      </c>
      <c r="N268" s="1" t="s">
        <v>359</v>
      </c>
      <c r="O268" s="8" t="s">
        <v>360</v>
      </c>
      <c r="P268" s="15">
        <f>(Table1_147[[#This Row],[Likes]]+Table1_147[[#This Row],[Shares]]+Table1_147[[#This Row],[Comments]])/Table1_147[[#This Row],[Impressions]]</f>
        <v>6.3947934081681396E-2</v>
      </c>
      <c r="Q268" s="1">
        <f>(Table1_147[[#This Row],[Likes]]+Table1_147[[#This Row],[Shares]]+Table1_147[[#This Row],[Comments]])</f>
        <v>4284</v>
      </c>
    </row>
    <row r="269" spans="1:17" x14ac:dyDescent="0.3">
      <c r="A269" s="6" t="s">
        <v>321</v>
      </c>
      <c r="B269" s="1" t="s">
        <v>28</v>
      </c>
      <c r="C269" s="7">
        <v>45760</v>
      </c>
      <c r="D269" s="1" t="s">
        <v>15</v>
      </c>
      <c r="E269" s="1" t="s">
        <v>61</v>
      </c>
      <c r="F269" s="1">
        <v>4579</v>
      </c>
      <c r="G269" s="1">
        <v>125</v>
      </c>
      <c r="H269" s="1">
        <v>300</v>
      </c>
      <c r="I269" s="1">
        <v>59527</v>
      </c>
      <c r="J269" s="1">
        <v>59400</v>
      </c>
      <c r="K269" s="1">
        <v>269</v>
      </c>
      <c r="L269" s="1" t="s">
        <v>31</v>
      </c>
      <c r="M269" s="1" t="s">
        <v>359</v>
      </c>
      <c r="N269" s="1" t="s">
        <v>359</v>
      </c>
      <c r="O269" s="8" t="s">
        <v>17</v>
      </c>
      <c r="P269" s="15">
        <f>(Table1_147[[#This Row],[Likes]]+Table1_147[[#This Row],[Shares]]+Table1_147[[#This Row],[Comments]])/Table1_147[[#This Row],[Impressions]]</f>
        <v>8.4062694239588759E-2</v>
      </c>
      <c r="Q269" s="1">
        <f>(Table1_147[[#This Row],[Likes]]+Table1_147[[#This Row],[Shares]]+Table1_147[[#This Row],[Comments]])</f>
        <v>5004</v>
      </c>
    </row>
    <row r="270" spans="1:17" x14ac:dyDescent="0.3">
      <c r="A270" s="6" t="s">
        <v>322</v>
      </c>
      <c r="B270" s="1" t="s">
        <v>28</v>
      </c>
      <c r="C270" s="7">
        <v>45601</v>
      </c>
      <c r="D270" s="1" t="s">
        <v>56</v>
      </c>
      <c r="E270" s="1" t="s">
        <v>63</v>
      </c>
      <c r="F270" s="1">
        <v>4561</v>
      </c>
      <c r="G270" s="1">
        <v>51</v>
      </c>
      <c r="H270" s="1">
        <v>441</v>
      </c>
      <c r="I270" s="1">
        <v>22805</v>
      </c>
      <c r="J270" s="1">
        <v>21890</v>
      </c>
      <c r="K270" s="1">
        <v>45</v>
      </c>
      <c r="L270" s="1" t="s">
        <v>25</v>
      </c>
      <c r="M270" s="1" t="s">
        <v>359</v>
      </c>
      <c r="N270" s="1" t="s">
        <v>359</v>
      </c>
      <c r="O270" s="8" t="s">
        <v>21</v>
      </c>
      <c r="P270" s="15">
        <f>(Table1_147[[#This Row],[Likes]]+Table1_147[[#This Row],[Shares]]+Table1_147[[#This Row],[Comments]])/Table1_147[[#This Row],[Impressions]]</f>
        <v>0.22157421618066214</v>
      </c>
      <c r="Q270" s="1">
        <f>(Table1_147[[#This Row],[Likes]]+Table1_147[[#This Row],[Shares]]+Table1_147[[#This Row],[Comments]])</f>
        <v>5053</v>
      </c>
    </row>
    <row r="271" spans="1:17" x14ac:dyDescent="0.3">
      <c r="A271" s="6" t="s">
        <v>323</v>
      </c>
      <c r="B271" s="1" t="s">
        <v>23</v>
      </c>
      <c r="C271" s="7">
        <v>45672</v>
      </c>
      <c r="D271" s="1" t="s">
        <v>15</v>
      </c>
      <c r="E271" s="1" t="s">
        <v>24</v>
      </c>
      <c r="F271" s="1">
        <v>3774</v>
      </c>
      <c r="G271" s="1">
        <v>239</v>
      </c>
      <c r="H271" s="1">
        <v>39</v>
      </c>
      <c r="I271" s="1">
        <v>60384</v>
      </c>
      <c r="J271" s="1">
        <v>59490</v>
      </c>
      <c r="K271" s="1">
        <v>241</v>
      </c>
      <c r="L271" s="1" t="s">
        <v>25</v>
      </c>
      <c r="M271" s="1" t="s">
        <v>359</v>
      </c>
      <c r="N271" s="1" t="s">
        <v>359</v>
      </c>
      <c r="O271" s="8" t="s">
        <v>26</v>
      </c>
      <c r="P271" s="15">
        <f>(Table1_147[[#This Row],[Likes]]+Table1_147[[#This Row],[Shares]]+Table1_147[[#This Row],[Comments]])/Table1_147[[#This Row],[Impressions]]</f>
        <v>6.7103868574456813E-2</v>
      </c>
      <c r="Q271" s="1">
        <f>(Table1_147[[#This Row],[Likes]]+Table1_147[[#This Row],[Shares]]+Table1_147[[#This Row],[Comments]])</f>
        <v>4052</v>
      </c>
    </row>
    <row r="272" spans="1:17" x14ac:dyDescent="0.3">
      <c r="A272" s="6" t="s">
        <v>324</v>
      </c>
      <c r="B272" s="1" t="s">
        <v>28</v>
      </c>
      <c r="C272" s="7">
        <v>45582</v>
      </c>
      <c r="D272" s="1" t="s">
        <v>56</v>
      </c>
      <c r="E272" s="1" t="s">
        <v>63</v>
      </c>
      <c r="F272" s="1">
        <v>3575</v>
      </c>
      <c r="G272" s="1">
        <v>749</v>
      </c>
      <c r="H272" s="1">
        <v>111</v>
      </c>
      <c r="I272" s="1">
        <v>21450</v>
      </c>
      <c r="J272" s="1">
        <v>20785</v>
      </c>
      <c r="K272" s="1">
        <v>195</v>
      </c>
      <c r="L272" s="1" t="s">
        <v>31</v>
      </c>
      <c r="M272" s="1" t="s">
        <v>359</v>
      </c>
      <c r="N272" s="1" t="s">
        <v>359</v>
      </c>
      <c r="O272" s="8" t="s">
        <v>21</v>
      </c>
      <c r="P272" s="15">
        <f>(Table1_147[[#This Row],[Likes]]+Table1_147[[#This Row],[Shares]]+Table1_147[[#This Row],[Comments]])/Table1_147[[#This Row],[Impressions]]</f>
        <v>0.20675990675990677</v>
      </c>
      <c r="Q272" s="1">
        <f>(Table1_147[[#This Row],[Likes]]+Table1_147[[#This Row],[Shares]]+Table1_147[[#This Row],[Comments]])</f>
        <v>4435</v>
      </c>
    </row>
    <row r="273" spans="1:17" x14ac:dyDescent="0.3">
      <c r="A273" s="6" t="s">
        <v>325</v>
      </c>
      <c r="B273" s="1" t="s">
        <v>28</v>
      </c>
      <c r="C273" s="7">
        <v>45743</v>
      </c>
      <c r="D273" s="1" t="s">
        <v>19</v>
      </c>
      <c r="E273" s="1" t="s">
        <v>78</v>
      </c>
      <c r="F273" s="1">
        <v>4941</v>
      </c>
      <c r="G273" s="1">
        <v>414</v>
      </c>
      <c r="H273" s="1">
        <v>266</v>
      </c>
      <c r="I273" s="1">
        <v>39528</v>
      </c>
      <c r="J273" s="1">
        <v>39154</v>
      </c>
      <c r="K273" s="1">
        <v>217</v>
      </c>
      <c r="L273" s="1" t="s">
        <v>25</v>
      </c>
      <c r="M273" s="1" t="s">
        <v>359</v>
      </c>
      <c r="N273" s="1" t="s">
        <v>359</v>
      </c>
      <c r="O273" s="8" t="s">
        <v>26</v>
      </c>
      <c r="P273" s="15">
        <f>(Table1_147[[#This Row],[Likes]]+Table1_147[[#This Row],[Shares]]+Table1_147[[#This Row],[Comments]])/Table1_147[[#This Row],[Impressions]]</f>
        <v>0.14220299534507186</v>
      </c>
      <c r="Q273" s="1">
        <f>(Table1_147[[#This Row],[Likes]]+Table1_147[[#This Row],[Shares]]+Table1_147[[#This Row],[Comments]])</f>
        <v>5621</v>
      </c>
    </row>
    <row r="274" spans="1:17" x14ac:dyDescent="0.3">
      <c r="A274" s="6" t="s">
        <v>326</v>
      </c>
      <c r="B274" s="1" t="s">
        <v>23</v>
      </c>
      <c r="C274" s="7">
        <v>45577</v>
      </c>
      <c r="D274" s="1" t="s">
        <v>29</v>
      </c>
      <c r="E274" s="1" t="s">
        <v>101</v>
      </c>
      <c r="F274" s="1">
        <v>3641</v>
      </c>
      <c r="G274" s="1">
        <v>226</v>
      </c>
      <c r="H274" s="1">
        <v>46</v>
      </c>
      <c r="I274" s="1">
        <v>40051</v>
      </c>
      <c r="J274" s="1">
        <v>39319</v>
      </c>
      <c r="K274" s="1">
        <v>296</v>
      </c>
      <c r="L274" s="1" t="s">
        <v>31</v>
      </c>
      <c r="M274" s="1" t="s">
        <v>359</v>
      </c>
      <c r="N274" s="1" t="s">
        <v>359</v>
      </c>
      <c r="O274" s="8" t="s">
        <v>32</v>
      </c>
      <c r="P274" s="15">
        <f>(Table1_147[[#This Row],[Likes]]+Table1_147[[#This Row],[Shares]]+Table1_147[[#This Row],[Comments]])/Table1_147[[#This Row],[Impressions]]</f>
        <v>9.7700431949264685E-2</v>
      </c>
      <c r="Q274" s="1">
        <f>(Table1_147[[#This Row],[Likes]]+Table1_147[[#This Row],[Shares]]+Table1_147[[#This Row],[Comments]])</f>
        <v>3913</v>
      </c>
    </row>
    <row r="275" spans="1:17" x14ac:dyDescent="0.3">
      <c r="A275" s="6" t="s">
        <v>327</v>
      </c>
      <c r="B275" s="1" t="s">
        <v>14</v>
      </c>
      <c r="C275" s="7">
        <v>45658</v>
      </c>
      <c r="D275" s="1" t="s">
        <v>36</v>
      </c>
      <c r="E275" s="1" t="s">
        <v>39</v>
      </c>
      <c r="F275" s="1">
        <v>3535</v>
      </c>
      <c r="G275" s="1">
        <v>494</v>
      </c>
      <c r="H275" s="1">
        <v>152</v>
      </c>
      <c r="I275" s="1">
        <v>53025</v>
      </c>
      <c r="J275" s="1">
        <v>52791</v>
      </c>
      <c r="K275" s="1">
        <v>44</v>
      </c>
      <c r="L275" s="1" t="s">
        <v>25</v>
      </c>
      <c r="M275" s="1" t="s">
        <v>359</v>
      </c>
      <c r="N275" s="1" t="s">
        <v>359</v>
      </c>
      <c r="O275" s="8" t="s">
        <v>32</v>
      </c>
      <c r="P275" s="15">
        <f>(Table1_147[[#This Row],[Likes]]+Table1_147[[#This Row],[Shares]]+Table1_147[[#This Row],[Comments]])/Table1_147[[#This Row],[Impressions]]</f>
        <v>7.8849599245638849E-2</v>
      </c>
      <c r="Q275" s="1">
        <f>(Table1_147[[#This Row],[Likes]]+Table1_147[[#This Row],[Shares]]+Table1_147[[#This Row],[Comments]])</f>
        <v>4181</v>
      </c>
    </row>
    <row r="276" spans="1:17" x14ac:dyDescent="0.3">
      <c r="A276" s="6" t="s">
        <v>328</v>
      </c>
      <c r="B276" s="1" t="s">
        <v>35</v>
      </c>
      <c r="C276" s="7">
        <v>45509</v>
      </c>
      <c r="D276" s="1" t="s">
        <v>15</v>
      </c>
      <c r="E276" s="1" t="s">
        <v>50</v>
      </c>
      <c r="F276" s="1">
        <v>1741</v>
      </c>
      <c r="G276" s="1">
        <v>831</v>
      </c>
      <c r="H276" s="1">
        <v>345</v>
      </c>
      <c r="I276" s="1">
        <v>17410</v>
      </c>
      <c r="J276" s="1">
        <v>16844</v>
      </c>
      <c r="K276" s="1">
        <v>58</v>
      </c>
      <c r="L276" s="1" t="s">
        <v>31</v>
      </c>
      <c r="M276" s="1" t="s">
        <v>359</v>
      </c>
      <c r="N276" s="1" t="s">
        <v>359</v>
      </c>
      <c r="O276" s="8" t="s">
        <v>26</v>
      </c>
      <c r="P276" s="15">
        <f>(Table1_147[[#This Row],[Likes]]+Table1_147[[#This Row],[Shares]]+Table1_147[[#This Row],[Comments]])/Table1_147[[#This Row],[Impressions]]</f>
        <v>0.16754738655944859</v>
      </c>
      <c r="Q276" s="1">
        <f>(Table1_147[[#This Row],[Likes]]+Table1_147[[#This Row],[Shares]]+Table1_147[[#This Row],[Comments]])</f>
        <v>2917</v>
      </c>
    </row>
    <row r="277" spans="1:17" x14ac:dyDescent="0.3">
      <c r="A277" s="6" t="s">
        <v>329</v>
      </c>
      <c r="B277" s="1" t="s">
        <v>14</v>
      </c>
      <c r="C277" s="7">
        <v>45450</v>
      </c>
      <c r="D277" s="1" t="s">
        <v>36</v>
      </c>
      <c r="E277" s="1" t="s">
        <v>39</v>
      </c>
      <c r="F277" s="1">
        <v>1556</v>
      </c>
      <c r="G277" s="1">
        <v>195</v>
      </c>
      <c r="H277" s="1">
        <v>131</v>
      </c>
      <c r="I277" s="1">
        <v>9336</v>
      </c>
      <c r="J277" s="1">
        <v>8875</v>
      </c>
      <c r="K277" s="1">
        <v>137</v>
      </c>
      <c r="L277" s="1" t="s">
        <v>25</v>
      </c>
      <c r="M277" s="1" t="s">
        <v>359</v>
      </c>
      <c r="N277" s="1" t="s">
        <v>359</v>
      </c>
      <c r="O277" s="8" t="s">
        <v>21</v>
      </c>
      <c r="P277" s="15">
        <f>(Table1_147[[#This Row],[Likes]]+Table1_147[[#This Row],[Shares]]+Table1_147[[#This Row],[Comments]])/Table1_147[[#This Row],[Impressions]]</f>
        <v>0.2015852613538989</v>
      </c>
      <c r="Q277" s="1">
        <f>(Table1_147[[#This Row],[Likes]]+Table1_147[[#This Row],[Shares]]+Table1_147[[#This Row],[Comments]])</f>
        <v>1882</v>
      </c>
    </row>
    <row r="278" spans="1:17" x14ac:dyDescent="0.3">
      <c r="A278" s="6" t="s">
        <v>330</v>
      </c>
      <c r="B278" s="1" t="s">
        <v>35</v>
      </c>
      <c r="C278" s="7">
        <v>45753</v>
      </c>
      <c r="D278" s="1" t="s">
        <v>41</v>
      </c>
      <c r="E278" s="1" t="s">
        <v>46</v>
      </c>
      <c r="F278" s="1">
        <v>4236</v>
      </c>
      <c r="G278" s="1">
        <v>711</v>
      </c>
      <c r="H278" s="1">
        <v>298</v>
      </c>
      <c r="I278" s="1">
        <v>21180</v>
      </c>
      <c r="J278" s="1">
        <v>20516</v>
      </c>
      <c r="K278" s="1">
        <v>238</v>
      </c>
      <c r="L278" s="1" t="s">
        <v>48</v>
      </c>
      <c r="M278" s="1" t="s">
        <v>359</v>
      </c>
      <c r="N278" s="1" t="s">
        <v>359</v>
      </c>
      <c r="O278" s="8" t="s">
        <v>17</v>
      </c>
      <c r="P278" s="15">
        <f>(Table1_147[[#This Row],[Likes]]+Table1_147[[#This Row],[Shares]]+Table1_147[[#This Row],[Comments]])/Table1_147[[#This Row],[Impressions]]</f>
        <v>0.24763928234183191</v>
      </c>
      <c r="Q278" s="1">
        <f>(Table1_147[[#This Row],[Likes]]+Table1_147[[#This Row],[Shares]]+Table1_147[[#This Row],[Comments]])</f>
        <v>5245</v>
      </c>
    </row>
    <row r="279" spans="1:17" x14ac:dyDescent="0.3">
      <c r="A279" s="6" t="s">
        <v>331</v>
      </c>
      <c r="B279" s="1" t="s">
        <v>14</v>
      </c>
      <c r="C279" s="7">
        <v>45622</v>
      </c>
      <c r="D279" s="1" t="s">
        <v>19</v>
      </c>
      <c r="E279" s="1" t="s">
        <v>20</v>
      </c>
      <c r="F279" s="1">
        <v>4516</v>
      </c>
      <c r="G279" s="1">
        <v>836</v>
      </c>
      <c r="H279" s="1">
        <v>169</v>
      </c>
      <c r="I279" s="1">
        <v>49676</v>
      </c>
      <c r="J279" s="1">
        <v>49257</v>
      </c>
      <c r="K279" s="1">
        <v>282</v>
      </c>
      <c r="L279" s="1" t="s">
        <v>31</v>
      </c>
      <c r="M279" s="1" t="s">
        <v>359</v>
      </c>
      <c r="N279" s="1" t="s">
        <v>359</v>
      </c>
      <c r="O279" s="8" t="s">
        <v>32</v>
      </c>
      <c r="P279" s="15">
        <f>(Table1_147[[#This Row],[Likes]]+Table1_147[[#This Row],[Shares]]+Table1_147[[#This Row],[Comments]])/Table1_147[[#This Row],[Impressions]]</f>
        <v>0.11114018842096787</v>
      </c>
      <c r="Q279" s="1">
        <f>(Table1_147[[#This Row],[Likes]]+Table1_147[[#This Row],[Shares]]+Table1_147[[#This Row],[Comments]])</f>
        <v>5521</v>
      </c>
    </row>
    <row r="280" spans="1:17" x14ac:dyDescent="0.3">
      <c r="A280" s="6" t="s">
        <v>332</v>
      </c>
      <c r="B280" s="1" t="s">
        <v>23</v>
      </c>
      <c r="C280" s="7">
        <v>45537</v>
      </c>
      <c r="D280" s="1" t="s">
        <v>41</v>
      </c>
      <c r="E280" s="1" t="s">
        <v>42</v>
      </c>
      <c r="F280" s="1">
        <v>4905</v>
      </c>
      <c r="G280" s="1">
        <v>845</v>
      </c>
      <c r="H280" s="1">
        <v>129</v>
      </c>
      <c r="I280" s="1">
        <v>98100</v>
      </c>
      <c r="J280" s="1">
        <v>97772</v>
      </c>
      <c r="K280" s="1">
        <v>279</v>
      </c>
      <c r="L280" s="1" t="s">
        <v>25</v>
      </c>
      <c r="M280" s="1" t="s">
        <v>359</v>
      </c>
      <c r="N280" s="1" t="s">
        <v>359</v>
      </c>
      <c r="O280" s="8" t="s">
        <v>21</v>
      </c>
      <c r="P280" s="15">
        <f>(Table1_147[[#This Row],[Likes]]+Table1_147[[#This Row],[Shares]]+Table1_147[[#This Row],[Comments]])/Table1_147[[#This Row],[Impressions]]</f>
        <v>5.9928644240570844E-2</v>
      </c>
      <c r="Q280" s="1">
        <f>(Table1_147[[#This Row],[Likes]]+Table1_147[[#This Row],[Shares]]+Table1_147[[#This Row],[Comments]])</f>
        <v>5879</v>
      </c>
    </row>
    <row r="281" spans="1:17" x14ac:dyDescent="0.3">
      <c r="A281" s="6" t="s">
        <v>333</v>
      </c>
      <c r="B281" s="1" t="s">
        <v>23</v>
      </c>
      <c r="C281" s="7">
        <v>45586</v>
      </c>
      <c r="D281" s="1" t="s">
        <v>56</v>
      </c>
      <c r="E281" s="1" t="s">
        <v>136</v>
      </c>
      <c r="F281" s="1">
        <v>4275</v>
      </c>
      <c r="G281" s="1">
        <v>680</v>
      </c>
      <c r="H281" s="1">
        <v>385</v>
      </c>
      <c r="I281" s="1">
        <v>64125</v>
      </c>
      <c r="J281" s="1">
        <v>63650</v>
      </c>
      <c r="K281" s="1">
        <v>104</v>
      </c>
      <c r="L281" s="1" t="s">
        <v>31</v>
      </c>
      <c r="M281" s="1" t="s">
        <v>25</v>
      </c>
      <c r="N281" s="1" t="s">
        <v>354</v>
      </c>
      <c r="O281" s="8" t="s">
        <v>32</v>
      </c>
      <c r="P281" s="15">
        <f>(Table1_147[[#This Row],[Likes]]+Table1_147[[#This Row],[Shares]]+Table1_147[[#This Row],[Comments]])/Table1_147[[#This Row],[Impressions]]</f>
        <v>8.3274853801169585E-2</v>
      </c>
      <c r="Q281" s="1">
        <f>(Table1_147[[#This Row],[Likes]]+Table1_147[[#This Row],[Shares]]+Table1_147[[#This Row],[Comments]])</f>
        <v>5340</v>
      </c>
    </row>
    <row r="282" spans="1:17" x14ac:dyDescent="0.3">
      <c r="A282" s="6" t="s">
        <v>334</v>
      </c>
      <c r="B282" s="1" t="s">
        <v>23</v>
      </c>
      <c r="C282" s="7">
        <v>45738</v>
      </c>
      <c r="D282" s="1" t="s">
        <v>41</v>
      </c>
      <c r="E282" s="1" t="s">
        <v>42</v>
      </c>
      <c r="F282" s="1">
        <v>3166</v>
      </c>
      <c r="G282" s="1">
        <v>90</v>
      </c>
      <c r="H282" s="1">
        <v>341</v>
      </c>
      <c r="I282" s="1">
        <v>56988</v>
      </c>
      <c r="J282" s="1">
        <v>56125</v>
      </c>
      <c r="K282" s="1">
        <v>135</v>
      </c>
      <c r="L282" s="1" t="s">
        <v>31</v>
      </c>
      <c r="M282" s="1" t="s">
        <v>359</v>
      </c>
      <c r="N282" s="1" t="s">
        <v>359</v>
      </c>
      <c r="O282" s="8" t="s">
        <v>21</v>
      </c>
      <c r="P282" s="15">
        <f>(Table1_147[[#This Row],[Likes]]+Table1_147[[#This Row],[Shares]]+Table1_147[[#This Row],[Comments]])/Table1_147[[#This Row],[Impressions]]</f>
        <v>6.3118551273952411E-2</v>
      </c>
      <c r="Q282" s="1">
        <f>(Table1_147[[#This Row],[Likes]]+Table1_147[[#This Row],[Shares]]+Table1_147[[#This Row],[Comments]])</f>
        <v>3597</v>
      </c>
    </row>
    <row r="283" spans="1:17" x14ac:dyDescent="0.3">
      <c r="A283" s="6" t="s">
        <v>335</v>
      </c>
      <c r="B283" s="1" t="s">
        <v>28</v>
      </c>
      <c r="C283" s="7">
        <v>45568</v>
      </c>
      <c r="D283" s="1" t="s">
        <v>56</v>
      </c>
      <c r="E283" s="1" t="s">
        <v>63</v>
      </c>
      <c r="F283" s="1">
        <v>1488</v>
      </c>
      <c r="G283" s="1">
        <v>417</v>
      </c>
      <c r="H283" s="1">
        <v>168</v>
      </c>
      <c r="I283" s="1">
        <v>19344</v>
      </c>
      <c r="J283" s="1">
        <v>18395</v>
      </c>
      <c r="K283" s="1">
        <v>30</v>
      </c>
      <c r="L283" s="1" t="s">
        <v>48</v>
      </c>
      <c r="M283" s="1" t="s">
        <v>359</v>
      </c>
      <c r="N283" s="1" t="s">
        <v>359</v>
      </c>
      <c r="O283" s="8" t="s">
        <v>26</v>
      </c>
      <c r="P283" s="15">
        <f>(Table1_147[[#This Row],[Likes]]+Table1_147[[#This Row],[Shares]]+Table1_147[[#This Row],[Comments]])/Table1_147[[#This Row],[Impressions]]</f>
        <v>0.1071650124069479</v>
      </c>
      <c r="Q283" s="1">
        <f>(Table1_147[[#This Row],[Likes]]+Table1_147[[#This Row],[Shares]]+Table1_147[[#This Row],[Comments]])</f>
        <v>2073</v>
      </c>
    </row>
    <row r="284" spans="1:17" x14ac:dyDescent="0.3">
      <c r="A284" s="6" t="s">
        <v>336</v>
      </c>
      <c r="B284" s="1" t="s">
        <v>14</v>
      </c>
      <c r="C284" s="7">
        <v>45786</v>
      </c>
      <c r="D284" s="1" t="s">
        <v>15</v>
      </c>
      <c r="E284" s="1" t="s">
        <v>16</v>
      </c>
      <c r="F284" s="1">
        <v>3367</v>
      </c>
      <c r="G284" s="1">
        <v>302</v>
      </c>
      <c r="H284" s="1">
        <v>57</v>
      </c>
      <c r="I284" s="1">
        <v>63973</v>
      </c>
      <c r="J284" s="1">
        <v>63789</v>
      </c>
      <c r="K284" s="1">
        <v>157</v>
      </c>
      <c r="L284" s="1" t="s">
        <v>48</v>
      </c>
      <c r="M284" s="1" t="s">
        <v>359</v>
      </c>
      <c r="N284" s="1" t="s">
        <v>359</v>
      </c>
      <c r="O284" s="8" t="s">
        <v>21</v>
      </c>
      <c r="P284" s="15">
        <f>(Table1_147[[#This Row],[Likes]]+Table1_147[[#This Row],[Shares]]+Table1_147[[#This Row],[Comments]])/Table1_147[[#This Row],[Impressions]]</f>
        <v>5.8243321401216137E-2</v>
      </c>
      <c r="Q284" s="1">
        <f>(Table1_147[[#This Row],[Likes]]+Table1_147[[#This Row],[Shares]]+Table1_147[[#This Row],[Comments]])</f>
        <v>3726</v>
      </c>
    </row>
    <row r="285" spans="1:17" x14ac:dyDescent="0.3">
      <c r="A285" s="6" t="s">
        <v>337</v>
      </c>
      <c r="B285" s="1" t="s">
        <v>14</v>
      </c>
      <c r="C285" s="7">
        <v>45552</v>
      </c>
      <c r="D285" s="1" t="s">
        <v>19</v>
      </c>
      <c r="E285" s="1" t="s">
        <v>20</v>
      </c>
      <c r="F285" s="1">
        <v>571</v>
      </c>
      <c r="G285" s="1">
        <v>190</v>
      </c>
      <c r="H285" s="1">
        <v>352</v>
      </c>
      <c r="I285" s="1">
        <v>9707</v>
      </c>
      <c r="J285" s="1">
        <v>9418</v>
      </c>
      <c r="K285" s="1">
        <v>231</v>
      </c>
      <c r="L285" s="1" t="s">
        <v>25</v>
      </c>
      <c r="M285" s="1" t="s">
        <v>359</v>
      </c>
      <c r="N285" s="1" t="s">
        <v>359</v>
      </c>
      <c r="O285" s="8" t="s">
        <v>32</v>
      </c>
      <c r="P285" s="15">
        <f>(Table1_147[[#This Row],[Likes]]+Table1_147[[#This Row],[Shares]]+Table1_147[[#This Row],[Comments]])/Table1_147[[#This Row],[Impressions]]</f>
        <v>0.11465952405480581</v>
      </c>
      <c r="Q285" s="1">
        <f>(Table1_147[[#This Row],[Likes]]+Table1_147[[#This Row],[Shares]]+Table1_147[[#This Row],[Comments]])</f>
        <v>1113</v>
      </c>
    </row>
    <row r="286" spans="1:17" x14ac:dyDescent="0.3">
      <c r="A286" s="6" t="s">
        <v>338</v>
      </c>
      <c r="B286" s="1" t="s">
        <v>23</v>
      </c>
      <c r="C286" s="7">
        <v>45491</v>
      </c>
      <c r="D286" s="1" t="s">
        <v>19</v>
      </c>
      <c r="E286" s="1" t="s">
        <v>73</v>
      </c>
      <c r="F286" s="1">
        <v>4021</v>
      </c>
      <c r="G286" s="1">
        <v>794</v>
      </c>
      <c r="H286" s="1">
        <v>77</v>
      </c>
      <c r="I286" s="1">
        <v>36189</v>
      </c>
      <c r="J286" s="1">
        <v>35505</v>
      </c>
      <c r="K286" s="1">
        <v>174</v>
      </c>
      <c r="L286" s="1" t="s">
        <v>31</v>
      </c>
      <c r="M286" s="1" t="s">
        <v>359</v>
      </c>
      <c r="N286" s="1" t="s">
        <v>359</v>
      </c>
      <c r="O286" s="8" t="s">
        <v>360</v>
      </c>
      <c r="P286" s="15">
        <f>(Table1_147[[#This Row],[Likes]]+Table1_147[[#This Row],[Shares]]+Table1_147[[#This Row],[Comments]])/Table1_147[[#This Row],[Impressions]]</f>
        <v>0.13517919809886983</v>
      </c>
      <c r="Q286" s="1">
        <f>(Table1_147[[#This Row],[Likes]]+Table1_147[[#This Row],[Shares]]+Table1_147[[#This Row],[Comments]])</f>
        <v>4892</v>
      </c>
    </row>
    <row r="287" spans="1:17" x14ac:dyDescent="0.3">
      <c r="A287" s="6" t="s">
        <v>339</v>
      </c>
      <c r="B287" s="1" t="s">
        <v>23</v>
      </c>
      <c r="C287" s="7">
        <v>45560</v>
      </c>
      <c r="D287" s="1" t="s">
        <v>56</v>
      </c>
      <c r="E287" s="1" t="s">
        <v>136</v>
      </c>
      <c r="F287" s="1">
        <v>3389</v>
      </c>
      <c r="G287" s="1">
        <v>344</v>
      </c>
      <c r="H287" s="1">
        <v>229</v>
      </c>
      <c r="I287" s="1">
        <v>20334</v>
      </c>
      <c r="J287" s="1">
        <v>19443</v>
      </c>
      <c r="K287" s="1">
        <v>228</v>
      </c>
      <c r="L287" s="1" t="s">
        <v>48</v>
      </c>
      <c r="M287" s="1" t="s">
        <v>359</v>
      </c>
      <c r="N287" s="1" t="s">
        <v>359</v>
      </c>
      <c r="O287" s="8" t="s">
        <v>26</v>
      </c>
      <c r="P287" s="15">
        <f>(Table1_147[[#This Row],[Likes]]+Table1_147[[#This Row],[Shares]]+Table1_147[[#This Row],[Comments]])/Table1_147[[#This Row],[Impressions]]</f>
        <v>0.19484607062063539</v>
      </c>
      <c r="Q287" s="1">
        <f>(Table1_147[[#This Row],[Likes]]+Table1_147[[#This Row],[Shares]]+Table1_147[[#This Row],[Comments]])</f>
        <v>3962</v>
      </c>
    </row>
    <row r="288" spans="1:17" x14ac:dyDescent="0.3">
      <c r="A288" s="6" t="s">
        <v>340</v>
      </c>
      <c r="B288" s="1" t="s">
        <v>28</v>
      </c>
      <c r="C288" s="7">
        <v>45519</v>
      </c>
      <c r="D288" s="1" t="s">
        <v>15</v>
      </c>
      <c r="E288" s="1" t="s">
        <v>61</v>
      </c>
      <c r="F288" s="1">
        <v>1164</v>
      </c>
      <c r="G288" s="1">
        <v>616</v>
      </c>
      <c r="H288" s="1">
        <v>324</v>
      </c>
      <c r="I288" s="1">
        <v>6984</v>
      </c>
      <c r="J288" s="1">
        <v>6636</v>
      </c>
      <c r="K288" s="1">
        <v>82</v>
      </c>
      <c r="L288" s="1" t="s">
        <v>31</v>
      </c>
      <c r="M288" s="1" t="s">
        <v>359</v>
      </c>
      <c r="N288" s="1" t="s">
        <v>359</v>
      </c>
      <c r="O288" s="8" t="s">
        <v>17</v>
      </c>
      <c r="P288" s="15">
        <f>(Table1_147[[#This Row],[Likes]]+Table1_147[[#This Row],[Shares]]+Table1_147[[#This Row],[Comments]])/Table1_147[[#This Row],[Impressions]]</f>
        <v>0.30126002290950743</v>
      </c>
      <c r="Q288" s="1">
        <f>(Table1_147[[#This Row],[Likes]]+Table1_147[[#This Row],[Shares]]+Table1_147[[#This Row],[Comments]])</f>
        <v>2104</v>
      </c>
    </row>
    <row r="289" spans="1:17" x14ac:dyDescent="0.3">
      <c r="A289" s="6" t="s">
        <v>341</v>
      </c>
      <c r="B289" s="1" t="s">
        <v>23</v>
      </c>
      <c r="C289" s="7">
        <v>45764</v>
      </c>
      <c r="D289" s="1" t="s">
        <v>36</v>
      </c>
      <c r="E289" s="1" t="s">
        <v>52</v>
      </c>
      <c r="F289" s="1">
        <v>4780</v>
      </c>
      <c r="G289" s="1">
        <v>691</v>
      </c>
      <c r="H289" s="1">
        <v>380</v>
      </c>
      <c r="I289" s="1">
        <v>86040</v>
      </c>
      <c r="J289" s="1">
        <v>85743</v>
      </c>
      <c r="K289" s="1">
        <v>262</v>
      </c>
      <c r="L289" s="1" t="s">
        <v>48</v>
      </c>
      <c r="M289" s="1" t="s">
        <v>359</v>
      </c>
      <c r="N289" s="1" t="s">
        <v>359</v>
      </c>
      <c r="O289" s="8" t="s">
        <v>26</v>
      </c>
      <c r="P289" s="15">
        <f>(Table1_147[[#This Row],[Likes]]+Table1_147[[#This Row],[Shares]]+Table1_147[[#This Row],[Comments]])/Table1_147[[#This Row],[Impressions]]</f>
        <v>6.800325430032543E-2</v>
      </c>
      <c r="Q289" s="1">
        <f>(Table1_147[[#This Row],[Likes]]+Table1_147[[#This Row],[Shares]]+Table1_147[[#This Row],[Comments]])</f>
        <v>5851</v>
      </c>
    </row>
    <row r="290" spans="1:17" x14ac:dyDescent="0.3">
      <c r="A290" s="6" t="s">
        <v>342</v>
      </c>
      <c r="B290" s="1" t="s">
        <v>35</v>
      </c>
      <c r="C290" s="7">
        <v>45624</v>
      </c>
      <c r="D290" s="1" t="s">
        <v>36</v>
      </c>
      <c r="E290" s="1" t="s">
        <v>37</v>
      </c>
      <c r="F290" s="1">
        <v>2751</v>
      </c>
      <c r="G290" s="1">
        <v>33</v>
      </c>
      <c r="H290" s="1">
        <v>430</v>
      </c>
      <c r="I290" s="1">
        <v>44016</v>
      </c>
      <c r="J290" s="1">
        <v>43415</v>
      </c>
      <c r="K290" s="1">
        <v>129</v>
      </c>
      <c r="L290" s="1" t="s">
        <v>48</v>
      </c>
      <c r="M290" s="1" t="s">
        <v>359</v>
      </c>
      <c r="N290" s="1" t="s">
        <v>359</v>
      </c>
      <c r="O290" s="8" t="s">
        <v>360</v>
      </c>
      <c r="P290" s="15">
        <f>(Table1_147[[#This Row],[Likes]]+Table1_147[[#This Row],[Shares]]+Table1_147[[#This Row],[Comments]])/Table1_147[[#This Row],[Impressions]]</f>
        <v>7.3018902217375503E-2</v>
      </c>
      <c r="Q290" s="1">
        <f>(Table1_147[[#This Row],[Likes]]+Table1_147[[#This Row],[Shares]]+Table1_147[[#This Row],[Comments]])</f>
        <v>3214</v>
      </c>
    </row>
    <row r="291" spans="1:17" x14ac:dyDescent="0.3">
      <c r="A291" s="6" t="s">
        <v>343</v>
      </c>
      <c r="B291" s="1" t="s">
        <v>28</v>
      </c>
      <c r="C291" s="7">
        <v>45646</v>
      </c>
      <c r="D291" s="1" t="s">
        <v>36</v>
      </c>
      <c r="E291" s="1" t="s">
        <v>65</v>
      </c>
      <c r="F291" s="1">
        <v>2107</v>
      </c>
      <c r="G291" s="1">
        <v>550</v>
      </c>
      <c r="H291" s="1">
        <v>349</v>
      </c>
      <c r="I291" s="1">
        <v>35819</v>
      </c>
      <c r="J291" s="1">
        <v>35340</v>
      </c>
      <c r="K291" s="1">
        <v>191</v>
      </c>
      <c r="L291" s="1" t="s">
        <v>31</v>
      </c>
      <c r="M291" s="1" t="s">
        <v>359</v>
      </c>
      <c r="N291" s="1" t="s">
        <v>359</v>
      </c>
      <c r="O291" s="8" t="s">
        <v>32</v>
      </c>
      <c r="P291" s="15">
        <f>(Table1_147[[#This Row],[Likes]]+Table1_147[[#This Row],[Shares]]+Table1_147[[#This Row],[Comments]])/Table1_147[[#This Row],[Impressions]]</f>
        <v>8.3921940869371006E-2</v>
      </c>
      <c r="Q291" s="1">
        <f>(Table1_147[[#This Row],[Likes]]+Table1_147[[#This Row],[Shares]]+Table1_147[[#This Row],[Comments]])</f>
        <v>3006</v>
      </c>
    </row>
    <row r="292" spans="1:17" x14ac:dyDescent="0.3">
      <c r="A292" s="6" t="s">
        <v>344</v>
      </c>
      <c r="B292" s="1" t="s">
        <v>35</v>
      </c>
      <c r="C292" s="7">
        <v>45602</v>
      </c>
      <c r="D292" s="1" t="s">
        <v>56</v>
      </c>
      <c r="E292" s="1" t="s">
        <v>57</v>
      </c>
      <c r="F292" s="1">
        <v>4663</v>
      </c>
      <c r="G292" s="1">
        <v>145</v>
      </c>
      <c r="H292" s="1">
        <v>225</v>
      </c>
      <c r="I292" s="1">
        <v>69945</v>
      </c>
      <c r="J292" s="1">
        <v>69596</v>
      </c>
      <c r="K292" s="1">
        <v>35</v>
      </c>
      <c r="L292" s="1" t="s">
        <v>31</v>
      </c>
      <c r="M292" s="1" t="s">
        <v>359</v>
      </c>
      <c r="N292" s="1" t="s">
        <v>359</v>
      </c>
      <c r="O292" s="8" t="s">
        <v>32</v>
      </c>
      <c r="P292" s="15">
        <f>(Table1_147[[#This Row],[Likes]]+Table1_147[[#This Row],[Shares]]+Table1_147[[#This Row],[Comments]])/Table1_147[[#This Row],[Impressions]]</f>
        <v>7.1956537279290869E-2</v>
      </c>
      <c r="Q292" s="1">
        <f>(Table1_147[[#This Row],[Likes]]+Table1_147[[#This Row],[Shares]]+Table1_147[[#This Row],[Comments]])</f>
        <v>5033</v>
      </c>
    </row>
    <row r="293" spans="1:17" x14ac:dyDescent="0.3">
      <c r="A293" s="6" t="s">
        <v>345</v>
      </c>
      <c r="B293" s="1" t="s">
        <v>35</v>
      </c>
      <c r="C293" s="7">
        <v>45613</v>
      </c>
      <c r="D293" s="1" t="s">
        <v>19</v>
      </c>
      <c r="E293" s="1" t="s">
        <v>44</v>
      </c>
      <c r="F293" s="1">
        <v>880</v>
      </c>
      <c r="G293" s="1">
        <v>297</v>
      </c>
      <c r="H293" s="1">
        <v>345</v>
      </c>
      <c r="I293" s="1">
        <v>12320</v>
      </c>
      <c r="J293" s="1">
        <v>11978</v>
      </c>
      <c r="K293" s="1">
        <v>238</v>
      </c>
      <c r="L293" s="1" t="s">
        <v>25</v>
      </c>
      <c r="M293" s="1" t="s">
        <v>354</v>
      </c>
      <c r="N293" s="1" t="s">
        <v>359</v>
      </c>
      <c r="O293" s="8" t="s">
        <v>360</v>
      </c>
      <c r="P293" s="15">
        <f>(Table1_147[[#This Row],[Likes]]+Table1_147[[#This Row],[Shares]]+Table1_147[[#This Row],[Comments]])/Table1_147[[#This Row],[Impressions]]</f>
        <v>0.12353896103896105</v>
      </c>
      <c r="Q293" s="1">
        <f>(Table1_147[[#This Row],[Likes]]+Table1_147[[#This Row],[Shares]]+Table1_147[[#This Row],[Comments]])</f>
        <v>1522</v>
      </c>
    </row>
    <row r="294" spans="1:17" x14ac:dyDescent="0.3">
      <c r="A294" s="6" t="s">
        <v>346</v>
      </c>
      <c r="B294" s="1" t="s">
        <v>35</v>
      </c>
      <c r="C294" s="7">
        <v>45791</v>
      </c>
      <c r="D294" s="1" t="s">
        <v>19</v>
      </c>
      <c r="E294" s="1" t="s">
        <v>44</v>
      </c>
      <c r="F294" s="1">
        <v>2634</v>
      </c>
      <c r="G294" s="1">
        <v>726</v>
      </c>
      <c r="H294" s="1">
        <v>241</v>
      </c>
      <c r="I294" s="1">
        <v>28974</v>
      </c>
      <c r="J294" s="1">
        <v>28102</v>
      </c>
      <c r="K294" s="1">
        <v>277</v>
      </c>
      <c r="L294" s="1" t="s">
        <v>31</v>
      </c>
      <c r="M294" s="1" t="s">
        <v>359</v>
      </c>
      <c r="N294" s="1" t="s">
        <v>359</v>
      </c>
      <c r="O294" s="8" t="s">
        <v>17</v>
      </c>
      <c r="P294" s="15">
        <f>(Table1_147[[#This Row],[Likes]]+Table1_147[[#This Row],[Shares]]+Table1_147[[#This Row],[Comments]])/Table1_147[[#This Row],[Impressions]]</f>
        <v>0.12428384068475185</v>
      </c>
      <c r="Q294" s="1">
        <f>(Table1_147[[#This Row],[Likes]]+Table1_147[[#This Row],[Shares]]+Table1_147[[#This Row],[Comments]])</f>
        <v>3601</v>
      </c>
    </row>
    <row r="295" spans="1:17" x14ac:dyDescent="0.3">
      <c r="A295" s="6" t="s">
        <v>347</v>
      </c>
      <c r="B295" s="1" t="s">
        <v>35</v>
      </c>
      <c r="C295" s="7">
        <v>45462</v>
      </c>
      <c r="D295" s="1" t="s">
        <v>36</v>
      </c>
      <c r="E295" s="1" t="s">
        <v>37</v>
      </c>
      <c r="F295" s="1">
        <v>4731</v>
      </c>
      <c r="G295" s="1">
        <v>173</v>
      </c>
      <c r="H295" s="1">
        <v>276</v>
      </c>
      <c r="I295" s="1">
        <v>28386</v>
      </c>
      <c r="J295" s="1">
        <v>28185</v>
      </c>
      <c r="K295" s="1">
        <v>89</v>
      </c>
      <c r="L295" s="1" t="s">
        <v>31</v>
      </c>
      <c r="M295" s="1" t="s">
        <v>359</v>
      </c>
      <c r="N295" s="1" t="s">
        <v>359</v>
      </c>
      <c r="O295" s="8" t="s">
        <v>26</v>
      </c>
      <c r="P295" s="15">
        <f>(Table1_147[[#This Row],[Likes]]+Table1_147[[#This Row],[Shares]]+Table1_147[[#This Row],[Comments]])/Table1_147[[#This Row],[Impressions]]</f>
        <v>0.18248432325794406</v>
      </c>
      <c r="Q295" s="1">
        <f>(Table1_147[[#This Row],[Likes]]+Table1_147[[#This Row],[Shares]]+Table1_147[[#This Row],[Comments]])</f>
        <v>5180</v>
      </c>
    </row>
    <row r="296" spans="1:17" x14ac:dyDescent="0.3">
      <c r="A296" s="6" t="s">
        <v>348</v>
      </c>
      <c r="B296" s="1" t="s">
        <v>14</v>
      </c>
      <c r="C296" s="7">
        <v>45783</v>
      </c>
      <c r="D296" s="1" t="s">
        <v>41</v>
      </c>
      <c r="E296" s="1" t="s">
        <v>88</v>
      </c>
      <c r="F296" s="1">
        <v>1952</v>
      </c>
      <c r="G296" s="1">
        <v>344</v>
      </c>
      <c r="H296" s="1">
        <v>287</v>
      </c>
      <c r="I296" s="1">
        <v>15616</v>
      </c>
      <c r="J296" s="1">
        <v>15403</v>
      </c>
      <c r="K296" s="1">
        <v>235</v>
      </c>
      <c r="L296" s="1" t="s">
        <v>48</v>
      </c>
      <c r="M296" s="1" t="s">
        <v>25</v>
      </c>
      <c r="N296" s="1" t="s">
        <v>354</v>
      </c>
      <c r="O296" s="8" t="s">
        <v>21</v>
      </c>
      <c r="P296" s="15">
        <f>(Table1_147[[#This Row],[Likes]]+Table1_147[[#This Row],[Shares]]+Table1_147[[#This Row],[Comments]])/Table1_147[[#This Row],[Impressions]]</f>
        <v>0.16540727459016394</v>
      </c>
      <c r="Q296" s="1">
        <f>(Table1_147[[#This Row],[Likes]]+Table1_147[[#This Row],[Shares]]+Table1_147[[#This Row],[Comments]])</f>
        <v>2583</v>
      </c>
    </row>
    <row r="297" spans="1:17" x14ac:dyDescent="0.3">
      <c r="A297" s="6" t="s">
        <v>349</v>
      </c>
      <c r="B297" s="1" t="s">
        <v>14</v>
      </c>
      <c r="C297" s="7">
        <v>45699</v>
      </c>
      <c r="D297" s="1" t="s">
        <v>56</v>
      </c>
      <c r="E297" s="1" t="s">
        <v>95</v>
      </c>
      <c r="F297" s="1">
        <v>3440</v>
      </c>
      <c r="G297" s="1">
        <v>13</v>
      </c>
      <c r="H297" s="1">
        <v>20</v>
      </c>
      <c r="I297" s="1">
        <v>58480</v>
      </c>
      <c r="J297" s="1">
        <v>58146</v>
      </c>
      <c r="K297" s="1">
        <v>210</v>
      </c>
      <c r="L297" s="1" t="s">
        <v>25</v>
      </c>
      <c r="M297" s="1" t="s">
        <v>356</v>
      </c>
      <c r="N297" s="1" t="s">
        <v>359</v>
      </c>
      <c r="O297" s="8" t="s">
        <v>32</v>
      </c>
      <c r="P297" s="15">
        <f>(Table1_147[[#This Row],[Likes]]+Table1_147[[#This Row],[Shares]]+Table1_147[[#This Row],[Comments]])/Table1_147[[#This Row],[Impressions]]</f>
        <v>5.9387824897400819E-2</v>
      </c>
      <c r="Q297" s="1">
        <f>(Table1_147[[#This Row],[Likes]]+Table1_147[[#This Row],[Shares]]+Table1_147[[#This Row],[Comments]])</f>
        <v>3473</v>
      </c>
    </row>
    <row r="298" spans="1:17" x14ac:dyDescent="0.3">
      <c r="A298" s="6" t="s">
        <v>350</v>
      </c>
      <c r="B298" s="1" t="s">
        <v>14</v>
      </c>
      <c r="C298" s="7">
        <v>45650</v>
      </c>
      <c r="D298" s="1" t="s">
        <v>19</v>
      </c>
      <c r="E298" s="1" t="s">
        <v>20</v>
      </c>
      <c r="F298" s="1">
        <v>2166</v>
      </c>
      <c r="G298" s="1">
        <v>354</v>
      </c>
      <c r="H298" s="1">
        <v>117</v>
      </c>
      <c r="I298" s="1">
        <v>10830</v>
      </c>
      <c r="J298" s="1">
        <v>10245</v>
      </c>
      <c r="K298" s="1">
        <v>24</v>
      </c>
      <c r="L298" s="1" t="s">
        <v>31</v>
      </c>
      <c r="M298" s="1" t="s">
        <v>359</v>
      </c>
      <c r="N298" s="1" t="s">
        <v>359</v>
      </c>
      <c r="O298" s="8" t="s">
        <v>32</v>
      </c>
      <c r="P298" s="15">
        <f>(Table1_147[[#This Row],[Likes]]+Table1_147[[#This Row],[Shares]]+Table1_147[[#This Row],[Comments]])/Table1_147[[#This Row],[Impressions]]</f>
        <v>0.24349030470914126</v>
      </c>
      <c r="Q298" s="1">
        <f>(Table1_147[[#This Row],[Likes]]+Table1_147[[#This Row],[Shares]]+Table1_147[[#This Row],[Comments]])</f>
        <v>2637</v>
      </c>
    </row>
    <row r="299" spans="1:17" x14ac:dyDescent="0.3">
      <c r="A299" s="6" t="s">
        <v>351</v>
      </c>
      <c r="B299" s="1" t="s">
        <v>35</v>
      </c>
      <c r="C299" s="7">
        <v>45589</v>
      </c>
      <c r="D299" s="1" t="s">
        <v>41</v>
      </c>
      <c r="E299" s="1" t="s">
        <v>46</v>
      </c>
      <c r="F299" s="1">
        <v>4303</v>
      </c>
      <c r="G299" s="1">
        <v>451</v>
      </c>
      <c r="H299" s="1">
        <v>286</v>
      </c>
      <c r="I299" s="1">
        <v>86060</v>
      </c>
      <c r="J299" s="1">
        <v>85823</v>
      </c>
      <c r="K299" s="1">
        <v>14</v>
      </c>
      <c r="L299" s="1" t="s">
        <v>25</v>
      </c>
      <c r="M299" s="1" t="s">
        <v>359</v>
      </c>
      <c r="N299" s="1" t="s">
        <v>359</v>
      </c>
      <c r="O299" s="8" t="s">
        <v>26</v>
      </c>
      <c r="P299" s="15">
        <f>(Table1_147[[#This Row],[Likes]]+Table1_147[[#This Row],[Shares]]+Table1_147[[#This Row],[Comments]])/Table1_147[[#This Row],[Impressions]]</f>
        <v>5.8563792702765516E-2</v>
      </c>
      <c r="Q299" s="1">
        <f>(Table1_147[[#This Row],[Likes]]+Table1_147[[#This Row],[Shares]]+Table1_147[[#This Row],[Comments]])</f>
        <v>5040</v>
      </c>
    </row>
    <row r="300" spans="1:17" x14ac:dyDescent="0.3">
      <c r="A300" s="6" t="s">
        <v>352</v>
      </c>
      <c r="B300" s="1" t="s">
        <v>35</v>
      </c>
      <c r="C300" s="7">
        <v>45530</v>
      </c>
      <c r="D300" s="1" t="s">
        <v>41</v>
      </c>
      <c r="E300" s="1" t="s">
        <v>46</v>
      </c>
      <c r="F300" s="1">
        <v>2581</v>
      </c>
      <c r="G300" s="1">
        <v>517</v>
      </c>
      <c r="H300" s="1">
        <v>117</v>
      </c>
      <c r="I300" s="1">
        <v>23229</v>
      </c>
      <c r="J300" s="1">
        <v>22331</v>
      </c>
      <c r="K300" s="1">
        <v>70</v>
      </c>
      <c r="L300" s="1" t="s">
        <v>48</v>
      </c>
      <c r="M300" s="1" t="s">
        <v>359</v>
      </c>
      <c r="N300" s="1" t="s">
        <v>359</v>
      </c>
      <c r="O300" s="8" t="s">
        <v>26</v>
      </c>
      <c r="P300" s="15">
        <f>(Table1_147[[#This Row],[Likes]]+Table1_147[[#This Row],[Shares]]+Table1_147[[#This Row],[Comments]])/Table1_147[[#This Row],[Impressions]]</f>
        <v>0.13840458048129492</v>
      </c>
      <c r="Q300" s="1">
        <f>(Table1_147[[#This Row],[Likes]]+Table1_147[[#This Row],[Shares]]+Table1_147[[#This Row],[Comments]])</f>
        <v>3215</v>
      </c>
    </row>
    <row r="301" spans="1:17" x14ac:dyDescent="0.3">
      <c r="A301" s="9" t="s">
        <v>353</v>
      </c>
      <c r="B301" s="10" t="s">
        <v>14</v>
      </c>
      <c r="C301" s="11">
        <v>45535</v>
      </c>
      <c r="D301" s="10" t="s">
        <v>36</v>
      </c>
      <c r="E301" s="10" t="s">
        <v>39</v>
      </c>
      <c r="F301" s="10">
        <v>4494</v>
      </c>
      <c r="G301" s="10">
        <v>717</v>
      </c>
      <c r="H301" s="10">
        <v>45</v>
      </c>
      <c r="I301" s="10">
        <v>62916</v>
      </c>
      <c r="J301" s="10">
        <v>62688</v>
      </c>
      <c r="K301" s="10">
        <v>191</v>
      </c>
      <c r="L301" s="10" t="s">
        <v>25</v>
      </c>
      <c r="M301" s="10" t="s">
        <v>31</v>
      </c>
      <c r="N301" s="10" t="s">
        <v>355</v>
      </c>
      <c r="O301" s="12" t="s">
        <v>17</v>
      </c>
      <c r="P301" s="16">
        <f>(Table1_147[[#This Row],[Likes]]+Table1_147[[#This Row],[Shares]]+Table1_147[[#This Row],[Comments]])/Table1_147[[#This Row],[Impressions]]</f>
        <v>8.3539958039290485E-2</v>
      </c>
      <c r="Q301" s="10">
        <f>(Table1_147[[#This Row],[Likes]]+Table1_147[[#This Row],[Shares]]+Table1_147[[#This Row],[Comments]])</f>
        <v>5256</v>
      </c>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252-BC50-4809-A205-B5043D782F8D}">
  <sheetPr codeName="Sheet9"/>
  <dimension ref="A1:J201"/>
  <sheetViews>
    <sheetView workbookViewId="0">
      <pane ySplit="1" topLeftCell="A2" activePane="bottomLeft" state="frozen"/>
      <selection pane="bottomLeft" activeCell="N15" sqref="N15"/>
    </sheetView>
  </sheetViews>
  <sheetFormatPr defaultRowHeight="14.4" x14ac:dyDescent="0.3"/>
  <cols>
    <col min="1" max="1" width="15.77734375" bestFit="1" customWidth="1"/>
    <col min="2" max="2" width="9.109375" bestFit="1" customWidth="1"/>
    <col min="3" max="3" width="13.77734375" bestFit="1" customWidth="1"/>
    <col min="4" max="4" width="9.44140625" bestFit="1" customWidth="1"/>
    <col min="5" max="5" width="14.21875" bestFit="1" customWidth="1"/>
    <col min="6" max="6" width="16.44140625" bestFit="1" customWidth="1"/>
    <col min="7" max="7" width="9.6640625" bestFit="1" customWidth="1"/>
    <col min="8" max="8" width="12.21875" customWidth="1"/>
    <col min="9" max="9" width="11.21875" customWidth="1"/>
    <col min="10" max="10" width="15.5546875" bestFit="1" customWidth="1"/>
  </cols>
  <sheetData>
    <row r="1" spans="1:10" x14ac:dyDescent="0.3">
      <c r="A1" s="38" t="s">
        <v>381</v>
      </c>
      <c r="B1" s="38" t="s">
        <v>1</v>
      </c>
      <c r="C1" s="38" t="s">
        <v>382</v>
      </c>
      <c r="D1" s="38" t="s">
        <v>383</v>
      </c>
      <c r="E1" s="38" t="s">
        <v>384</v>
      </c>
      <c r="F1" s="38" t="s">
        <v>385</v>
      </c>
      <c r="G1" s="38" t="s">
        <v>386</v>
      </c>
      <c r="H1" s="38" t="s">
        <v>438</v>
      </c>
      <c r="I1" s="38" t="s">
        <v>437</v>
      </c>
      <c r="J1" s="38" t="s">
        <v>12</v>
      </c>
    </row>
    <row r="2" spans="1:10" x14ac:dyDescent="0.3">
      <c r="A2" s="39" t="s">
        <v>387</v>
      </c>
      <c r="B2" s="39" t="s">
        <v>28</v>
      </c>
      <c r="C2" s="39">
        <v>1135</v>
      </c>
      <c r="D2" s="39">
        <v>88</v>
      </c>
      <c r="E2" s="39">
        <v>344084</v>
      </c>
      <c r="F2" s="39">
        <v>8.06</v>
      </c>
      <c r="G2" s="39">
        <v>5904</v>
      </c>
      <c r="H2" s="1">
        <f>C2-D2</f>
        <v>1047</v>
      </c>
      <c r="I2" s="13">
        <f>H2/E2</f>
        <v>3.0428616268120576E-3</v>
      </c>
      <c r="J2" s="1" t="str" cm="1">
        <f t="array" ref="J2">IFERROR(
    INDEX(Posts!$O:$O,
          MATCH(1,
                (TRIM(UPPER(Posts!$B:$B))=TRIM(UPPER(B2)))*
                (ABS(Posts!$C:$C - A2) &lt;= 7),
          0)),
"unknown")</f>
        <v>SustainabilityDrive</v>
      </c>
    </row>
    <row r="3" spans="1:10" x14ac:dyDescent="0.3">
      <c r="A3" s="39" t="s">
        <v>387</v>
      </c>
      <c r="B3" s="39" t="s">
        <v>35</v>
      </c>
      <c r="C3" s="39">
        <v>1312</v>
      </c>
      <c r="D3" s="39">
        <v>310</v>
      </c>
      <c r="E3" s="39">
        <v>42654</v>
      </c>
      <c r="F3" s="39">
        <v>4.9800000000000004</v>
      </c>
      <c r="G3" s="39">
        <v>9566</v>
      </c>
      <c r="H3" s="1">
        <f t="shared" ref="H3:H66" si="0">C3-D3</f>
        <v>1002</v>
      </c>
      <c r="I3" s="13">
        <f t="shared" ref="I3:I66" si="1">H3/E3</f>
        <v>2.3491348994232664E-2</v>
      </c>
      <c r="J3" s="1" t="str" cm="1">
        <f t="array" ref="J3">IFERROR(
    INDEX(Posts!$O:$O,
          MATCH(1,
                (TRIM(UPPER(Posts!$B:$B))=TRIM(UPPER(B3)))*
                (ABS(Posts!$C:$C - A3) &lt;= 7),
          0)),
"unknown")</f>
        <v>FSDUpdate</v>
      </c>
    </row>
    <row r="4" spans="1:10" x14ac:dyDescent="0.3">
      <c r="A4" s="39" t="s">
        <v>387</v>
      </c>
      <c r="B4" s="39" t="s">
        <v>14</v>
      </c>
      <c r="C4" s="39">
        <v>584</v>
      </c>
      <c r="D4" s="39">
        <v>169</v>
      </c>
      <c r="E4" s="39">
        <v>146834</v>
      </c>
      <c r="F4" s="39">
        <v>8.31</v>
      </c>
      <c r="G4" s="39">
        <v>26752</v>
      </c>
      <c r="H4" s="1">
        <f t="shared" si="0"/>
        <v>415</v>
      </c>
      <c r="I4" s="13">
        <f t="shared" si="1"/>
        <v>2.826320879360366E-3</v>
      </c>
      <c r="J4" s="1" t="str" cm="1">
        <f t="array" ref="J4">IFERROR(
    INDEX(Posts!$O:$O,
          MATCH(1,
                (TRIM(UPPER(Posts!$B:$B))=TRIM(UPPER(B4)))*
                (ABS(Posts!$C:$C - A4) &lt;= 7),
          0)),
"unknown")</f>
        <v>SustainabilityDrive</v>
      </c>
    </row>
    <row r="5" spans="1:10" x14ac:dyDescent="0.3">
      <c r="A5" s="39" t="s">
        <v>387</v>
      </c>
      <c r="B5" s="39" t="s">
        <v>23</v>
      </c>
      <c r="C5" s="39">
        <v>1535</v>
      </c>
      <c r="D5" s="39">
        <v>445</v>
      </c>
      <c r="E5" s="39">
        <v>395536</v>
      </c>
      <c r="F5" s="39">
        <v>4.1100000000000003</v>
      </c>
      <c r="G5" s="39">
        <v>30671</v>
      </c>
      <c r="H5" s="1">
        <f t="shared" si="0"/>
        <v>1090</v>
      </c>
      <c r="I5" s="13">
        <f t="shared" si="1"/>
        <v>2.7557542170624167E-3</v>
      </c>
      <c r="J5" s="1" t="str" cm="1">
        <f t="array" ref="J5">IFERROR(
    INDEX(Posts!$O:$O,
          MATCH(1,
                (TRIM(UPPER(Posts!$B:$B))=TRIM(UPPER(B5)))*
                (ABS(Posts!$C:$C - A5) &lt;= 7),
          0)),
"unknown")</f>
        <v>unknown</v>
      </c>
    </row>
    <row r="6" spans="1:10" x14ac:dyDescent="0.3">
      <c r="A6" s="39" t="s">
        <v>388</v>
      </c>
      <c r="B6" s="39" t="s">
        <v>28</v>
      </c>
      <c r="C6" s="39">
        <v>656</v>
      </c>
      <c r="D6" s="39">
        <v>139</v>
      </c>
      <c r="E6" s="39">
        <v>49157</v>
      </c>
      <c r="F6" s="39">
        <v>9.0500000000000007</v>
      </c>
      <c r="G6" s="39">
        <v>9920</v>
      </c>
      <c r="H6" s="1">
        <f t="shared" si="0"/>
        <v>517</v>
      </c>
      <c r="I6" s="13">
        <f t="shared" si="1"/>
        <v>1.0517322049758936E-2</v>
      </c>
      <c r="J6" s="1" t="str" cm="1">
        <f t="array" ref="J6">IFERROR(
    INDEX(Posts!$O:$O,
          MATCH(1,
                (TRIM(UPPER(Posts!$B:$B))=TRIM(UPPER(B6)))*
                (ABS(Posts!$C:$C - A6) &lt;= 7),
          0)),
"unknown")</f>
        <v>unknown</v>
      </c>
    </row>
    <row r="7" spans="1:10" x14ac:dyDescent="0.3">
      <c r="A7" s="39" t="s">
        <v>388</v>
      </c>
      <c r="B7" s="39" t="s">
        <v>35</v>
      </c>
      <c r="C7" s="39">
        <v>1697</v>
      </c>
      <c r="D7" s="39">
        <v>414</v>
      </c>
      <c r="E7" s="39">
        <v>316555</v>
      </c>
      <c r="F7" s="39">
        <v>2.37</v>
      </c>
      <c r="G7" s="39">
        <v>7924</v>
      </c>
      <c r="H7" s="1">
        <f t="shared" si="0"/>
        <v>1283</v>
      </c>
      <c r="I7" s="13">
        <f t="shared" si="1"/>
        <v>4.0530081660374974E-3</v>
      </c>
      <c r="J7" s="1" t="str" cm="1">
        <f t="array" ref="J7">IFERROR(
    INDEX(Posts!$O:$O,
          MATCH(1,
                (TRIM(UPPER(Posts!$B:$B))=TRIM(UPPER(B7)))*
                (ABS(Posts!$C:$C - A7) &lt;= 7),
          0)),
"unknown")</f>
        <v>ModelYCampaign</v>
      </c>
    </row>
    <row r="8" spans="1:10" x14ac:dyDescent="0.3">
      <c r="A8" s="39" t="s">
        <v>388</v>
      </c>
      <c r="B8" s="39" t="s">
        <v>14</v>
      </c>
      <c r="C8" s="39">
        <v>436</v>
      </c>
      <c r="D8" s="39">
        <v>250</v>
      </c>
      <c r="E8" s="39">
        <v>254347</v>
      </c>
      <c r="F8" s="39">
        <v>4.01</v>
      </c>
      <c r="G8" s="39">
        <v>8912</v>
      </c>
      <c r="H8" s="1">
        <f t="shared" si="0"/>
        <v>186</v>
      </c>
      <c r="I8" s="13">
        <f t="shared" si="1"/>
        <v>7.3128442639386348E-4</v>
      </c>
      <c r="J8" s="1" t="str" cm="1">
        <f t="array" ref="J8">IFERROR(
    INDEX(Posts!$O:$O,
          MATCH(1,
                (TRIM(UPPER(Posts!$B:$B))=TRIM(UPPER(B8)))*
                (ABS(Posts!$C:$C - A8) &lt;= 7),
          0)),
"unknown")</f>
        <v>SustainabilityDrive</v>
      </c>
    </row>
    <row r="9" spans="1:10" x14ac:dyDescent="0.3">
      <c r="A9" s="39" t="s">
        <v>388</v>
      </c>
      <c r="B9" s="39" t="s">
        <v>23</v>
      </c>
      <c r="C9" s="39">
        <v>1197</v>
      </c>
      <c r="D9" s="39">
        <v>203</v>
      </c>
      <c r="E9" s="39">
        <v>413878</v>
      </c>
      <c r="F9" s="39">
        <v>3.16</v>
      </c>
      <c r="G9" s="39">
        <v>21205</v>
      </c>
      <c r="H9" s="1">
        <f t="shared" si="0"/>
        <v>994</v>
      </c>
      <c r="I9" s="13">
        <f t="shared" si="1"/>
        <v>2.4016739232334168E-3</v>
      </c>
      <c r="J9" s="1" t="str" cm="1">
        <f t="array" ref="J9">IFERROR(
    INDEX(Posts!$O:$O,
          MATCH(1,
                (TRIM(UPPER(Posts!$B:$B))=TRIM(UPPER(B9)))*
                (ABS(Posts!$C:$C - A9) &lt;= 7),
          0)),
"unknown")</f>
        <v>unknown</v>
      </c>
    </row>
    <row r="10" spans="1:10" x14ac:dyDescent="0.3">
      <c r="A10" s="39" t="s">
        <v>389</v>
      </c>
      <c r="B10" s="39" t="s">
        <v>28</v>
      </c>
      <c r="C10" s="39">
        <v>1048</v>
      </c>
      <c r="D10" s="39">
        <v>155</v>
      </c>
      <c r="E10" s="39">
        <v>456946</v>
      </c>
      <c r="F10" s="39">
        <v>2.46</v>
      </c>
      <c r="G10" s="39">
        <v>11329</v>
      </c>
      <c r="H10" s="1">
        <f t="shared" si="0"/>
        <v>893</v>
      </c>
      <c r="I10" s="13">
        <f t="shared" si="1"/>
        <v>1.9542790614208243E-3</v>
      </c>
      <c r="J10" s="1" t="str" cm="1">
        <f t="array" ref="J10">IFERROR(
    INDEX(Posts!$O:$O,
          MATCH(1,
                (TRIM(UPPER(Posts!$B:$B))=TRIM(UPPER(B10)))*
                (ABS(Posts!$C:$C - A10) &lt;= 7),
          0)),
"unknown")</f>
        <v>SustainabilityDrive</v>
      </c>
    </row>
    <row r="11" spans="1:10" x14ac:dyDescent="0.3">
      <c r="A11" s="39" t="s">
        <v>389</v>
      </c>
      <c r="B11" s="39" t="s">
        <v>35</v>
      </c>
      <c r="C11" s="39">
        <v>1753</v>
      </c>
      <c r="D11" s="39">
        <v>371</v>
      </c>
      <c r="E11" s="39">
        <v>169496</v>
      </c>
      <c r="F11" s="39">
        <v>8.11</v>
      </c>
      <c r="G11" s="39">
        <v>46670</v>
      </c>
      <c r="H11" s="1">
        <f t="shared" si="0"/>
        <v>1382</v>
      </c>
      <c r="I11" s="13">
        <f t="shared" si="1"/>
        <v>8.1535847453627231E-3</v>
      </c>
      <c r="J11" s="1" t="str" cm="1">
        <f t="array" ref="J11">IFERROR(
    INDEX(Posts!$O:$O,
          MATCH(1,
                (TRIM(UPPER(Posts!$B:$B))=TRIM(UPPER(B11)))*
                (ABS(Posts!$C:$C - A11) &lt;= 7),
          0)),
"unknown")</f>
        <v>ModelYCampaign</v>
      </c>
    </row>
    <row r="12" spans="1:10" x14ac:dyDescent="0.3">
      <c r="A12" s="39" t="s">
        <v>389</v>
      </c>
      <c r="B12" s="39" t="s">
        <v>14</v>
      </c>
      <c r="C12" s="39">
        <v>1335</v>
      </c>
      <c r="D12" s="39">
        <v>40</v>
      </c>
      <c r="E12" s="39">
        <v>122732</v>
      </c>
      <c r="F12" s="39">
        <v>8.19</v>
      </c>
      <c r="G12" s="39">
        <v>22482</v>
      </c>
      <c r="H12" s="1">
        <f t="shared" si="0"/>
        <v>1295</v>
      </c>
      <c r="I12" s="13">
        <f t="shared" si="1"/>
        <v>1.0551445425805821E-2</v>
      </c>
      <c r="J12" s="1" t="str" cm="1">
        <f t="array" ref="J12">IFERROR(
    INDEX(Posts!$O:$O,
          MATCH(1,
                (TRIM(UPPER(Posts!$B:$B))=TRIM(UPPER(B12)))*
                (ABS(Posts!$C:$C - A12) &lt;= 7),
          0)),
"unknown")</f>
        <v>ModelYCampaign</v>
      </c>
    </row>
    <row r="13" spans="1:10" x14ac:dyDescent="0.3">
      <c r="A13" s="39" t="s">
        <v>389</v>
      </c>
      <c r="B13" s="39" t="s">
        <v>23</v>
      </c>
      <c r="C13" s="39">
        <v>403</v>
      </c>
      <c r="D13" s="39">
        <v>66</v>
      </c>
      <c r="E13" s="39">
        <v>382851</v>
      </c>
      <c r="F13" s="39">
        <v>3.49</v>
      </c>
      <c r="G13" s="39">
        <v>24313</v>
      </c>
      <c r="H13" s="1">
        <f t="shared" si="0"/>
        <v>337</v>
      </c>
      <c r="I13" s="13">
        <f t="shared" si="1"/>
        <v>8.80238003818718E-4</v>
      </c>
      <c r="J13" s="1" t="str" cm="1">
        <f t="array" ref="J13">IFERROR(
    INDEX(Posts!$O:$O,
          MATCH(1,
                (TRIM(UPPER(Posts!$B:$B))=TRIM(UPPER(B13)))*
                (ABS(Posts!$C:$C - A13) &lt;= 7),
          0)),
"unknown")</f>
        <v>unknown</v>
      </c>
    </row>
    <row r="14" spans="1:10" x14ac:dyDescent="0.3">
      <c r="A14" s="39" t="s">
        <v>390</v>
      </c>
      <c r="B14" s="39" t="s">
        <v>28</v>
      </c>
      <c r="C14" s="39">
        <v>911</v>
      </c>
      <c r="D14" s="39">
        <v>282</v>
      </c>
      <c r="E14" s="39">
        <v>35664</v>
      </c>
      <c r="F14" s="39">
        <v>6.92</v>
      </c>
      <c r="G14" s="39">
        <v>18050</v>
      </c>
      <c r="H14" s="1">
        <f t="shared" si="0"/>
        <v>629</v>
      </c>
      <c r="I14" s="13">
        <f t="shared" si="1"/>
        <v>1.7636832660385824E-2</v>
      </c>
      <c r="J14" s="1" t="str" cm="1">
        <f t="array" ref="J14">IFERROR(
    INDEX(Posts!$O:$O,
          MATCH(1,
                (TRIM(UPPER(Posts!$B:$B))=TRIM(UPPER(B14)))*
                (ABS(Posts!$C:$C - A14) &lt;= 7),
          0)),
"unknown")</f>
        <v>SustainabilityDrive</v>
      </c>
    </row>
    <row r="15" spans="1:10" x14ac:dyDescent="0.3">
      <c r="A15" s="39" t="s">
        <v>390</v>
      </c>
      <c r="B15" s="39" t="s">
        <v>35</v>
      </c>
      <c r="C15" s="39">
        <v>1779</v>
      </c>
      <c r="D15" s="39">
        <v>109</v>
      </c>
      <c r="E15" s="39">
        <v>26295</v>
      </c>
      <c r="F15" s="39">
        <v>9.1199999999999992</v>
      </c>
      <c r="G15" s="39">
        <v>30635</v>
      </c>
      <c r="H15" s="1">
        <f t="shared" si="0"/>
        <v>1670</v>
      </c>
      <c r="I15" s="13">
        <f t="shared" si="1"/>
        <v>6.3510173036698994E-2</v>
      </c>
      <c r="J15" s="1" t="str" cm="1">
        <f t="array" ref="J15">IFERROR(
    INDEX(Posts!$O:$O,
          MATCH(1,
                (TRIM(UPPER(Posts!$B:$B))=TRIM(UPPER(B15)))*
                (ABS(Posts!$C:$C - A15) &lt;= 7),
          0)),
"unknown")</f>
        <v>SustainabilityDrive</v>
      </c>
    </row>
    <row r="16" spans="1:10" x14ac:dyDescent="0.3">
      <c r="A16" s="39" t="s">
        <v>390</v>
      </c>
      <c r="B16" s="39" t="s">
        <v>14</v>
      </c>
      <c r="C16" s="39">
        <v>1238</v>
      </c>
      <c r="D16" s="39">
        <v>403</v>
      </c>
      <c r="E16" s="39">
        <v>298421</v>
      </c>
      <c r="F16" s="39">
        <v>3.5</v>
      </c>
      <c r="G16" s="39">
        <v>31280</v>
      </c>
      <c r="H16" s="1">
        <f t="shared" si="0"/>
        <v>835</v>
      </c>
      <c r="I16" s="13">
        <f t="shared" si="1"/>
        <v>2.798060458211721E-3</v>
      </c>
      <c r="J16" s="1" t="str" cm="1">
        <f t="array" ref="J16">IFERROR(
    INDEX(Posts!$O:$O,
          MATCH(1,
                (TRIM(UPPER(Posts!$B:$B))=TRIM(UPPER(B16)))*
                (ABS(Posts!$C:$C - A16) &lt;= 7),
          0)),
"unknown")</f>
        <v>ModelYCampaign</v>
      </c>
    </row>
    <row r="17" spans="1:10" x14ac:dyDescent="0.3">
      <c r="A17" s="39" t="s">
        <v>390</v>
      </c>
      <c r="B17" s="39" t="s">
        <v>23</v>
      </c>
      <c r="C17" s="39">
        <v>308</v>
      </c>
      <c r="D17" s="39">
        <v>431</v>
      </c>
      <c r="E17" s="39">
        <v>426184</v>
      </c>
      <c r="F17" s="39">
        <v>2.62</v>
      </c>
      <c r="G17" s="39">
        <v>1783</v>
      </c>
      <c r="H17" s="1">
        <f t="shared" si="0"/>
        <v>-123</v>
      </c>
      <c r="I17" s="13">
        <f t="shared" si="1"/>
        <v>-2.8860773750305035E-4</v>
      </c>
      <c r="J17" s="1" t="str" cm="1">
        <f t="array" ref="J17">IFERROR(
    INDEX(Posts!$O:$O,
          MATCH(1,
                (TRIM(UPPER(Posts!$B:$B))=TRIM(UPPER(B17)))*
                (ABS(Posts!$C:$C - A17) &lt;= 7),
          0)),
"unknown")</f>
        <v>CybertruckLaunch</v>
      </c>
    </row>
    <row r="18" spans="1:10" x14ac:dyDescent="0.3">
      <c r="A18" s="39" t="s">
        <v>391</v>
      </c>
      <c r="B18" s="39" t="s">
        <v>28</v>
      </c>
      <c r="C18" s="39">
        <v>226</v>
      </c>
      <c r="D18" s="39">
        <v>445</v>
      </c>
      <c r="E18" s="39">
        <v>419447</v>
      </c>
      <c r="F18" s="39">
        <v>9.36</v>
      </c>
      <c r="G18" s="39">
        <v>9566</v>
      </c>
      <c r="H18" s="1">
        <f t="shared" si="0"/>
        <v>-219</v>
      </c>
      <c r="I18" s="13">
        <f t="shared" si="1"/>
        <v>-5.2211602419375983E-4</v>
      </c>
      <c r="J18" s="1" t="str" cm="1">
        <f t="array" ref="J18">IFERROR(
    INDEX(Posts!$O:$O,
          MATCH(1,
                (TRIM(UPPER(Posts!$B:$B))=TRIM(UPPER(B18)))*
                (ABS(Posts!$C:$C - A18) &lt;= 7),
          0)),
"unknown")</f>
        <v>CybertruckLaunch</v>
      </c>
    </row>
    <row r="19" spans="1:10" x14ac:dyDescent="0.3">
      <c r="A19" s="39" t="s">
        <v>391</v>
      </c>
      <c r="B19" s="39" t="s">
        <v>35</v>
      </c>
      <c r="C19" s="39">
        <v>505</v>
      </c>
      <c r="D19" s="39">
        <v>441</v>
      </c>
      <c r="E19" s="39">
        <v>220020</v>
      </c>
      <c r="F19" s="39">
        <v>4.4800000000000004</v>
      </c>
      <c r="G19" s="39">
        <v>42307</v>
      </c>
      <c r="H19" s="1">
        <f t="shared" si="0"/>
        <v>64</v>
      </c>
      <c r="I19" s="13">
        <f t="shared" si="1"/>
        <v>2.9088264703208797E-4</v>
      </c>
      <c r="J19" s="1" t="str" cm="1">
        <f t="array" ref="J19">IFERROR(
    INDEX(Posts!$O:$O,
          MATCH(1,
                (TRIM(UPPER(Posts!$B:$B))=TRIM(UPPER(B19)))*
                (ABS(Posts!$C:$C - A19) &lt;= 7),
          0)),
"unknown")</f>
        <v>SustainabilityDrive</v>
      </c>
    </row>
    <row r="20" spans="1:10" x14ac:dyDescent="0.3">
      <c r="A20" s="39" t="s">
        <v>391</v>
      </c>
      <c r="B20" s="39" t="s">
        <v>14</v>
      </c>
      <c r="C20" s="39">
        <v>1420</v>
      </c>
      <c r="D20" s="39">
        <v>63</v>
      </c>
      <c r="E20" s="39">
        <v>315305</v>
      </c>
      <c r="F20" s="39">
        <v>6.19</v>
      </c>
      <c r="G20" s="39">
        <v>5914</v>
      </c>
      <c r="H20" s="1">
        <f t="shared" si="0"/>
        <v>1357</v>
      </c>
      <c r="I20" s="13">
        <f t="shared" si="1"/>
        <v>4.3037693661692649E-3</v>
      </c>
      <c r="J20" s="1" t="str" cm="1">
        <f t="array" ref="J20">IFERROR(
    INDEX(Posts!$O:$O,
          MATCH(1,
                (TRIM(UPPER(Posts!$B:$B))=TRIM(UPPER(B20)))*
                (ABS(Posts!$C:$C - A20) &lt;= 7),
          0)),
"unknown")</f>
        <v>ModelYCampaign</v>
      </c>
    </row>
    <row r="21" spans="1:10" x14ac:dyDescent="0.3">
      <c r="A21" s="39" t="s">
        <v>391</v>
      </c>
      <c r="B21" s="39" t="s">
        <v>23</v>
      </c>
      <c r="C21" s="39">
        <v>144</v>
      </c>
      <c r="D21" s="39">
        <v>53</v>
      </c>
      <c r="E21" s="39">
        <v>113678</v>
      </c>
      <c r="F21" s="39">
        <v>8.7200000000000006</v>
      </c>
      <c r="G21" s="39">
        <v>30060</v>
      </c>
      <c r="H21" s="1">
        <f t="shared" si="0"/>
        <v>91</v>
      </c>
      <c r="I21" s="13">
        <f t="shared" si="1"/>
        <v>8.0050669434719116E-4</v>
      </c>
      <c r="J21" s="1" t="str" cm="1">
        <f t="array" ref="J21">IFERROR(
    INDEX(Posts!$O:$O,
          MATCH(1,
                (TRIM(UPPER(Posts!$B:$B))=TRIM(UPPER(B21)))*
                (ABS(Posts!$C:$C - A21) &lt;= 7),
          0)),
"unknown")</f>
        <v>CybertruckLaunch</v>
      </c>
    </row>
    <row r="22" spans="1:10" x14ac:dyDescent="0.3">
      <c r="A22" s="39" t="s">
        <v>392</v>
      </c>
      <c r="B22" s="39" t="s">
        <v>28</v>
      </c>
      <c r="C22" s="39">
        <v>1757</v>
      </c>
      <c r="D22" s="39">
        <v>85</v>
      </c>
      <c r="E22" s="39">
        <v>58223</v>
      </c>
      <c r="F22" s="39">
        <v>8.74</v>
      </c>
      <c r="G22" s="39">
        <v>22728</v>
      </c>
      <c r="H22" s="1">
        <f t="shared" si="0"/>
        <v>1672</v>
      </c>
      <c r="I22" s="13">
        <f t="shared" si="1"/>
        <v>2.8717173625543171E-2</v>
      </c>
      <c r="J22" s="1" t="str" cm="1">
        <f t="array" ref="J22">IFERROR(
    INDEX(Posts!$O:$O,
          MATCH(1,
                (TRIM(UPPER(Posts!$B:$B))=TRIM(UPPER(B22)))*
                (ABS(Posts!$C:$C - A22) &lt;= 7),
          0)),
"unknown")</f>
        <v>SustainabilityDrive</v>
      </c>
    </row>
    <row r="23" spans="1:10" x14ac:dyDescent="0.3">
      <c r="A23" s="39" t="s">
        <v>392</v>
      </c>
      <c r="B23" s="39" t="s">
        <v>35</v>
      </c>
      <c r="C23" s="39">
        <v>350</v>
      </c>
      <c r="D23" s="39">
        <v>41</v>
      </c>
      <c r="E23" s="39">
        <v>251694</v>
      </c>
      <c r="F23" s="39">
        <v>1.91</v>
      </c>
      <c r="G23" s="39">
        <v>38610</v>
      </c>
      <c r="H23" s="1">
        <f t="shared" si="0"/>
        <v>309</v>
      </c>
      <c r="I23" s="13">
        <f t="shared" si="1"/>
        <v>1.2276812319721568E-3</v>
      </c>
      <c r="J23" s="1" t="str" cm="1">
        <f t="array" ref="J23">IFERROR(
    INDEX(Posts!$O:$O,
          MATCH(1,
                (TRIM(UPPER(Posts!$B:$B))=TRIM(UPPER(B23)))*
                (ABS(Posts!$C:$C - A23) &lt;= 7),
          0)),
"unknown")</f>
        <v>SustainabilityDrive</v>
      </c>
    </row>
    <row r="24" spans="1:10" x14ac:dyDescent="0.3">
      <c r="A24" s="39" t="s">
        <v>392</v>
      </c>
      <c r="B24" s="39" t="s">
        <v>14</v>
      </c>
      <c r="C24" s="39">
        <v>987</v>
      </c>
      <c r="D24" s="39">
        <v>440</v>
      </c>
      <c r="E24" s="39">
        <v>389810</v>
      </c>
      <c r="F24" s="39">
        <v>4.66</v>
      </c>
      <c r="G24" s="39">
        <v>2932</v>
      </c>
      <c r="H24" s="1">
        <f t="shared" si="0"/>
        <v>547</v>
      </c>
      <c r="I24" s="13">
        <f t="shared" si="1"/>
        <v>1.40324773607655E-3</v>
      </c>
      <c r="J24" s="1" t="str" cm="1">
        <f t="array" ref="J24">IFERROR(
    INDEX(Posts!$O:$O,
          MATCH(1,
                (TRIM(UPPER(Posts!$B:$B))=TRIM(UPPER(B24)))*
                (ABS(Posts!$C:$C - A24) &lt;= 7),
          0)),
"unknown")</f>
        <v>unknown</v>
      </c>
    </row>
    <row r="25" spans="1:10" x14ac:dyDescent="0.3">
      <c r="A25" s="39" t="s">
        <v>392</v>
      </c>
      <c r="B25" s="39" t="s">
        <v>23</v>
      </c>
      <c r="C25" s="39">
        <v>883</v>
      </c>
      <c r="D25" s="39">
        <v>369</v>
      </c>
      <c r="E25" s="39">
        <v>233694</v>
      </c>
      <c r="F25" s="39">
        <v>2.88</v>
      </c>
      <c r="G25" s="39">
        <v>15071</v>
      </c>
      <c r="H25" s="1">
        <f t="shared" si="0"/>
        <v>514</v>
      </c>
      <c r="I25" s="13">
        <f t="shared" si="1"/>
        <v>2.1994574101175039E-3</v>
      </c>
      <c r="J25" s="1" t="str" cm="1">
        <f t="array" ref="J25">IFERROR(
    INDEX(Posts!$O:$O,
          MATCH(1,
                (TRIM(UPPER(Posts!$B:$B))=TRIM(UPPER(B25)))*
                (ABS(Posts!$C:$C - A25) &lt;= 7),
          0)),
"unknown")</f>
        <v>SustainabilityDrive</v>
      </c>
    </row>
    <row r="26" spans="1:10" x14ac:dyDescent="0.3">
      <c r="A26" s="39" t="s">
        <v>393</v>
      </c>
      <c r="B26" s="39" t="s">
        <v>28</v>
      </c>
      <c r="C26" s="39">
        <v>1960</v>
      </c>
      <c r="D26" s="39">
        <v>115</v>
      </c>
      <c r="E26" s="39">
        <v>154169</v>
      </c>
      <c r="F26" s="39">
        <v>3.74</v>
      </c>
      <c r="G26" s="39">
        <v>10740</v>
      </c>
      <c r="H26" s="1">
        <f t="shared" si="0"/>
        <v>1845</v>
      </c>
      <c r="I26" s="13">
        <f t="shared" si="1"/>
        <v>1.1967386439556591E-2</v>
      </c>
      <c r="J26" s="1" t="str" cm="1">
        <f t="array" ref="J26">IFERROR(
    INDEX(Posts!$O:$O,
          MATCH(1,
                (TRIM(UPPER(Posts!$B:$B))=TRIM(UPPER(B26)))*
                (ABS(Posts!$C:$C - A26) &lt;= 7),
          0)),
"unknown")</f>
        <v>SustainabilityDrive</v>
      </c>
    </row>
    <row r="27" spans="1:10" x14ac:dyDescent="0.3">
      <c r="A27" s="39" t="s">
        <v>393</v>
      </c>
      <c r="B27" s="39" t="s">
        <v>35</v>
      </c>
      <c r="C27" s="39">
        <v>170</v>
      </c>
      <c r="D27" s="39">
        <v>334</v>
      </c>
      <c r="E27" s="39">
        <v>334626</v>
      </c>
      <c r="F27" s="39">
        <v>6.44</v>
      </c>
      <c r="G27" s="39">
        <v>43420</v>
      </c>
      <c r="H27" s="1">
        <f t="shared" si="0"/>
        <v>-164</v>
      </c>
      <c r="I27" s="13">
        <f t="shared" si="1"/>
        <v>-4.9009939454794306E-4</v>
      </c>
      <c r="J27" s="1" t="str" cm="1">
        <f t="array" ref="J27">IFERROR(
    INDEX(Posts!$O:$O,
          MATCH(1,
                (TRIM(UPPER(Posts!$B:$B))=TRIM(UPPER(B27)))*
                (ABS(Posts!$C:$C - A27) &lt;= 7),
          0)),
"unknown")</f>
        <v>FSDUpdate</v>
      </c>
    </row>
    <row r="28" spans="1:10" x14ac:dyDescent="0.3">
      <c r="A28" s="39" t="s">
        <v>393</v>
      </c>
      <c r="B28" s="39" t="s">
        <v>14</v>
      </c>
      <c r="C28" s="39">
        <v>704</v>
      </c>
      <c r="D28" s="39">
        <v>275</v>
      </c>
      <c r="E28" s="39">
        <v>226002</v>
      </c>
      <c r="F28" s="39">
        <v>8.56</v>
      </c>
      <c r="G28" s="39">
        <v>32393</v>
      </c>
      <c r="H28" s="1">
        <f t="shared" si="0"/>
        <v>429</v>
      </c>
      <c r="I28" s="13">
        <f t="shared" si="1"/>
        <v>1.8982132901478749E-3</v>
      </c>
      <c r="J28" s="1" t="str" cm="1">
        <f t="array" ref="J28">IFERROR(
    INDEX(Posts!$O:$O,
          MATCH(1,
                (TRIM(UPPER(Posts!$B:$B))=TRIM(UPPER(B28)))*
                (ABS(Posts!$C:$C - A28) &lt;= 7),
          0)),
"unknown")</f>
        <v>unknown</v>
      </c>
    </row>
    <row r="29" spans="1:10" x14ac:dyDescent="0.3">
      <c r="A29" s="39" t="s">
        <v>393</v>
      </c>
      <c r="B29" s="39" t="s">
        <v>23</v>
      </c>
      <c r="C29" s="39">
        <v>224</v>
      </c>
      <c r="D29" s="39">
        <v>64</v>
      </c>
      <c r="E29" s="39">
        <v>156683</v>
      </c>
      <c r="F29" s="39">
        <v>4.5599999999999996</v>
      </c>
      <c r="G29" s="39">
        <v>28474</v>
      </c>
      <c r="H29" s="1">
        <f t="shared" si="0"/>
        <v>160</v>
      </c>
      <c r="I29" s="13">
        <f t="shared" si="1"/>
        <v>1.0211701333265254E-3</v>
      </c>
      <c r="J29" s="1" t="str" cm="1">
        <f t="array" ref="J29">IFERROR(
    INDEX(Posts!$O:$O,
          MATCH(1,
                (TRIM(UPPER(Posts!$B:$B))=TRIM(UPPER(B29)))*
                (ABS(Posts!$C:$C - A29) &lt;= 7),
          0)),
"unknown")</f>
        <v>SustainabilityDrive</v>
      </c>
    </row>
    <row r="30" spans="1:10" x14ac:dyDescent="0.3">
      <c r="A30" s="39" t="s">
        <v>394</v>
      </c>
      <c r="B30" s="39" t="s">
        <v>28</v>
      </c>
      <c r="C30" s="39">
        <v>508</v>
      </c>
      <c r="D30" s="39">
        <v>349</v>
      </c>
      <c r="E30" s="39">
        <v>473812</v>
      </c>
      <c r="F30" s="39">
        <v>7.88</v>
      </c>
      <c r="G30" s="39">
        <v>17328</v>
      </c>
      <c r="H30" s="1">
        <f t="shared" si="0"/>
        <v>159</v>
      </c>
      <c r="I30" s="13">
        <f t="shared" si="1"/>
        <v>3.3557613568250698E-4</v>
      </c>
      <c r="J30" s="1" t="str" cm="1">
        <f t="array" ref="J30">IFERROR(
    INDEX(Posts!$O:$O,
          MATCH(1,
                (TRIM(UPPER(Posts!$B:$B))=TRIM(UPPER(B30)))*
                (ABS(Posts!$C:$C - A30) &lt;= 7),
          0)),
"unknown")</f>
        <v>FSDUpdate</v>
      </c>
    </row>
    <row r="31" spans="1:10" x14ac:dyDescent="0.3">
      <c r="A31" s="39" t="s">
        <v>394</v>
      </c>
      <c r="B31" s="39" t="s">
        <v>35</v>
      </c>
      <c r="C31" s="39">
        <v>1391</v>
      </c>
      <c r="D31" s="39">
        <v>430</v>
      </c>
      <c r="E31" s="39">
        <v>295032</v>
      </c>
      <c r="F31" s="39">
        <v>7.86</v>
      </c>
      <c r="G31" s="39">
        <v>26067</v>
      </c>
      <c r="H31" s="1">
        <f t="shared" si="0"/>
        <v>961</v>
      </c>
      <c r="I31" s="13">
        <f t="shared" si="1"/>
        <v>3.2572737872501967E-3</v>
      </c>
      <c r="J31" s="1" t="str" cm="1">
        <f t="array" ref="J31">IFERROR(
    INDEX(Posts!$O:$O,
          MATCH(1,
                (TRIM(UPPER(Posts!$B:$B))=TRIM(UPPER(B31)))*
                (ABS(Posts!$C:$C - A31) &lt;= 7),
          0)),
"unknown")</f>
        <v>FSDUpdate</v>
      </c>
    </row>
    <row r="32" spans="1:10" x14ac:dyDescent="0.3">
      <c r="A32" s="39" t="s">
        <v>394</v>
      </c>
      <c r="B32" s="39" t="s">
        <v>14</v>
      </c>
      <c r="C32" s="39">
        <v>1701</v>
      </c>
      <c r="D32" s="39">
        <v>385</v>
      </c>
      <c r="E32" s="39">
        <v>198278</v>
      </c>
      <c r="F32" s="39">
        <v>5.34</v>
      </c>
      <c r="G32" s="39">
        <v>32763</v>
      </c>
      <c r="H32" s="1">
        <f t="shared" si="0"/>
        <v>1316</v>
      </c>
      <c r="I32" s="13">
        <f t="shared" si="1"/>
        <v>6.6371458255580548E-3</v>
      </c>
      <c r="J32" s="1" t="str" cm="1">
        <f t="array" ref="J32">IFERROR(
    INDEX(Posts!$O:$O,
          MATCH(1,
                (TRIM(UPPER(Posts!$B:$B))=TRIM(UPPER(B32)))*
                (ABS(Posts!$C:$C - A32) &lt;= 7),
          0)),
"unknown")</f>
        <v>CybertruckLaunch</v>
      </c>
    </row>
    <row r="33" spans="1:10" x14ac:dyDescent="0.3">
      <c r="A33" s="39" t="s">
        <v>394</v>
      </c>
      <c r="B33" s="39" t="s">
        <v>23</v>
      </c>
      <c r="C33" s="39">
        <v>804</v>
      </c>
      <c r="D33" s="39">
        <v>487</v>
      </c>
      <c r="E33" s="39">
        <v>306564</v>
      </c>
      <c r="F33" s="39">
        <v>5.52</v>
      </c>
      <c r="G33" s="39">
        <v>26452</v>
      </c>
      <c r="H33" s="1">
        <f t="shared" si="0"/>
        <v>317</v>
      </c>
      <c r="I33" s="13">
        <f t="shared" si="1"/>
        <v>1.0340418313957282E-3</v>
      </c>
      <c r="J33" s="1" t="str" cm="1">
        <f t="array" ref="J33">IFERROR(
    INDEX(Posts!$O:$O,
          MATCH(1,
                (TRIM(UPPER(Posts!$B:$B))=TRIM(UPPER(B33)))*
                (ABS(Posts!$C:$C - A33) &lt;= 7),
          0)),
"unknown")</f>
        <v>ModelYCampaign</v>
      </c>
    </row>
    <row r="34" spans="1:10" x14ac:dyDescent="0.3">
      <c r="A34" s="39" t="s">
        <v>395</v>
      </c>
      <c r="B34" s="39" t="s">
        <v>28</v>
      </c>
      <c r="C34" s="39">
        <v>653</v>
      </c>
      <c r="D34" s="39">
        <v>112</v>
      </c>
      <c r="E34" s="39">
        <v>23664</v>
      </c>
      <c r="F34" s="39">
        <v>4.05</v>
      </c>
      <c r="G34" s="39">
        <v>15353</v>
      </c>
      <c r="H34" s="1">
        <f t="shared" si="0"/>
        <v>541</v>
      </c>
      <c r="I34" s="13">
        <f t="shared" si="1"/>
        <v>2.2861730899256253E-2</v>
      </c>
      <c r="J34" s="1" t="str" cm="1">
        <f t="array" ref="J34">IFERROR(
    INDEX(Posts!$O:$O,
          MATCH(1,
                (TRIM(UPPER(Posts!$B:$B))=TRIM(UPPER(B34)))*
                (ABS(Posts!$C:$C - A34) &lt;= 7),
          0)),
"unknown")</f>
        <v>SustainabilityDrive</v>
      </c>
    </row>
    <row r="35" spans="1:10" x14ac:dyDescent="0.3">
      <c r="A35" s="39" t="s">
        <v>395</v>
      </c>
      <c r="B35" s="39" t="s">
        <v>35</v>
      </c>
      <c r="C35" s="39">
        <v>160</v>
      </c>
      <c r="D35" s="39">
        <v>478</v>
      </c>
      <c r="E35" s="39">
        <v>435034</v>
      </c>
      <c r="F35" s="39">
        <v>7.73</v>
      </c>
      <c r="G35" s="39">
        <v>4839</v>
      </c>
      <c r="H35" s="1">
        <f t="shared" si="0"/>
        <v>-318</v>
      </c>
      <c r="I35" s="13">
        <f t="shared" si="1"/>
        <v>-7.3097734889686784E-4</v>
      </c>
      <c r="J35" s="1" t="str" cm="1">
        <f t="array" ref="J35">IFERROR(
    INDEX(Posts!$O:$O,
          MATCH(1,
                (TRIM(UPPER(Posts!$B:$B))=TRIM(UPPER(B35)))*
                (ABS(Posts!$C:$C - A35) &lt;= 7),
          0)),
"unknown")</f>
        <v>unknown</v>
      </c>
    </row>
    <row r="36" spans="1:10" x14ac:dyDescent="0.3">
      <c r="A36" s="39" t="s">
        <v>395</v>
      </c>
      <c r="B36" s="39" t="s">
        <v>14</v>
      </c>
      <c r="C36" s="39">
        <v>1756</v>
      </c>
      <c r="D36" s="39">
        <v>261</v>
      </c>
      <c r="E36" s="39">
        <v>287574</v>
      </c>
      <c r="F36" s="39">
        <v>4.3600000000000003</v>
      </c>
      <c r="G36" s="39">
        <v>39272</v>
      </c>
      <c r="H36" s="1">
        <f t="shared" si="0"/>
        <v>1495</v>
      </c>
      <c r="I36" s="13">
        <f t="shared" si="1"/>
        <v>5.1986619096302169E-3</v>
      </c>
      <c r="J36" s="1" t="str" cm="1">
        <f t="array" ref="J36">IFERROR(
    INDEX(Posts!$O:$O,
          MATCH(1,
                (TRIM(UPPER(Posts!$B:$B))=TRIM(UPPER(B36)))*
                (ABS(Posts!$C:$C - A36) &lt;= 7),
          0)),
"unknown")</f>
        <v>CybertruckLaunch</v>
      </c>
    </row>
    <row r="37" spans="1:10" x14ac:dyDescent="0.3">
      <c r="A37" s="39" t="s">
        <v>395</v>
      </c>
      <c r="B37" s="39" t="s">
        <v>23</v>
      </c>
      <c r="C37" s="39">
        <v>576</v>
      </c>
      <c r="D37" s="39">
        <v>101</v>
      </c>
      <c r="E37" s="39">
        <v>62499</v>
      </c>
      <c r="F37" s="39">
        <v>3.48</v>
      </c>
      <c r="G37" s="39">
        <v>16804</v>
      </c>
      <c r="H37" s="1">
        <f t="shared" si="0"/>
        <v>475</v>
      </c>
      <c r="I37" s="13">
        <f t="shared" si="1"/>
        <v>7.600121601945631E-3</v>
      </c>
      <c r="J37" s="1" t="str" cm="1">
        <f t="array" ref="J37">IFERROR(
    INDEX(Posts!$O:$O,
          MATCH(1,
                (TRIM(UPPER(Posts!$B:$B))=TRIM(UPPER(B37)))*
                (ABS(Posts!$C:$C - A37) &lt;= 7),
          0)),
"unknown")</f>
        <v>ModelYCampaign</v>
      </c>
    </row>
    <row r="38" spans="1:10" x14ac:dyDescent="0.3">
      <c r="A38" s="39" t="s">
        <v>396</v>
      </c>
      <c r="B38" s="39" t="s">
        <v>28</v>
      </c>
      <c r="C38" s="39">
        <v>645</v>
      </c>
      <c r="D38" s="39">
        <v>293</v>
      </c>
      <c r="E38" s="39">
        <v>437968</v>
      </c>
      <c r="F38" s="39">
        <v>7.83</v>
      </c>
      <c r="G38" s="39">
        <v>49303</v>
      </c>
      <c r="H38" s="1">
        <f t="shared" si="0"/>
        <v>352</v>
      </c>
      <c r="I38" s="13">
        <f t="shared" si="1"/>
        <v>8.0371168669857163E-4</v>
      </c>
      <c r="J38" s="1" t="str" cm="1">
        <f t="array" ref="J38">IFERROR(
    INDEX(Posts!$O:$O,
          MATCH(1,
                (TRIM(UPPER(Posts!$B:$B))=TRIM(UPPER(B38)))*
                (ABS(Posts!$C:$C - A38) &lt;= 7),
          0)),
"unknown")</f>
        <v>SustainabilityDrive</v>
      </c>
    </row>
    <row r="39" spans="1:10" x14ac:dyDescent="0.3">
      <c r="A39" s="39" t="s">
        <v>396</v>
      </c>
      <c r="B39" s="39" t="s">
        <v>35</v>
      </c>
      <c r="C39" s="39">
        <v>214</v>
      </c>
      <c r="D39" s="39">
        <v>411</v>
      </c>
      <c r="E39" s="39">
        <v>125034</v>
      </c>
      <c r="F39" s="39">
        <v>6.11</v>
      </c>
      <c r="G39" s="39">
        <v>26455</v>
      </c>
      <c r="H39" s="1">
        <f t="shared" si="0"/>
        <v>-197</v>
      </c>
      <c r="I39" s="13">
        <f t="shared" si="1"/>
        <v>-1.5755714445670778E-3</v>
      </c>
      <c r="J39" s="1" t="str" cm="1">
        <f t="array" ref="J39">IFERROR(
    INDEX(Posts!$O:$O,
          MATCH(1,
                (TRIM(UPPER(Posts!$B:$B))=TRIM(UPPER(B39)))*
                (ABS(Posts!$C:$C - A39) &lt;= 7),
          0)),
"unknown")</f>
        <v>unknown</v>
      </c>
    </row>
    <row r="40" spans="1:10" x14ac:dyDescent="0.3">
      <c r="A40" s="39" t="s">
        <v>396</v>
      </c>
      <c r="B40" s="39" t="s">
        <v>14</v>
      </c>
      <c r="C40" s="39">
        <v>826</v>
      </c>
      <c r="D40" s="39">
        <v>498</v>
      </c>
      <c r="E40" s="39">
        <v>449994</v>
      </c>
      <c r="F40" s="39">
        <v>9.43</v>
      </c>
      <c r="G40" s="39">
        <v>12384</v>
      </c>
      <c r="H40" s="1">
        <f t="shared" si="0"/>
        <v>328</v>
      </c>
      <c r="I40" s="13">
        <f t="shared" si="1"/>
        <v>7.2889860753698943E-4</v>
      </c>
      <c r="J40" s="1" t="str" cm="1">
        <f t="array" ref="J40">IFERROR(
    INDEX(Posts!$O:$O,
          MATCH(1,
                (TRIM(UPPER(Posts!$B:$B))=TRIM(UPPER(B40)))*
                (ABS(Posts!$C:$C - A40) &lt;= 7),
          0)),
"unknown")</f>
        <v>CybertruckLaunch</v>
      </c>
    </row>
    <row r="41" spans="1:10" x14ac:dyDescent="0.3">
      <c r="A41" s="39" t="s">
        <v>396</v>
      </c>
      <c r="B41" s="39" t="s">
        <v>23</v>
      </c>
      <c r="C41" s="39">
        <v>460</v>
      </c>
      <c r="D41" s="39">
        <v>141</v>
      </c>
      <c r="E41" s="39">
        <v>320650</v>
      </c>
      <c r="F41" s="39">
        <v>4.04</v>
      </c>
      <c r="G41" s="39">
        <v>49372</v>
      </c>
      <c r="H41" s="1">
        <f t="shared" si="0"/>
        <v>319</v>
      </c>
      <c r="I41" s="13">
        <f t="shared" si="1"/>
        <v>9.9485420240137223E-4</v>
      </c>
      <c r="J41" s="1" t="str" cm="1">
        <f t="array" ref="J41">IFERROR(
    INDEX(Posts!$O:$O,
          MATCH(1,
                (TRIM(UPPER(Posts!$B:$B))=TRIM(UPPER(B41)))*
                (ABS(Posts!$C:$C - A41) &lt;= 7),
          0)),
"unknown")</f>
        <v>ModelYCampaign</v>
      </c>
    </row>
    <row r="42" spans="1:10" x14ac:dyDescent="0.3">
      <c r="A42" s="39" t="s">
        <v>397</v>
      </c>
      <c r="B42" s="39" t="s">
        <v>28</v>
      </c>
      <c r="C42" s="39">
        <v>1528</v>
      </c>
      <c r="D42" s="39">
        <v>203</v>
      </c>
      <c r="E42" s="39">
        <v>489188</v>
      </c>
      <c r="F42" s="39">
        <v>6.23</v>
      </c>
      <c r="G42" s="39">
        <v>47101</v>
      </c>
      <c r="H42" s="1">
        <f t="shared" si="0"/>
        <v>1325</v>
      </c>
      <c r="I42" s="13">
        <f t="shared" si="1"/>
        <v>2.7085701202809553E-3</v>
      </c>
      <c r="J42" s="1" t="str" cm="1">
        <f t="array" ref="J42">IFERROR(
    INDEX(Posts!$O:$O,
          MATCH(1,
                (TRIM(UPPER(Posts!$B:$B))=TRIM(UPPER(B42)))*
                (ABS(Posts!$C:$C - A42) &lt;= 7),
          0)),
"unknown")</f>
        <v>SustainabilityDrive</v>
      </c>
    </row>
    <row r="43" spans="1:10" x14ac:dyDescent="0.3">
      <c r="A43" s="39" t="s">
        <v>397</v>
      </c>
      <c r="B43" s="39" t="s">
        <v>35</v>
      </c>
      <c r="C43" s="39">
        <v>1534</v>
      </c>
      <c r="D43" s="39">
        <v>200</v>
      </c>
      <c r="E43" s="39">
        <v>307612</v>
      </c>
      <c r="F43" s="39">
        <v>6.01</v>
      </c>
      <c r="G43" s="39">
        <v>37903</v>
      </c>
      <c r="H43" s="1">
        <f t="shared" si="0"/>
        <v>1334</v>
      </c>
      <c r="I43" s="13">
        <f t="shared" si="1"/>
        <v>4.3366318609156986E-3</v>
      </c>
      <c r="J43" s="1" t="str" cm="1">
        <f t="array" ref="J43">IFERROR(
    INDEX(Posts!$O:$O,
          MATCH(1,
                (TRIM(UPPER(Posts!$B:$B))=TRIM(UPPER(B43)))*
                (ABS(Posts!$C:$C - A43) &lt;= 7),
          0)),
"unknown")</f>
        <v>FSDUpdate</v>
      </c>
    </row>
    <row r="44" spans="1:10" x14ac:dyDescent="0.3">
      <c r="A44" s="39" t="s">
        <v>397</v>
      </c>
      <c r="B44" s="39" t="s">
        <v>14</v>
      </c>
      <c r="C44" s="39">
        <v>485</v>
      </c>
      <c r="D44" s="39">
        <v>448</v>
      </c>
      <c r="E44" s="39">
        <v>434883</v>
      </c>
      <c r="F44" s="39">
        <v>8.5500000000000007</v>
      </c>
      <c r="G44" s="39">
        <v>33258</v>
      </c>
      <c r="H44" s="1">
        <f t="shared" si="0"/>
        <v>37</v>
      </c>
      <c r="I44" s="13">
        <f t="shared" si="1"/>
        <v>8.5080354946042954E-5</v>
      </c>
      <c r="J44" s="1" t="str" cm="1">
        <f t="array" ref="J44">IFERROR(
    INDEX(Posts!$O:$O,
          MATCH(1,
                (TRIM(UPPER(Posts!$B:$B))=TRIM(UPPER(B44)))*
                (ABS(Posts!$C:$C - A44) &lt;= 7),
          0)),
"unknown")</f>
        <v>FSDUpdate</v>
      </c>
    </row>
    <row r="45" spans="1:10" x14ac:dyDescent="0.3">
      <c r="A45" s="39" t="s">
        <v>397</v>
      </c>
      <c r="B45" s="39" t="s">
        <v>23</v>
      </c>
      <c r="C45" s="39">
        <v>1210</v>
      </c>
      <c r="D45" s="39">
        <v>178</v>
      </c>
      <c r="E45" s="39">
        <v>102042</v>
      </c>
      <c r="F45" s="39">
        <v>5.42</v>
      </c>
      <c r="G45" s="39">
        <v>6915</v>
      </c>
      <c r="H45" s="1">
        <f t="shared" si="0"/>
        <v>1032</v>
      </c>
      <c r="I45" s="13">
        <f t="shared" si="1"/>
        <v>1.011348268360087E-2</v>
      </c>
      <c r="J45" s="1" t="str" cm="1">
        <f t="array" ref="J45">IFERROR(
    INDEX(Posts!$O:$O,
          MATCH(1,
                (TRIM(UPPER(Posts!$B:$B))=TRIM(UPPER(B45)))*
                (ABS(Posts!$C:$C - A45) &lt;= 7),
          0)),
"unknown")</f>
        <v>unknown</v>
      </c>
    </row>
    <row r="46" spans="1:10" x14ac:dyDescent="0.3">
      <c r="A46" s="39" t="s">
        <v>398</v>
      </c>
      <c r="B46" s="39" t="s">
        <v>28</v>
      </c>
      <c r="C46" s="39">
        <v>215</v>
      </c>
      <c r="D46" s="39">
        <v>139</v>
      </c>
      <c r="E46" s="39">
        <v>325444</v>
      </c>
      <c r="F46" s="39">
        <v>3.25</v>
      </c>
      <c r="G46" s="39">
        <v>35501</v>
      </c>
      <c r="H46" s="1">
        <f t="shared" si="0"/>
        <v>76</v>
      </c>
      <c r="I46" s="13">
        <f t="shared" si="1"/>
        <v>2.335271198731579E-4</v>
      </c>
      <c r="J46" s="1" t="str" cm="1">
        <f t="array" ref="J46">IFERROR(
    INDEX(Posts!$O:$O,
          MATCH(1,
                (TRIM(UPPER(Posts!$B:$B))=TRIM(UPPER(B46)))*
                (ABS(Posts!$C:$C - A46) &lt;= 7),
          0)),
"unknown")</f>
        <v>SustainabilityDrive</v>
      </c>
    </row>
    <row r="47" spans="1:10" x14ac:dyDescent="0.3">
      <c r="A47" s="39" t="s">
        <v>398</v>
      </c>
      <c r="B47" s="39" t="s">
        <v>35</v>
      </c>
      <c r="C47" s="39">
        <v>1078</v>
      </c>
      <c r="D47" s="39">
        <v>20</v>
      </c>
      <c r="E47" s="39">
        <v>183924</v>
      </c>
      <c r="F47" s="39">
        <v>8.84</v>
      </c>
      <c r="G47" s="39">
        <v>14203</v>
      </c>
      <c r="H47" s="1">
        <f t="shared" si="0"/>
        <v>1058</v>
      </c>
      <c r="I47" s="13">
        <f t="shared" si="1"/>
        <v>5.7523759813836147E-3</v>
      </c>
      <c r="J47" s="1" t="str" cm="1">
        <f t="array" ref="J47">IFERROR(
    INDEX(Posts!$O:$O,
          MATCH(1,
                (TRIM(UPPER(Posts!$B:$B))=TRIM(UPPER(B47)))*
                (ABS(Posts!$C:$C - A47) &lt;= 7),
          0)),
"unknown")</f>
        <v>FSDUpdate</v>
      </c>
    </row>
    <row r="48" spans="1:10" x14ac:dyDescent="0.3">
      <c r="A48" s="39" t="s">
        <v>398</v>
      </c>
      <c r="B48" s="39" t="s">
        <v>14</v>
      </c>
      <c r="C48" s="39">
        <v>1751</v>
      </c>
      <c r="D48" s="39">
        <v>86</v>
      </c>
      <c r="E48" s="39">
        <v>188655</v>
      </c>
      <c r="F48" s="39">
        <v>7.24</v>
      </c>
      <c r="G48" s="39">
        <v>22206</v>
      </c>
      <c r="H48" s="1">
        <f t="shared" si="0"/>
        <v>1665</v>
      </c>
      <c r="I48" s="13">
        <f t="shared" si="1"/>
        <v>8.825634093981077E-3</v>
      </c>
      <c r="J48" s="1" t="str" cm="1">
        <f t="array" ref="J48">IFERROR(
    INDEX(Posts!$O:$O,
          MATCH(1,
                (TRIM(UPPER(Posts!$B:$B))=TRIM(UPPER(B48)))*
                (ABS(Posts!$C:$C - A48) &lt;= 7),
          0)),
"unknown")</f>
        <v>unknown</v>
      </c>
    </row>
    <row r="49" spans="1:10" x14ac:dyDescent="0.3">
      <c r="A49" s="39" t="s">
        <v>398</v>
      </c>
      <c r="B49" s="39" t="s">
        <v>23</v>
      </c>
      <c r="C49" s="39">
        <v>221</v>
      </c>
      <c r="D49" s="39">
        <v>31</v>
      </c>
      <c r="E49" s="39">
        <v>87443</v>
      </c>
      <c r="F49" s="39">
        <v>6.19</v>
      </c>
      <c r="G49" s="39">
        <v>10283</v>
      </c>
      <c r="H49" s="1">
        <f t="shared" si="0"/>
        <v>190</v>
      </c>
      <c r="I49" s="13">
        <f t="shared" si="1"/>
        <v>2.1728440241071327E-3</v>
      </c>
      <c r="J49" s="1" t="str" cm="1">
        <f t="array" ref="J49">IFERROR(
    INDEX(Posts!$O:$O,
          MATCH(1,
                (TRIM(UPPER(Posts!$B:$B))=TRIM(UPPER(B49)))*
                (ABS(Posts!$C:$C - A49) &lt;= 7),
          0)),
"unknown")</f>
        <v>SustainabilityDrive</v>
      </c>
    </row>
    <row r="50" spans="1:10" x14ac:dyDescent="0.3">
      <c r="A50" s="39" t="s">
        <v>399</v>
      </c>
      <c r="B50" s="39" t="s">
        <v>28</v>
      </c>
      <c r="C50" s="39">
        <v>1685</v>
      </c>
      <c r="D50" s="39">
        <v>76</v>
      </c>
      <c r="E50" s="39">
        <v>453799</v>
      </c>
      <c r="F50" s="39">
        <v>5.71</v>
      </c>
      <c r="G50" s="39">
        <v>24913</v>
      </c>
      <c r="H50" s="1">
        <f t="shared" si="0"/>
        <v>1609</v>
      </c>
      <c r="I50" s="13">
        <f t="shared" si="1"/>
        <v>3.5456226214689766E-3</v>
      </c>
      <c r="J50" s="1" t="str" cm="1">
        <f t="array" ref="J50">IFERROR(
    INDEX(Posts!$O:$O,
          MATCH(1,
                (TRIM(UPPER(Posts!$B:$B))=TRIM(UPPER(B50)))*
                (ABS(Posts!$C:$C - A50) &lt;= 7),
          0)),
"unknown")</f>
        <v>CybertruckLaunch</v>
      </c>
    </row>
    <row r="51" spans="1:10" x14ac:dyDescent="0.3">
      <c r="A51" s="39" t="s">
        <v>399</v>
      </c>
      <c r="B51" s="39" t="s">
        <v>35</v>
      </c>
      <c r="C51" s="39">
        <v>248</v>
      </c>
      <c r="D51" s="39">
        <v>211</v>
      </c>
      <c r="E51" s="39">
        <v>379380</v>
      </c>
      <c r="F51" s="39">
        <v>9.0399999999999991</v>
      </c>
      <c r="G51" s="39">
        <v>26925</v>
      </c>
      <c r="H51" s="1">
        <f t="shared" si="0"/>
        <v>37</v>
      </c>
      <c r="I51" s="13">
        <f t="shared" si="1"/>
        <v>9.7527544941747058E-5</v>
      </c>
      <c r="J51" s="1" t="str" cm="1">
        <f t="array" ref="J51">IFERROR(
    INDEX(Posts!$O:$O,
          MATCH(1,
                (TRIM(UPPER(Posts!$B:$B))=TRIM(UPPER(B51)))*
                (ABS(Posts!$C:$C - A51) &lt;= 7),
          0)),
"unknown")</f>
        <v>ModelYCampaign</v>
      </c>
    </row>
    <row r="52" spans="1:10" x14ac:dyDescent="0.3">
      <c r="A52" s="39" t="s">
        <v>399</v>
      </c>
      <c r="B52" s="39" t="s">
        <v>14</v>
      </c>
      <c r="C52" s="39">
        <v>1300</v>
      </c>
      <c r="D52" s="39">
        <v>71</v>
      </c>
      <c r="E52" s="39">
        <v>186454</v>
      </c>
      <c r="F52" s="39">
        <v>3.91</v>
      </c>
      <c r="G52" s="39">
        <v>9942</v>
      </c>
      <c r="H52" s="1">
        <f t="shared" si="0"/>
        <v>1229</v>
      </c>
      <c r="I52" s="13">
        <f t="shared" si="1"/>
        <v>6.5914381026955706E-3</v>
      </c>
      <c r="J52" s="1" t="str" cm="1">
        <f t="array" ref="J52">IFERROR(
    INDEX(Posts!$O:$O,
          MATCH(1,
                (TRIM(UPPER(Posts!$B:$B))=TRIM(UPPER(B52)))*
                (ABS(Posts!$C:$C - A52) &lt;= 7),
          0)),
"unknown")</f>
        <v>unknown</v>
      </c>
    </row>
    <row r="53" spans="1:10" x14ac:dyDescent="0.3">
      <c r="A53" s="39" t="s">
        <v>399</v>
      </c>
      <c r="B53" s="39" t="s">
        <v>23</v>
      </c>
      <c r="C53" s="39">
        <v>422</v>
      </c>
      <c r="D53" s="39">
        <v>394</v>
      </c>
      <c r="E53" s="39">
        <v>239044</v>
      </c>
      <c r="F53" s="39">
        <v>7.83</v>
      </c>
      <c r="G53" s="39">
        <v>32929</v>
      </c>
      <c r="H53" s="1">
        <f t="shared" si="0"/>
        <v>28</v>
      </c>
      <c r="I53" s="13">
        <f t="shared" si="1"/>
        <v>1.1713324743561855E-4</v>
      </c>
      <c r="J53" s="1" t="str" cm="1">
        <f t="array" ref="J53">IFERROR(
    INDEX(Posts!$O:$O,
          MATCH(1,
                (TRIM(UPPER(Posts!$B:$B))=TRIM(UPPER(B53)))*
                (ABS(Posts!$C:$C - A53) &lt;= 7),
          0)),
"unknown")</f>
        <v>ModelYCampaign</v>
      </c>
    </row>
    <row r="54" spans="1:10" x14ac:dyDescent="0.3">
      <c r="A54" s="39" t="s">
        <v>400</v>
      </c>
      <c r="B54" s="39" t="s">
        <v>28</v>
      </c>
      <c r="C54" s="39">
        <v>1429</v>
      </c>
      <c r="D54" s="39">
        <v>182</v>
      </c>
      <c r="E54" s="39">
        <v>101332</v>
      </c>
      <c r="F54" s="39">
        <v>7.16</v>
      </c>
      <c r="G54" s="39">
        <v>37829</v>
      </c>
      <c r="H54" s="1">
        <f t="shared" si="0"/>
        <v>1247</v>
      </c>
      <c r="I54" s="13">
        <f t="shared" si="1"/>
        <v>1.2306082974775983E-2</v>
      </c>
      <c r="J54" s="1" t="str" cm="1">
        <f t="array" ref="J54">IFERROR(
    INDEX(Posts!$O:$O,
          MATCH(1,
                (TRIM(UPPER(Posts!$B:$B))=TRIM(UPPER(B54)))*
                (ABS(Posts!$C:$C - A54) &lt;= 7),
          0)),
"unknown")</f>
        <v>CybertruckLaunch</v>
      </c>
    </row>
    <row r="55" spans="1:10" x14ac:dyDescent="0.3">
      <c r="A55" s="39" t="s">
        <v>400</v>
      </c>
      <c r="B55" s="39" t="s">
        <v>35</v>
      </c>
      <c r="C55" s="39">
        <v>1520</v>
      </c>
      <c r="D55" s="39">
        <v>475</v>
      </c>
      <c r="E55" s="39">
        <v>496982</v>
      </c>
      <c r="F55" s="39">
        <v>6.41</v>
      </c>
      <c r="G55" s="39">
        <v>24384</v>
      </c>
      <c r="H55" s="1">
        <f t="shared" si="0"/>
        <v>1045</v>
      </c>
      <c r="I55" s="13">
        <f t="shared" si="1"/>
        <v>2.1026918479944948E-3</v>
      </c>
      <c r="J55" s="1" t="str" cm="1">
        <f t="array" ref="J55">IFERROR(
    INDEX(Posts!$O:$O,
          MATCH(1,
                (TRIM(UPPER(Posts!$B:$B))=TRIM(UPPER(B55)))*
                (ABS(Posts!$C:$C - A55) &lt;= 7),
          0)),
"unknown")</f>
        <v>ModelYCampaign</v>
      </c>
    </row>
    <row r="56" spans="1:10" x14ac:dyDescent="0.3">
      <c r="A56" s="39" t="s">
        <v>400</v>
      </c>
      <c r="B56" s="39" t="s">
        <v>14</v>
      </c>
      <c r="C56" s="39">
        <v>557</v>
      </c>
      <c r="D56" s="39">
        <v>360</v>
      </c>
      <c r="E56" s="39">
        <v>318779</v>
      </c>
      <c r="F56" s="39">
        <v>8.02</v>
      </c>
      <c r="G56" s="39">
        <v>25797</v>
      </c>
      <c r="H56" s="1">
        <f t="shared" si="0"/>
        <v>197</v>
      </c>
      <c r="I56" s="13">
        <f t="shared" si="1"/>
        <v>6.1798299135137512E-4</v>
      </c>
      <c r="J56" s="1" t="str" cm="1">
        <f t="array" ref="J56">IFERROR(
    INDEX(Posts!$O:$O,
          MATCH(1,
                (TRIM(UPPER(Posts!$B:$B))=TRIM(UPPER(B56)))*
                (ABS(Posts!$C:$C - A56) &lt;= 7),
          0)),
"unknown")</f>
        <v>CybertruckLaunch</v>
      </c>
    </row>
    <row r="57" spans="1:10" x14ac:dyDescent="0.3">
      <c r="A57" s="39" t="s">
        <v>400</v>
      </c>
      <c r="B57" s="39" t="s">
        <v>23</v>
      </c>
      <c r="C57" s="39">
        <v>728</v>
      </c>
      <c r="D57" s="39">
        <v>395</v>
      </c>
      <c r="E57" s="39">
        <v>370971</v>
      </c>
      <c r="F57" s="39">
        <v>3.86</v>
      </c>
      <c r="G57" s="39">
        <v>12646</v>
      </c>
      <c r="H57" s="1">
        <f t="shared" si="0"/>
        <v>333</v>
      </c>
      <c r="I57" s="13">
        <f t="shared" si="1"/>
        <v>8.9764429025449434E-4</v>
      </c>
      <c r="J57" s="1" t="str" cm="1">
        <f t="array" ref="J57">IFERROR(
    INDEX(Posts!$O:$O,
          MATCH(1,
                (TRIM(UPPER(Posts!$B:$B))=TRIM(UPPER(B57)))*
                (ABS(Posts!$C:$C - A57) &lt;= 7),
          0)),
"unknown")</f>
        <v>ModelYCampaign</v>
      </c>
    </row>
    <row r="58" spans="1:10" x14ac:dyDescent="0.3">
      <c r="A58" s="39" t="s">
        <v>401</v>
      </c>
      <c r="B58" s="39" t="s">
        <v>28</v>
      </c>
      <c r="C58" s="39">
        <v>1592</v>
      </c>
      <c r="D58" s="39">
        <v>20</v>
      </c>
      <c r="E58" s="39">
        <v>378054</v>
      </c>
      <c r="F58" s="39">
        <v>9.09</v>
      </c>
      <c r="G58" s="39">
        <v>26663</v>
      </c>
      <c r="H58" s="1">
        <f t="shared" si="0"/>
        <v>1572</v>
      </c>
      <c r="I58" s="13">
        <f t="shared" si="1"/>
        <v>4.1581361392816901E-3</v>
      </c>
      <c r="J58" s="1" t="str" cm="1">
        <f t="array" ref="J58">IFERROR(
    INDEX(Posts!$O:$O,
          MATCH(1,
                (TRIM(UPPER(Posts!$B:$B))=TRIM(UPPER(B58)))*
                (ABS(Posts!$C:$C - A58) &lt;= 7),
          0)),
"unknown")</f>
        <v>CybertruckLaunch</v>
      </c>
    </row>
    <row r="59" spans="1:10" x14ac:dyDescent="0.3">
      <c r="A59" s="39" t="s">
        <v>401</v>
      </c>
      <c r="B59" s="39" t="s">
        <v>35</v>
      </c>
      <c r="C59" s="39">
        <v>1842</v>
      </c>
      <c r="D59" s="39">
        <v>414</v>
      </c>
      <c r="E59" s="39">
        <v>307524</v>
      </c>
      <c r="F59" s="39">
        <v>1.76</v>
      </c>
      <c r="G59" s="39">
        <v>40478</v>
      </c>
      <c r="H59" s="1">
        <f t="shared" si="0"/>
        <v>1428</v>
      </c>
      <c r="I59" s="13">
        <f t="shared" si="1"/>
        <v>4.6435400163889647E-3</v>
      </c>
      <c r="J59" s="1" t="str" cm="1">
        <f t="array" ref="J59">IFERROR(
    INDEX(Posts!$O:$O,
          MATCH(1,
                (TRIM(UPPER(Posts!$B:$B))=TRIM(UPPER(B59)))*
                (ABS(Posts!$C:$C - A59) &lt;= 7),
          0)),
"unknown")</f>
        <v>unknown</v>
      </c>
    </row>
    <row r="60" spans="1:10" x14ac:dyDescent="0.3">
      <c r="A60" s="39" t="s">
        <v>401</v>
      </c>
      <c r="B60" s="39" t="s">
        <v>14</v>
      </c>
      <c r="C60" s="39">
        <v>751</v>
      </c>
      <c r="D60" s="39">
        <v>491</v>
      </c>
      <c r="E60" s="39">
        <v>434047</v>
      </c>
      <c r="F60" s="39">
        <v>9.24</v>
      </c>
      <c r="G60" s="39">
        <v>15476</v>
      </c>
      <c r="H60" s="1">
        <f t="shared" si="0"/>
        <v>260</v>
      </c>
      <c r="I60" s="13">
        <f t="shared" si="1"/>
        <v>5.990134708914012E-4</v>
      </c>
      <c r="J60" s="1" t="str" cm="1">
        <f t="array" ref="J60">IFERROR(
    INDEX(Posts!$O:$O,
          MATCH(1,
                (TRIM(UPPER(Posts!$B:$B))=TRIM(UPPER(B60)))*
                (ABS(Posts!$C:$C - A60) &lt;= 7),
          0)),
"unknown")</f>
        <v>CybertruckLaunch</v>
      </c>
    </row>
    <row r="61" spans="1:10" x14ac:dyDescent="0.3">
      <c r="A61" s="39" t="s">
        <v>401</v>
      </c>
      <c r="B61" s="39" t="s">
        <v>23</v>
      </c>
      <c r="C61" s="39">
        <v>1409</v>
      </c>
      <c r="D61" s="39">
        <v>309</v>
      </c>
      <c r="E61" s="39">
        <v>64583</v>
      </c>
      <c r="F61" s="39">
        <v>8.99</v>
      </c>
      <c r="G61" s="39">
        <v>10217</v>
      </c>
      <c r="H61" s="1">
        <f t="shared" si="0"/>
        <v>1100</v>
      </c>
      <c r="I61" s="13">
        <f t="shared" si="1"/>
        <v>1.7032345973398571E-2</v>
      </c>
      <c r="J61" s="1" t="str" cm="1">
        <f t="array" ref="J61">IFERROR(
    INDEX(Posts!$O:$O,
          MATCH(1,
                (TRIM(UPPER(Posts!$B:$B))=TRIM(UPPER(B61)))*
                (ABS(Posts!$C:$C - A61) &lt;= 7),
          0)),
"unknown")</f>
        <v>ModelYCampaign</v>
      </c>
    </row>
    <row r="62" spans="1:10" x14ac:dyDescent="0.3">
      <c r="A62" s="39" t="s">
        <v>402</v>
      </c>
      <c r="B62" s="39" t="s">
        <v>28</v>
      </c>
      <c r="C62" s="39">
        <v>778</v>
      </c>
      <c r="D62" s="39">
        <v>401</v>
      </c>
      <c r="E62" s="39">
        <v>50793</v>
      </c>
      <c r="F62" s="39">
        <v>3.4</v>
      </c>
      <c r="G62" s="39">
        <v>21939</v>
      </c>
      <c r="H62" s="1">
        <f t="shared" si="0"/>
        <v>377</v>
      </c>
      <c r="I62" s="13">
        <f t="shared" si="1"/>
        <v>7.4222825979957871E-3</v>
      </c>
      <c r="J62" s="1" t="str" cm="1">
        <f t="array" ref="J62">IFERROR(
    INDEX(Posts!$O:$O,
          MATCH(1,
                (TRIM(UPPER(Posts!$B:$B))=TRIM(UPPER(B62)))*
                (ABS(Posts!$C:$C - A62) &lt;= 7),
          0)),
"unknown")</f>
        <v>CybertruckLaunch</v>
      </c>
    </row>
    <row r="63" spans="1:10" x14ac:dyDescent="0.3">
      <c r="A63" s="39" t="s">
        <v>402</v>
      </c>
      <c r="B63" s="39" t="s">
        <v>35</v>
      </c>
      <c r="C63" s="39">
        <v>443</v>
      </c>
      <c r="D63" s="39">
        <v>345</v>
      </c>
      <c r="E63" s="39">
        <v>474162</v>
      </c>
      <c r="F63" s="39">
        <v>9.1999999999999993</v>
      </c>
      <c r="G63" s="39">
        <v>47462</v>
      </c>
      <c r="H63" s="1">
        <f t="shared" si="0"/>
        <v>98</v>
      </c>
      <c r="I63" s="13">
        <f t="shared" si="1"/>
        <v>2.0668041724136477E-4</v>
      </c>
      <c r="J63" s="1" t="str" cm="1">
        <f t="array" ref="J63">IFERROR(
    INDEX(Posts!$O:$O,
          MATCH(1,
                (TRIM(UPPER(Posts!$B:$B))=TRIM(UPPER(B63)))*
                (ABS(Posts!$C:$C - A63) &lt;= 7),
          0)),
"unknown")</f>
        <v>unknown</v>
      </c>
    </row>
    <row r="64" spans="1:10" x14ac:dyDescent="0.3">
      <c r="A64" s="39" t="s">
        <v>402</v>
      </c>
      <c r="B64" s="39" t="s">
        <v>14</v>
      </c>
      <c r="C64" s="39">
        <v>1472</v>
      </c>
      <c r="D64" s="39">
        <v>347</v>
      </c>
      <c r="E64" s="39">
        <v>392355</v>
      </c>
      <c r="F64" s="39">
        <v>8.59</v>
      </c>
      <c r="G64" s="39">
        <v>30270</v>
      </c>
      <c r="H64" s="1">
        <f t="shared" si="0"/>
        <v>1125</v>
      </c>
      <c r="I64" s="13">
        <f t="shared" si="1"/>
        <v>2.8673012960201858E-3</v>
      </c>
      <c r="J64" s="1" t="str" cm="1">
        <f t="array" ref="J64">IFERROR(
    INDEX(Posts!$O:$O,
          MATCH(1,
                (TRIM(UPPER(Posts!$B:$B))=TRIM(UPPER(B64)))*
                (ABS(Posts!$C:$C - A64) &lt;= 7),
          0)),
"unknown")</f>
        <v>unknown</v>
      </c>
    </row>
    <row r="65" spans="1:10" x14ac:dyDescent="0.3">
      <c r="A65" s="39" t="s">
        <v>402</v>
      </c>
      <c r="B65" s="39" t="s">
        <v>23</v>
      </c>
      <c r="C65" s="39">
        <v>123</v>
      </c>
      <c r="D65" s="39">
        <v>155</v>
      </c>
      <c r="E65" s="39">
        <v>119934</v>
      </c>
      <c r="F65" s="39">
        <v>3.5</v>
      </c>
      <c r="G65" s="39">
        <v>5442</v>
      </c>
      <c r="H65" s="1">
        <f t="shared" si="0"/>
        <v>-32</v>
      </c>
      <c r="I65" s="13">
        <f t="shared" si="1"/>
        <v>-2.6681341404439108E-4</v>
      </c>
      <c r="J65" s="1" t="str" cm="1">
        <f t="array" ref="J65">IFERROR(
    INDEX(Posts!$O:$O,
          MATCH(1,
                (TRIM(UPPER(Posts!$B:$B))=TRIM(UPPER(B65)))*
                (ABS(Posts!$C:$C - A65) &lt;= 7),
          0)),
"unknown")</f>
        <v>SustainabilityDrive</v>
      </c>
    </row>
    <row r="66" spans="1:10" x14ac:dyDescent="0.3">
      <c r="A66" s="39" t="s">
        <v>403</v>
      </c>
      <c r="B66" s="39" t="s">
        <v>28</v>
      </c>
      <c r="C66" s="39">
        <v>817</v>
      </c>
      <c r="D66" s="39">
        <v>151</v>
      </c>
      <c r="E66" s="39">
        <v>422625</v>
      </c>
      <c r="F66" s="39">
        <v>2.36</v>
      </c>
      <c r="G66" s="39">
        <v>1083</v>
      </c>
      <c r="H66" s="1">
        <f t="shared" si="0"/>
        <v>666</v>
      </c>
      <c r="I66" s="13">
        <f t="shared" si="1"/>
        <v>1.5758651286601596E-3</v>
      </c>
      <c r="J66" s="1" t="str" cm="1">
        <f t="array" ref="J66">IFERROR(
    INDEX(Posts!$O:$O,
          MATCH(1,
                (TRIM(UPPER(Posts!$B:$B))=TRIM(UPPER(B66)))*
                (ABS(Posts!$C:$C - A66) &lt;= 7),
          0)),
"unknown")</f>
        <v>unknown</v>
      </c>
    </row>
    <row r="67" spans="1:10" x14ac:dyDescent="0.3">
      <c r="A67" s="39" t="s">
        <v>403</v>
      </c>
      <c r="B67" s="39" t="s">
        <v>35</v>
      </c>
      <c r="C67" s="39">
        <v>198</v>
      </c>
      <c r="D67" s="39">
        <v>217</v>
      </c>
      <c r="E67" s="39">
        <v>239753</v>
      </c>
      <c r="F67" s="39">
        <v>7.36</v>
      </c>
      <c r="G67" s="39">
        <v>11901</v>
      </c>
      <c r="H67" s="1">
        <f t="shared" ref="H67:H130" si="2">C67-D67</f>
        <v>-19</v>
      </c>
      <c r="I67" s="13">
        <f t="shared" ref="I67:I130" si="3">H67/E67</f>
        <v>-7.9248226299566635E-5</v>
      </c>
      <c r="J67" s="1" t="str" cm="1">
        <f t="array" ref="J67">IFERROR(
    INDEX(Posts!$O:$O,
          MATCH(1,
                (TRIM(UPPER(Posts!$B:$B))=TRIM(UPPER(B67)))*
                (ABS(Posts!$C:$C - A67) &lt;= 7),
          0)),
"unknown")</f>
        <v>unknown</v>
      </c>
    </row>
    <row r="68" spans="1:10" x14ac:dyDescent="0.3">
      <c r="A68" s="39" t="s">
        <v>403</v>
      </c>
      <c r="B68" s="39" t="s">
        <v>14</v>
      </c>
      <c r="C68" s="39">
        <v>1911</v>
      </c>
      <c r="D68" s="39">
        <v>231</v>
      </c>
      <c r="E68" s="39">
        <v>268516</v>
      </c>
      <c r="F68" s="39">
        <v>8.5500000000000007</v>
      </c>
      <c r="G68" s="39">
        <v>24018</v>
      </c>
      <c r="H68" s="1">
        <f t="shared" si="2"/>
        <v>1680</v>
      </c>
      <c r="I68" s="13">
        <f t="shared" si="3"/>
        <v>6.2566104068286429E-3</v>
      </c>
      <c r="J68" s="1" t="str" cm="1">
        <f t="array" ref="J68">IFERROR(
    INDEX(Posts!$O:$O,
          MATCH(1,
                (TRIM(UPPER(Posts!$B:$B))=TRIM(UPPER(B68)))*
                (ABS(Posts!$C:$C - A68) &lt;= 7),
          0)),
"unknown")</f>
        <v>ModelYCampaign</v>
      </c>
    </row>
    <row r="69" spans="1:10" x14ac:dyDescent="0.3">
      <c r="A69" s="39" t="s">
        <v>403</v>
      </c>
      <c r="B69" s="39" t="s">
        <v>23</v>
      </c>
      <c r="C69" s="39">
        <v>1218</v>
      </c>
      <c r="D69" s="39">
        <v>212</v>
      </c>
      <c r="E69" s="39">
        <v>63177</v>
      </c>
      <c r="F69" s="39">
        <v>8.1300000000000008</v>
      </c>
      <c r="G69" s="39">
        <v>38883</v>
      </c>
      <c r="H69" s="1">
        <f t="shared" si="2"/>
        <v>1006</v>
      </c>
      <c r="I69" s="13">
        <f t="shared" si="3"/>
        <v>1.592351646960128E-2</v>
      </c>
      <c r="J69" s="1" t="str" cm="1">
        <f t="array" ref="J69">IFERROR(
    INDEX(Posts!$O:$O,
          MATCH(1,
                (TRIM(UPPER(Posts!$B:$B))=TRIM(UPPER(B69)))*
                (ABS(Posts!$C:$C - A69) &lt;= 7),
          0)),
"unknown")</f>
        <v>SustainabilityDrive</v>
      </c>
    </row>
    <row r="70" spans="1:10" x14ac:dyDescent="0.3">
      <c r="A70" s="39" t="s">
        <v>404</v>
      </c>
      <c r="B70" s="39" t="s">
        <v>28</v>
      </c>
      <c r="C70" s="39">
        <v>1433</v>
      </c>
      <c r="D70" s="39">
        <v>408</v>
      </c>
      <c r="E70" s="39">
        <v>370269</v>
      </c>
      <c r="F70" s="39">
        <v>3.3</v>
      </c>
      <c r="G70" s="39">
        <v>30575</v>
      </c>
      <c r="H70" s="1">
        <f t="shared" si="2"/>
        <v>1025</v>
      </c>
      <c r="I70" s="13">
        <f t="shared" si="3"/>
        <v>2.7682576721248606E-3</v>
      </c>
      <c r="J70" s="1" t="str" cm="1">
        <f t="array" ref="J70">IFERROR(
    INDEX(Posts!$O:$O,
          MATCH(1,
                (TRIM(UPPER(Posts!$B:$B))=TRIM(UPPER(B70)))*
                (ABS(Posts!$C:$C - A70) &lt;= 7),
          0)),
"unknown")</f>
        <v>ModelYCampaign</v>
      </c>
    </row>
    <row r="71" spans="1:10" x14ac:dyDescent="0.3">
      <c r="A71" s="39" t="s">
        <v>404</v>
      </c>
      <c r="B71" s="39" t="s">
        <v>35</v>
      </c>
      <c r="C71" s="39">
        <v>250</v>
      </c>
      <c r="D71" s="39">
        <v>429</v>
      </c>
      <c r="E71" s="39">
        <v>453423</v>
      </c>
      <c r="F71" s="39">
        <v>1.77</v>
      </c>
      <c r="G71" s="39">
        <v>2315</v>
      </c>
      <c r="H71" s="1">
        <f t="shared" si="2"/>
        <v>-179</v>
      </c>
      <c r="I71" s="13">
        <f t="shared" si="3"/>
        <v>-3.9477485703195471E-4</v>
      </c>
      <c r="J71" s="1" t="str" cm="1">
        <f t="array" ref="J71">IFERROR(
    INDEX(Posts!$O:$O,
          MATCH(1,
                (TRIM(UPPER(Posts!$B:$B))=TRIM(UPPER(B71)))*
                (ABS(Posts!$C:$C - A71) &lt;= 7),
          0)),
"unknown")</f>
        <v>unknown</v>
      </c>
    </row>
    <row r="72" spans="1:10" x14ac:dyDescent="0.3">
      <c r="A72" s="39" t="s">
        <v>404</v>
      </c>
      <c r="B72" s="39" t="s">
        <v>14</v>
      </c>
      <c r="C72" s="39">
        <v>752</v>
      </c>
      <c r="D72" s="39">
        <v>153</v>
      </c>
      <c r="E72" s="39">
        <v>64906</v>
      </c>
      <c r="F72" s="39">
        <v>2.09</v>
      </c>
      <c r="G72" s="39">
        <v>12148</v>
      </c>
      <c r="H72" s="1">
        <f t="shared" si="2"/>
        <v>599</v>
      </c>
      <c r="I72" s="13">
        <f t="shared" si="3"/>
        <v>9.2287307798970819E-3</v>
      </c>
      <c r="J72" s="1" t="str" cm="1">
        <f t="array" ref="J72">IFERROR(
    INDEX(Posts!$O:$O,
          MATCH(1,
                (TRIM(UPPER(Posts!$B:$B))=TRIM(UPPER(B72)))*
                (ABS(Posts!$C:$C - A72) &lt;= 7),
          0)),
"unknown")</f>
        <v>FSDUpdate</v>
      </c>
    </row>
    <row r="73" spans="1:10" x14ac:dyDescent="0.3">
      <c r="A73" s="39" t="s">
        <v>404</v>
      </c>
      <c r="B73" s="39" t="s">
        <v>23</v>
      </c>
      <c r="C73" s="39">
        <v>1918</v>
      </c>
      <c r="D73" s="39">
        <v>212</v>
      </c>
      <c r="E73" s="39">
        <v>94360</v>
      </c>
      <c r="F73" s="39">
        <v>7.36</v>
      </c>
      <c r="G73" s="39">
        <v>36851</v>
      </c>
      <c r="H73" s="1">
        <f t="shared" si="2"/>
        <v>1706</v>
      </c>
      <c r="I73" s="13">
        <f t="shared" si="3"/>
        <v>1.8079694785926241E-2</v>
      </c>
      <c r="J73" s="1" t="str" cm="1">
        <f t="array" ref="J73">IFERROR(
    INDEX(Posts!$O:$O,
          MATCH(1,
                (TRIM(UPPER(Posts!$B:$B))=TRIM(UPPER(B73)))*
                (ABS(Posts!$C:$C - A73) &lt;= 7),
          0)),
"unknown")</f>
        <v>SustainabilityDrive</v>
      </c>
    </row>
    <row r="74" spans="1:10" x14ac:dyDescent="0.3">
      <c r="A74" s="39" t="s">
        <v>405</v>
      </c>
      <c r="B74" s="39" t="s">
        <v>28</v>
      </c>
      <c r="C74" s="39">
        <v>1939</v>
      </c>
      <c r="D74" s="39">
        <v>67</v>
      </c>
      <c r="E74" s="39">
        <v>187183</v>
      </c>
      <c r="F74" s="39">
        <v>6.25</v>
      </c>
      <c r="G74" s="39">
        <v>41215</v>
      </c>
      <c r="H74" s="1">
        <f t="shared" si="2"/>
        <v>1872</v>
      </c>
      <c r="I74" s="13">
        <f t="shared" si="3"/>
        <v>1.0000908202133741E-2</v>
      </c>
      <c r="J74" s="1" t="str" cm="1">
        <f t="array" ref="J74">IFERROR(
    INDEX(Posts!$O:$O,
          MATCH(1,
                (TRIM(UPPER(Posts!$B:$B))=TRIM(UPPER(B74)))*
                (ABS(Posts!$C:$C - A74) &lt;= 7),
          0)),
"unknown")</f>
        <v>ModelYCampaign</v>
      </c>
    </row>
    <row r="75" spans="1:10" x14ac:dyDescent="0.3">
      <c r="A75" s="39" t="s">
        <v>405</v>
      </c>
      <c r="B75" s="39" t="s">
        <v>35</v>
      </c>
      <c r="C75" s="39">
        <v>1929</v>
      </c>
      <c r="D75" s="39">
        <v>267</v>
      </c>
      <c r="E75" s="39">
        <v>379363</v>
      </c>
      <c r="F75" s="39">
        <v>1.75</v>
      </c>
      <c r="G75" s="39">
        <v>43836</v>
      </c>
      <c r="H75" s="1">
        <f t="shared" si="2"/>
        <v>1662</v>
      </c>
      <c r="I75" s="13">
        <f t="shared" si="3"/>
        <v>4.3810281972675247E-3</v>
      </c>
      <c r="J75" s="1" t="str" cm="1">
        <f t="array" ref="J75">IFERROR(
    INDEX(Posts!$O:$O,
          MATCH(1,
                (TRIM(UPPER(Posts!$B:$B))=TRIM(UPPER(B75)))*
                (ABS(Posts!$C:$C - A75) &lt;= 7),
          0)),
"unknown")</f>
        <v>CybertruckLaunch</v>
      </c>
    </row>
    <row r="76" spans="1:10" x14ac:dyDescent="0.3">
      <c r="A76" s="39" t="s">
        <v>405</v>
      </c>
      <c r="B76" s="39" t="s">
        <v>14</v>
      </c>
      <c r="C76" s="39">
        <v>437</v>
      </c>
      <c r="D76" s="39">
        <v>330</v>
      </c>
      <c r="E76" s="39">
        <v>476486</v>
      </c>
      <c r="F76" s="39">
        <v>4.97</v>
      </c>
      <c r="G76" s="39">
        <v>4509</v>
      </c>
      <c r="H76" s="1">
        <f t="shared" si="2"/>
        <v>107</v>
      </c>
      <c r="I76" s="13">
        <f t="shared" si="3"/>
        <v>2.2456063766826309E-4</v>
      </c>
      <c r="J76" s="1" t="str" cm="1">
        <f t="array" ref="J76">IFERROR(
    INDEX(Posts!$O:$O,
          MATCH(1,
                (TRIM(UPPER(Posts!$B:$B))=TRIM(UPPER(B76)))*
                (ABS(Posts!$C:$C - A76) &lt;= 7),
          0)),
"unknown")</f>
        <v>FSDUpdate</v>
      </c>
    </row>
    <row r="77" spans="1:10" x14ac:dyDescent="0.3">
      <c r="A77" s="39" t="s">
        <v>405</v>
      </c>
      <c r="B77" s="39" t="s">
        <v>23</v>
      </c>
      <c r="C77" s="39">
        <v>307</v>
      </c>
      <c r="D77" s="39">
        <v>189</v>
      </c>
      <c r="E77" s="39">
        <v>117767</v>
      </c>
      <c r="F77" s="39">
        <v>9.3000000000000007</v>
      </c>
      <c r="G77" s="39">
        <v>27822</v>
      </c>
      <c r="H77" s="1">
        <f t="shared" si="2"/>
        <v>118</v>
      </c>
      <c r="I77" s="13">
        <f t="shared" si="3"/>
        <v>1.0019784829366461E-3</v>
      </c>
      <c r="J77" s="1" t="str" cm="1">
        <f t="array" ref="J77">IFERROR(
    INDEX(Posts!$O:$O,
          MATCH(1,
                (TRIM(UPPER(Posts!$B:$B))=TRIM(UPPER(B77)))*
                (ABS(Posts!$C:$C - A77) &lt;= 7),
          0)),
"unknown")</f>
        <v>FSDUpdate</v>
      </c>
    </row>
    <row r="78" spans="1:10" x14ac:dyDescent="0.3">
      <c r="A78" s="39" t="s">
        <v>406</v>
      </c>
      <c r="B78" s="39" t="s">
        <v>28</v>
      </c>
      <c r="C78" s="39">
        <v>1527</v>
      </c>
      <c r="D78" s="39">
        <v>303</v>
      </c>
      <c r="E78" s="39">
        <v>388555</v>
      </c>
      <c r="F78" s="39">
        <v>8.9</v>
      </c>
      <c r="G78" s="39">
        <v>36397</v>
      </c>
      <c r="H78" s="1">
        <f t="shared" si="2"/>
        <v>1224</v>
      </c>
      <c r="I78" s="13">
        <f t="shared" si="3"/>
        <v>3.1501331857780751E-3</v>
      </c>
      <c r="J78" s="1" t="str" cm="1">
        <f t="array" ref="J78">IFERROR(
    INDEX(Posts!$O:$O,
          MATCH(1,
                (TRIM(UPPER(Posts!$B:$B))=TRIM(UPPER(B78)))*
                (ABS(Posts!$C:$C - A78) &lt;= 7),
          0)),
"unknown")</f>
        <v>ModelYCampaign</v>
      </c>
    </row>
    <row r="79" spans="1:10" x14ac:dyDescent="0.3">
      <c r="A79" s="39" t="s">
        <v>406</v>
      </c>
      <c r="B79" s="39" t="s">
        <v>35</v>
      </c>
      <c r="C79" s="39">
        <v>643</v>
      </c>
      <c r="D79" s="39">
        <v>358</v>
      </c>
      <c r="E79" s="39">
        <v>157599</v>
      </c>
      <c r="F79" s="39">
        <v>3.88</v>
      </c>
      <c r="G79" s="39">
        <v>7285</v>
      </c>
      <c r="H79" s="1">
        <f t="shared" si="2"/>
        <v>285</v>
      </c>
      <c r="I79" s="13">
        <f t="shared" si="3"/>
        <v>1.8083871090552605E-3</v>
      </c>
      <c r="J79" s="1" t="str" cm="1">
        <f t="array" ref="J79">IFERROR(
    INDEX(Posts!$O:$O,
          MATCH(1,
                (TRIM(UPPER(Posts!$B:$B))=TRIM(UPPER(B79)))*
                (ABS(Posts!$C:$C - A79) &lt;= 7),
          0)),
"unknown")</f>
        <v>SustainabilityDrive</v>
      </c>
    </row>
    <row r="80" spans="1:10" x14ac:dyDescent="0.3">
      <c r="A80" s="39" t="s">
        <v>406</v>
      </c>
      <c r="B80" s="39" t="s">
        <v>14</v>
      </c>
      <c r="C80" s="39">
        <v>201</v>
      </c>
      <c r="D80" s="39">
        <v>221</v>
      </c>
      <c r="E80" s="39">
        <v>309772</v>
      </c>
      <c r="F80" s="39">
        <v>5.9</v>
      </c>
      <c r="G80" s="39">
        <v>33174</v>
      </c>
      <c r="H80" s="1">
        <f t="shared" si="2"/>
        <v>-20</v>
      </c>
      <c r="I80" s="13">
        <f t="shared" si="3"/>
        <v>-6.456361452939582E-5</v>
      </c>
      <c r="J80" s="1" t="str" cm="1">
        <f t="array" ref="J80">IFERROR(
    INDEX(Posts!$O:$O,
          MATCH(1,
                (TRIM(UPPER(Posts!$B:$B))=TRIM(UPPER(B80)))*
                (ABS(Posts!$C:$C - A80) &lt;= 7),
          0)),
"unknown")</f>
        <v>CybertruckLaunch</v>
      </c>
    </row>
    <row r="81" spans="1:10" x14ac:dyDescent="0.3">
      <c r="A81" s="39" t="s">
        <v>406</v>
      </c>
      <c r="B81" s="39" t="s">
        <v>23</v>
      </c>
      <c r="C81" s="39">
        <v>414</v>
      </c>
      <c r="D81" s="39">
        <v>47</v>
      </c>
      <c r="E81" s="39">
        <v>199178</v>
      </c>
      <c r="F81" s="39">
        <v>1.53</v>
      </c>
      <c r="G81" s="39">
        <v>6742</v>
      </c>
      <c r="H81" s="1">
        <f t="shared" si="2"/>
        <v>367</v>
      </c>
      <c r="I81" s="13">
        <f t="shared" si="3"/>
        <v>1.8425729749269497E-3</v>
      </c>
      <c r="J81" s="1" t="str" cm="1">
        <f t="array" ref="J81">IFERROR(
    INDEX(Posts!$O:$O,
          MATCH(1,
                (TRIM(UPPER(Posts!$B:$B))=TRIM(UPPER(B81)))*
                (ABS(Posts!$C:$C - A81) &lt;= 7),
          0)),
"unknown")</f>
        <v>unknown</v>
      </c>
    </row>
    <row r="82" spans="1:10" x14ac:dyDescent="0.3">
      <c r="A82" s="39" t="s">
        <v>407</v>
      </c>
      <c r="B82" s="39" t="s">
        <v>28</v>
      </c>
      <c r="C82" s="39">
        <v>703</v>
      </c>
      <c r="D82" s="39">
        <v>441</v>
      </c>
      <c r="E82" s="39">
        <v>357089</v>
      </c>
      <c r="F82" s="39">
        <v>6.5</v>
      </c>
      <c r="G82" s="39">
        <v>32478</v>
      </c>
      <c r="H82" s="1">
        <f t="shared" si="2"/>
        <v>262</v>
      </c>
      <c r="I82" s="13">
        <f t="shared" si="3"/>
        <v>7.3371064356504961E-4</v>
      </c>
      <c r="J82" s="1" t="str" cm="1">
        <f t="array" ref="J82">IFERROR(
    INDEX(Posts!$O:$O,
          MATCH(1,
                (TRIM(UPPER(Posts!$B:$B))=TRIM(UPPER(B82)))*
                (ABS(Posts!$C:$C - A82) &lt;= 7),
          0)),
"unknown")</f>
        <v>FSDUpdate</v>
      </c>
    </row>
    <row r="83" spans="1:10" x14ac:dyDescent="0.3">
      <c r="A83" s="39" t="s">
        <v>407</v>
      </c>
      <c r="B83" s="39" t="s">
        <v>35</v>
      </c>
      <c r="C83" s="39">
        <v>508</v>
      </c>
      <c r="D83" s="39">
        <v>69</v>
      </c>
      <c r="E83" s="39">
        <v>23492</v>
      </c>
      <c r="F83" s="39">
        <v>3.16</v>
      </c>
      <c r="G83" s="39">
        <v>42824</v>
      </c>
      <c r="H83" s="1">
        <f t="shared" si="2"/>
        <v>439</v>
      </c>
      <c r="I83" s="13">
        <f t="shared" si="3"/>
        <v>1.8687212668142345E-2</v>
      </c>
      <c r="J83" s="1" t="str" cm="1">
        <f t="array" ref="J83">IFERROR(
    INDEX(Posts!$O:$O,
          MATCH(1,
                (TRIM(UPPER(Posts!$B:$B))=TRIM(UPPER(B83)))*
                (ABS(Posts!$C:$C - A83) &lt;= 7),
          0)),
"unknown")</f>
        <v>CybertruckLaunch</v>
      </c>
    </row>
    <row r="84" spans="1:10" x14ac:dyDescent="0.3">
      <c r="A84" s="39" t="s">
        <v>407</v>
      </c>
      <c r="B84" s="39" t="s">
        <v>14</v>
      </c>
      <c r="C84" s="39">
        <v>697</v>
      </c>
      <c r="D84" s="39">
        <v>61</v>
      </c>
      <c r="E84" s="39">
        <v>258287</v>
      </c>
      <c r="F84" s="39">
        <v>8.25</v>
      </c>
      <c r="G84" s="39">
        <v>21208</v>
      </c>
      <c r="H84" s="1">
        <f t="shared" si="2"/>
        <v>636</v>
      </c>
      <c r="I84" s="13">
        <f t="shared" si="3"/>
        <v>2.4623771231227277E-3</v>
      </c>
      <c r="J84" s="1" t="str" cm="1">
        <f t="array" ref="J84">IFERROR(
    INDEX(Posts!$O:$O,
          MATCH(1,
                (TRIM(UPPER(Posts!$B:$B))=TRIM(UPPER(B84)))*
                (ABS(Posts!$C:$C - A84) &lt;= 7),
          0)),
"unknown")</f>
        <v>CybertruckLaunch</v>
      </c>
    </row>
    <row r="85" spans="1:10" x14ac:dyDescent="0.3">
      <c r="A85" s="39" t="s">
        <v>407</v>
      </c>
      <c r="B85" s="39" t="s">
        <v>23</v>
      </c>
      <c r="C85" s="39">
        <v>1707</v>
      </c>
      <c r="D85" s="39">
        <v>223</v>
      </c>
      <c r="E85" s="39">
        <v>256910</v>
      </c>
      <c r="F85" s="39">
        <v>5.41</v>
      </c>
      <c r="G85" s="39">
        <v>44321</v>
      </c>
      <c r="H85" s="1">
        <f t="shared" si="2"/>
        <v>1484</v>
      </c>
      <c r="I85" s="13">
        <f t="shared" si="3"/>
        <v>5.7763419096181542E-3</v>
      </c>
      <c r="J85" s="1" t="str" cm="1">
        <f t="array" ref="J85">IFERROR(
    INDEX(Posts!$O:$O,
          MATCH(1,
                (TRIM(UPPER(Posts!$B:$B))=TRIM(UPPER(B85)))*
                (ABS(Posts!$C:$C - A85) &lt;= 7),
          0)),
"unknown")</f>
        <v>FSDUpdate</v>
      </c>
    </row>
    <row r="86" spans="1:10" x14ac:dyDescent="0.3">
      <c r="A86" s="39" t="s">
        <v>408</v>
      </c>
      <c r="B86" s="39" t="s">
        <v>28</v>
      </c>
      <c r="C86" s="39">
        <v>642</v>
      </c>
      <c r="D86" s="39">
        <v>66</v>
      </c>
      <c r="E86" s="39">
        <v>346522</v>
      </c>
      <c r="F86" s="39">
        <v>5.85</v>
      </c>
      <c r="G86" s="39">
        <v>13116</v>
      </c>
      <c r="H86" s="1">
        <f t="shared" si="2"/>
        <v>576</v>
      </c>
      <c r="I86" s="13">
        <f t="shared" si="3"/>
        <v>1.6622321237901201E-3</v>
      </c>
      <c r="J86" s="1" t="str" cm="1">
        <f t="array" ref="J86">IFERROR(
    INDEX(Posts!$O:$O,
          MATCH(1,
                (TRIM(UPPER(Posts!$B:$B))=TRIM(UPPER(B86)))*
                (ABS(Posts!$C:$C - A86) &lt;= 7),
          0)),
"unknown")</f>
        <v>FSDUpdate</v>
      </c>
    </row>
    <row r="87" spans="1:10" x14ac:dyDescent="0.3">
      <c r="A87" s="39" t="s">
        <v>408</v>
      </c>
      <c r="B87" s="39" t="s">
        <v>35</v>
      </c>
      <c r="C87" s="39">
        <v>859</v>
      </c>
      <c r="D87" s="39">
        <v>473</v>
      </c>
      <c r="E87" s="39">
        <v>209987</v>
      </c>
      <c r="F87" s="39">
        <v>4.46</v>
      </c>
      <c r="G87" s="39">
        <v>30214</v>
      </c>
      <c r="H87" s="1">
        <f t="shared" si="2"/>
        <v>386</v>
      </c>
      <c r="I87" s="13">
        <f t="shared" si="3"/>
        <v>1.8382090319876945E-3</v>
      </c>
      <c r="J87" s="1" t="str" cm="1">
        <f t="array" ref="J87">IFERROR(
    INDEX(Posts!$O:$O,
          MATCH(1,
                (TRIM(UPPER(Posts!$B:$B))=TRIM(UPPER(B87)))*
                (ABS(Posts!$C:$C - A87) &lt;= 7),
          0)),
"unknown")</f>
        <v>ModelYCampaign</v>
      </c>
    </row>
    <row r="88" spans="1:10" x14ac:dyDescent="0.3">
      <c r="A88" s="39" t="s">
        <v>408</v>
      </c>
      <c r="B88" s="39" t="s">
        <v>14</v>
      </c>
      <c r="C88" s="39">
        <v>191</v>
      </c>
      <c r="D88" s="39">
        <v>154</v>
      </c>
      <c r="E88" s="39">
        <v>240550</v>
      </c>
      <c r="F88" s="39">
        <v>5.22</v>
      </c>
      <c r="G88" s="39">
        <v>15827</v>
      </c>
      <c r="H88" s="1">
        <f t="shared" si="2"/>
        <v>37</v>
      </c>
      <c r="I88" s="13">
        <f t="shared" si="3"/>
        <v>1.5381417584701726E-4</v>
      </c>
      <c r="J88" s="1" t="str" cm="1">
        <f t="array" ref="J88">IFERROR(
    INDEX(Posts!$O:$O,
          MATCH(1,
                (TRIM(UPPER(Posts!$B:$B))=TRIM(UPPER(B88)))*
                (ABS(Posts!$C:$C - A88) &lt;= 7),
          0)),
"unknown")</f>
        <v>CybertruckLaunch</v>
      </c>
    </row>
    <row r="89" spans="1:10" x14ac:dyDescent="0.3">
      <c r="A89" s="39" t="s">
        <v>408</v>
      </c>
      <c r="B89" s="39" t="s">
        <v>23</v>
      </c>
      <c r="C89" s="39">
        <v>1814</v>
      </c>
      <c r="D89" s="39">
        <v>157</v>
      </c>
      <c r="E89" s="39">
        <v>305827</v>
      </c>
      <c r="F89" s="39">
        <v>1.99</v>
      </c>
      <c r="G89" s="39">
        <v>46643</v>
      </c>
      <c r="H89" s="1">
        <f t="shared" si="2"/>
        <v>1657</v>
      </c>
      <c r="I89" s="13">
        <f t="shared" si="3"/>
        <v>5.4180958515762179E-3</v>
      </c>
      <c r="J89" s="1" t="str" cm="1">
        <f t="array" ref="J89">IFERROR(
    INDEX(Posts!$O:$O,
          MATCH(1,
                (TRIM(UPPER(Posts!$B:$B))=TRIM(UPPER(B89)))*
                (ABS(Posts!$C:$C - A89) &lt;= 7),
          0)),
"unknown")</f>
        <v>FSDUpdate</v>
      </c>
    </row>
    <row r="90" spans="1:10" x14ac:dyDescent="0.3">
      <c r="A90" s="39" t="s">
        <v>409</v>
      </c>
      <c r="B90" s="39" t="s">
        <v>28</v>
      </c>
      <c r="C90" s="39">
        <v>1466</v>
      </c>
      <c r="D90" s="39">
        <v>69</v>
      </c>
      <c r="E90" s="39">
        <v>54935</v>
      </c>
      <c r="F90" s="39">
        <v>6.85</v>
      </c>
      <c r="G90" s="39">
        <v>36484</v>
      </c>
      <c r="H90" s="1">
        <f t="shared" si="2"/>
        <v>1397</v>
      </c>
      <c r="I90" s="13">
        <f t="shared" si="3"/>
        <v>2.5430053699827069E-2</v>
      </c>
      <c r="J90" s="1" t="str" cm="1">
        <f t="array" ref="J90">IFERROR(
    INDEX(Posts!$O:$O,
          MATCH(1,
                (TRIM(UPPER(Posts!$B:$B))=TRIM(UPPER(B90)))*
                (ABS(Posts!$C:$C - A90) &lt;= 7),
          0)),
"unknown")</f>
        <v>FSDUpdate</v>
      </c>
    </row>
    <row r="91" spans="1:10" x14ac:dyDescent="0.3">
      <c r="A91" s="39" t="s">
        <v>409</v>
      </c>
      <c r="B91" s="39" t="s">
        <v>35</v>
      </c>
      <c r="C91" s="39">
        <v>947</v>
      </c>
      <c r="D91" s="39">
        <v>407</v>
      </c>
      <c r="E91" s="39">
        <v>319186</v>
      </c>
      <c r="F91" s="39">
        <v>3.32</v>
      </c>
      <c r="G91" s="39">
        <v>4996</v>
      </c>
      <c r="H91" s="1">
        <f t="shared" si="2"/>
        <v>540</v>
      </c>
      <c r="I91" s="13">
        <f t="shared" si="3"/>
        <v>1.6918035252172713E-3</v>
      </c>
      <c r="J91" s="1" t="str" cm="1">
        <f t="array" ref="J91">IFERROR(
    INDEX(Posts!$O:$O,
          MATCH(1,
                (TRIM(UPPER(Posts!$B:$B))=TRIM(UPPER(B91)))*
                (ABS(Posts!$C:$C - A91) &lt;= 7),
          0)),
"unknown")</f>
        <v>ModelYCampaign</v>
      </c>
    </row>
    <row r="92" spans="1:10" x14ac:dyDescent="0.3">
      <c r="A92" s="39" t="s">
        <v>409</v>
      </c>
      <c r="B92" s="39" t="s">
        <v>14</v>
      </c>
      <c r="C92" s="39">
        <v>1821</v>
      </c>
      <c r="D92" s="39">
        <v>218</v>
      </c>
      <c r="E92" s="39">
        <v>439080</v>
      </c>
      <c r="F92" s="39">
        <v>5.68</v>
      </c>
      <c r="G92" s="39">
        <v>36095</v>
      </c>
      <c r="H92" s="1">
        <f t="shared" si="2"/>
        <v>1603</v>
      </c>
      <c r="I92" s="13">
        <f t="shared" si="3"/>
        <v>3.6508153411678964E-3</v>
      </c>
      <c r="J92" s="1" t="str" cm="1">
        <f t="array" ref="J92">IFERROR(
    INDEX(Posts!$O:$O,
          MATCH(1,
                (TRIM(UPPER(Posts!$B:$B))=TRIM(UPPER(B92)))*
                (ABS(Posts!$C:$C - A92) &lt;= 7),
          0)),
"unknown")</f>
        <v>SustainabilityDrive</v>
      </c>
    </row>
    <row r="93" spans="1:10" x14ac:dyDescent="0.3">
      <c r="A93" s="39" t="s">
        <v>409</v>
      </c>
      <c r="B93" s="39" t="s">
        <v>23</v>
      </c>
      <c r="C93" s="39">
        <v>1507</v>
      </c>
      <c r="D93" s="39">
        <v>463</v>
      </c>
      <c r="E93" s="39">
        <v>258944</v>
      </c>
      <c r="F93" s="39">
        <v>6.08</v>
      </c>
      <c r="G93" s="39">
        <v>16443</v>
      </c>
      <c r="H93" s="1">
        <f t="shared" si="2"/>
        <v>1044</v>
      </c>
      <c r="I93" s="13">
        <f t="shared" si="3"/>
        <v>4.0317597627286209E-3</v>
      </c>
      <c r="J93" s="1" t="str" cm="1">
        <f t="array" ref="J93">IFERROR(
    INDEX(Posts!$O:$O,
          MATCH(1,
                (TRIM(UPPER(Posts!$B:$B))=TRIM(UPPER(B93)))*
                (ABS(Posts!$C:$C - A93) &lt;= 7),
          0)),
"unknown")</f>
        <v>FSDUpdate</v>
      </c>
    </row>
    <row r="94" spans="1:10" x14ac:dyDescent="0.3">
      <c r="A94" s="39" t="s">
        <v>410</v>
      </c>
      <c r="B94" s="39" t="s">
        <v>28</v>
      </c>
      <c r="C94" s="39">
        <v>1075</v>
      </c>
      <c r="D94" s="39">
        <v>173</v>
      </c>
      <c r="E94" s="39">
        <v>51395</v>
      </c>
      <c r="F94" s="39">
        <v>4.66</v>
      </c>
      <c r="G94" s="39">
        <v>47812</v>
      </c>
      <c r="H94" s="1">
        <f t="shared" si="2"/>
        <v>902</v>
      </c>
      <c r="I94" s="13">
        <f t="shared" si="3"/>
        <v>1.7550345364335054E-2</v>
      </c>
      <c r="J94" s="1" t="str" cm="1">
        <f t="array" ref="J94">IFERROR(
    INDEX(Posts!$O:$O,
          MATCH(1,
                (TRIM(UPPER(Posts!$B:$B))=TRIM(UPPER(B94)))*
                (ABS(Posts!$C:$C - A94) &lt;= 7),
          0)),
"unknown")</f>
        <v>FSDUpdate</v>
      </c>
    </row>
    <row r="95" spans="1:10" x14ac:dyDescent="0.3">
      <c r="A95" s="39" t="s">
        <v>410</v>
      </c>
      <c r="B95" s="39" t="s">
        <v>35</v>
      </c>
      <c r="C95" s="39">
        <v>171</v>
      </c>
      <c r="D95" s="39">
        <v>277</v>
      </c>
      <c r="E95" s="39">
        <v>309483</v>
      </c>
      <c r="F95" s="39">
        <v>8.6999999999999993</v>
      </c>
      <c r="G95" s="39">
        <v>38452</v>
      </c>
      <c r="H95" s="1">
        <f t="shared" si="2"/>
        <v>-106</v>
      </c>
      <c r="I95" s="13">
        <f t="shared" si="3"/>
        <v>-3.4250669665215861E-4</v>
      </c>
      <c r="J95" s="1" t="str" cm="1">
        <f t="array" ref="J95">IFERROR(
    INDEX(Posts!$O:$O,
          MATCH(1,
                (TRIM(UPPER(Posts!$B:$B))=TRIM(UPPER(B95)))*
                (ABS(Posts!$C:$C - A95) &lt;= 7),
          0)),
"unknown")</f>
        <v>ModelYCampaign</v>
      </c>
    </row>
    <row r="96" spans="1:10" x14ac:dyDescent="0.3">
      <c r="A96" s="39" t="s">
        <v>410</v>
      </c>
      <c r="B96" s="39" t="s">
        <v>14</v>
      </c>
      <c r="C96" s="39">
        <v>1487</v>
      </c>
      <c r="D96" s="39">
        <v>337</v>
      </c>
      <c r="E96" s="39">
        <v>87305</v>
      </c>
      <c r="F96" s="39">
        <v>2.46</v>
      </c>
      <c r="G96" s="39">
        <v>30428</v>
      </c>
      <c r="H96" s="1">
        <f t="shared" si="2"/>
        <v>1150</v>
      </c>
      <c r="I96" s="13">
        <f t="shared" si="3"/>
        <v>1.3172212358971423E-2</v>
      </c>
      <c r="J96" s="1" t="str" cm="1">
        <f t="array" ref="J96">IFERROR(
    INDEX(Posts!$O:$O,
          MATCH(1,
                (TRIM(UPPER(Posts!$B:$B))=TRIM(UPPER(B96)))*
                (ABS(Posts!$C:$C - A96) &lt;= 7),
          0)),
"unknown")</f>
        <v>SustainabilityDrive</v>
      </c>
    </row>
    <row r="97" spans="1:10" x14ac:dyDescent="0.3">
      <c r="A97" s="39" t="s">
        <v>410</v>
      </c>
      <c r="B97" s="39" t="s">
        <v>23</v>
      </c>
      <c r="C97" s="39">
        <v>454</v>
      </c>
      <c r="D97" s="39">
        <v>105</v>
      </c>
      <c r="E97" s="39">
        <v>121091</v>
      </c>
      <c r="F97" s="39">
        <v>7.97</v>
      </c>
      <c r="G97" s="39">
        <v>9269</v>
      </c>
      <c r="H97" s="1">
        <f t="shared" si="2"/>
        <v>349</v>
      </c>
      <c r="I97" s="13">
        <f t="shared" si="3"/>
        <v>2.8821299683708945E-3</v>
      </c>
      <c r="J97" s="1" t="str" cm="1">
        <f t="array" ref="J97">IFERROR(
    INDEX(Posts!$O:$O,
          MATCH(1,
                (TRIM(UPPER(Posts!$B:$B))=TRIM(UPPER(B97)))*
                (ABS(Posts!$C:$C - A97) &lt;= 7),
          0)),
"unknown")</f>
        <v>CybertruckLaunch</v>
      </c>
    </row>
    <row r="98" spans="1:10" x14ac:dyDescent="0.3">
      <c r="A98" s="39" t="s">
        <v>411</v>
      </c>
      <c r="B98" s="39" t="s">
        <v>28</v>
      </c>
      <c r="C98" s="39">
        <v>187</v>
      </c>
      <c r="D98" s="39">
        <v>236</v>
      </c>
      <c r="E98" s="39">
        <v>51087</v>
      </c>
      <c r="F98" s="39">
        <v>9.41</v>
      </c>
      <c r="G98" s="39">
        <v>29533</v>
      </c>
      <c r="H98" s="1">
        <f t="shared" si="2"/>
        <v>-49</v>
      </c>
      <c r="I98" s="13">
        <f t="shared" si="3"/>
        <v>-9.5914811987394058E-4</v>
      </c>
      <c r="J98" s="1" t="str" cm="1">
        <f t="array" ref="J98">IFERROR(
    INDEX(Posts!$O:$O,
          MATCH(1,
                (TRIM(UPPER(Posts!$B:$B))=TRIM(UPPER(B98)))*
                (ABS(Posts!$C:$C - A98) &lt;= 7),
          0)),
"unknown")</f>
        <v>CybertruckLaunch</v>
      </c>
    </row>
    <row r="99" spans="1:10" x14ac:dyDescent="0.3">
      <c r="A99" s="39" t="s">
        <v>411</v>
      </c>
      <c r="B99" s="39" t="s">
        <v>35</v>
      </c>
      <c r="C99" s="39">
        <v>513</v>
      </c>
      <c r="D99" s="39">
        <v>441</v>
      </c>
      <c r="E99" s="39">
        <v>338847</v>
      </c>
      <c r="F99" s="39">
        <v>2.68</v>
      </c>
      <c r="G99" s="39">
        <v>39997</v>
      </c>
      <c r="H99" s="1">
        <f t="shared" si="2"/>
        <v>72</v>
      </c>
      <c r="I99" s="13">
        <f t="shared" si="3"/>
        <v>2.1248528096751631E-4</v>
      </c>
      <c r="J99" s="1" t="str" cm="1">
        <f t="array" ref="J99">IFERROR(
    INDEX(Posts!$O:$O,
          MATCH(1,
                (TRIM(UPPER(Posts!$B:$B))=TRIM(UPPER(B99)))*
                (ABS(Posts!$C:$C - A99) &lt;= 7),
          0)),
"unknown")</f>
        <v>unknown</v>
      </c>
    </row>
    <row r="100" spans="1:10" x14ac:dyDescent="0.3">
      <c r="A100" s="39" t="s">
        <v>411</v>
      </c>
      <c r="B100" s="39" t="s">
        <v>14</v>
      </c>
      <c r="C100" s="39">
        <v>628</v>
      </c>
      <c r="D100" s="39">
        <v>183</v>
      </c>
      <c r="E100" s="39">
        <v>487523</v>
      </c>
      <c r="F100" s="39">
        <v>7.32</v>
      </c>
      <c r="G100" s="39">
        <v>5391</v>
      </c>
      <c r="H100" s="1">
        <f t="shared" si="2"/>
        <v>445</v>
      </c>
      <c r="I100" s="13">
        <f t="shared" si="3"/>
        <v>9.1277744844858602E-4</v>
      </c>
      <c r="J100" s="1" t="str" cm="1">
        <f t="array" ref="J100">IFERROR(
    INDEX(Posts!$O:$O,
          MATCH(1,
                (TRIM(UPPER(Posts!$B:$B))=TRIM(UPPER(B100)))*
                (ABS(Posts!$C:$C - A100) &lt;= 7),
          0)),
"unknown")</f>
        <v>FSDUpdate</v>
      </c>
    </row>
    <row r="101" spans="1:10" x14ac:dyDescent="0.3">
      <c r="A101" s="39" t="s">
        <v>411</v>
      </c>
      <c r="B101" s="39" t="s">
        <v>23</v>
      </c>
      <c r="C101" s="39">
        <v>278</v>
      </c>
      <c r="D101" s="39">
        <v>218</v>
      </c>
      <c r="E101" s="39">
        <v>301695</v>
      </c>
      <c r="F101" s="39">
        <v>4.68</v>
      </c>
      <c r="G101" s="39">
        <v>22373</v>
      </c>
      <c r="H101" s="1">
        <f t="shared" si="2"/>
        <v>60</v>
      </c>
      <c r="I101" s="13">
        <f t="shared" si="3"/>
        <v>1.9887634863023914E-4</v>
      </c>
      <c r="J101" s="1" t="str" cm="1">
        <f t="array" ref="J101">IFERROR(
    INDEX(Posts!$O:$O,
          MATCH(1,
                (TRIM(UPPER(Posts!$B:$B))=TRIM(UPPER(B101)))*
                (ABS(Posts!$C:$C - A101) &lt;= 7),
          0)),
"unknown")</f>
        <v>CybertruckLaunch</v>
      </c>
    </row>
    <row r="102" spans="1:10" x14ac:dyDescent="0.3">
      <c r="A102" s="39" t="s">
        <v>412</v>
      </c>
      <c r="B102" s="39" t="s">
        <v>28</v>
      </c>
      <c r="C102" s="39">
        <v>1854</v>
      </c>
      <c r="D102" s="39">
        <v>161</v>
      </c>
      <c r="E102" s="39">
        <v>282466</v>
      </c>
      <c r="F102" s="39">
        <v>5.17</v>
      </c>
      <c r="G102" s="39">
        <v>1810</v>
      </c>
      <c r="H102" s="1">
        <f t="shared" si="2"/>
        <v>1693</v>
      </c>
      <c r="I102" s="13">
        <f t="shared" si="3"/>
        <v>5.9936417126309005E-3</v>
      </c>
      <c r="J102" s="1" t="str" cm="1">
        <f t="array" ref="J102">IFERROR(
    INDEX(Posts!$O:$O,
          MATCH(1,
                (TRIM(UPPER(Posts!$B:$B))=TRIM(UPPER(B102)))*
                (ABS(Posts!$C:$C - A102) &lt;= 7),
          0)),
"unknown")</f>
        <v>ModelYCampaign</v>
      </c>
    </row>
    <row r="103" spans="1:10" x14ac:dyDescent="0.3">
      <c r="A103" s="39" t="s">
        <v>412</v>
      </c>
      <c r="B103" s="39" t="s">
        <v>35</v>
      </c>
      <c r="C103" s="39">
        <v>1710</v>
      </c>
      <c r="D103" s="39">
        <v>378</v>
      </c>
      <c r="E103" s="39">
        <v>336661</v>
      </c>
      <c r="F103" s="39">
        <v>6.2</v>
      </c>
      <c r="G103" s="39">
        <v>28498</v>
      </c>
      <c r="H103" s="1">
        <f t="shared" si="2"/>
        <v>1332</v>
      </c>
      <c r="I103" s="13">
        <f t="shared" si="3"/>
        <v>3.9565022381564839E-3</v>
      </c>
      <c r="J103" s="1" t="str" cm="1">
        <f t="array" ref="J103">IFERROR(
    INDEX(Posts!$O:$O,
          MATCH(1,
                (TRIM(UPPER(Posts!$B:$B))=TRIM(UPPER(B103)))*
                (ABS(Posts!$C:$C - A103) &lt;= 7),
          0)),
"unknown")</f>
        <v>unknown</v>
      </c>
    </row>
    <row r="104" spans="1:10" x14ac:dyDescent="0.3">
      <c r="A104" s="39" t="s">
        <v>412</v>
      </c>
      <c r="B104" s="39" t="s">
        <v>14</v>
      </c>
      <c r="C104" s="39">
        <v>330</v>
      </c>
      <c r="D104" s="39">
        <v>232</v>
      </c>
      <c r="E104" s="39">
        <v>88455</v>
      </c>
      <c r="F104" s="39">
        <v>2.69</v>
      </c>
      <c r="G104" s="39">
        <v>39530</v>
      </c>
      <c r="H104" s="1">
        <f t="shared" si="2"/>
        <v>98</v>
      </c>
      <c r="I104" s="13">
        <f t="shared" si="3"/>
        <v>1.1079079758069075E-3</v>
      </c>
      <c r="J104" s="1" t="str" cm="1">
        <f t="array" ref="J104">IFERROR(
    INDEX(Posts!$O:$O,
          MATCH(1,
                (TRIM(UPPER(Posts!$B:$B))=TRIM(UPPER(B104)))*
                (ABS(Posts!$C:$C - A104) &lt;= 7),
          0)),
"unknown")</f>
        <v>FSDUpdate</v>
      </c>
    </row>
    <row r="105" spans="1:10" x14ac:dyDescent="0.3">
      <c r="A105" s="39" t="s">
        <v>412</v>
      </c>
      <c r="B105" s="39" t="s">
        <v>23</v>
      </c>
      <c r="C105" s="39">
        <v>1293</v>
      </c>
      <c r="D105" s="39">
        <v>408</v>
      </c>
      <c r="E105" s="39">
        <v>62535</v>
      </c>
      <c r="F105" s="39">
        <v>8.9</v>
      </c>
      <c r="G105" s="39">
        <v>37876</v>
      </c>
      <c r="H105" s="1">
        <f t="shared" si="2"/>
        <v>885</v>
      </c>
      <c r="I105" s="13">
        <f t="shared" si="3"/>
        <v>1.4152074838090669E-2</v>
      </c>
      <c r="J105" s="1" t="str" cm="1">
        <f t="array" ref="J105">IFERROR(
    INDEX(Posts!$O:$O,
          MATCH(1,
                (TRIM(UPPER(Posts!$B:$B))=TRIM(UPPER(B105)))*
                (ABS(Posts!$C:$C - A105) &lt;= 7),
          0)),
"unknown")</f>
        <v>CybertruckLaunch</v>
      </c>
    </row>
    <row r="106" spans="1:10" x14ac:dyDescent="0.3">
      <c r="A106" s="39" t="s">
        <v>413</v>
      </c>
      <c r="B106" s="39" t="s">
        <v>28</v>
      </c>
      <c r="C106" s="39">
        <v>1696</v>
      </c>
      <c r="D106" s="39">
        <v>71</v>
      </c>
      <c r="E106" s="39">
        <v>421957</v>
      </c>
      <c r="F106" s="39">
        <v>3.79</v>
      </c>
      <c r="G106" s="39">
        <v>36103</v>
      </c>
      <c r="H106" s="1">
        <f t="shared" si="2"/>
        <v>1625</v>
      </c>
      <c r="I106" s="13">
        <f t="shared" si="3"/>
        <v>3.8511033114748661E-3</v>
      </c>
      <c r="J106" s="1" t="str" cm="1">
        <f t="array" ref="J106">IFERROR(
    INDEX(Posts!$O:$O,
          MATCH(1,
                (TRIM(UPPER(Posts!$B:$B))=TRIM(UPPER(B106)))*
                (ABS(Posts!$C:$C - A106) &lt;= 7),
          0)),
"unknown")</f>
        <v>ModelYCampaign</v>
      </c>
    </row>
    <row r="107" spans="1:10" x14ac:dyDescent="0.3">
      <c r="A107" s="39" t="s">
        <v>413</v>
      </c>
      <c r="B107" s="39" t="s">
        <v>35</v>
      </c>
      <c r="C107" s="39">
        <v>1902</v>
      </c>
      <c r="D107" s="39">
        <v>196</v>
      </c>
      <c r="E107" s="39">
        <v>470269</v>
      </c>
      <c r="F107" s="39">
        <v>4.79</v>
      </c>
      <c r="G107" s="39">
        <v>26103</v>
      </c>
      <c r="H107" s="1">
        <f t="shared" si="2"/>
        <v>1706</v>
      </c>
      <c r="I107" s="13">
        <f t="shared" si="3"/>
        <v>3.6277109484146308E-3</v>
      </c>
      <c r="J107" s="1" t="str" cm="1">
        <f t="array" ref="J107">IFERROR(
    INDEX(Posts!$O:$O,
          MATCH(1,
                (TRIM(UPPER(Posts!$B:$B))=TRIM(UPPER(B107)))*
                (ABS(Posts!$C:$C - A107) &lt;= 7),
          0)),
"unknown")</f>
        <v>unknown</v>
      </c>
    </row>
    <row r="108" spans="1:10" x14ac:dyDescent="0.3">
      <c r="A108" s="39" t="s">
        <v>413</v>
      </c>
      <c r="B108" s="39" t="s">
        <v>14</v>
      </c>
      <c r="C108" s="39">
        <v>1441</v>
      </c>
      <c r="D108" s="39">
        <v>268</v>
      </c>
      <c r="E108" s="39">
        <v>309904</v>
      </c>
      <c r="F108" s="39">
        <v>6.37</v>
      </c>
      <c r="G108" s="39">
        <v>3455</v>
      </c>
      <c r="H108" s="1">
        <f t="shared" si="2"/>
        <v>1173</v>
      </c>
      <c r="I108" s="13">
        <f t="shared" si="3"/>
        <v>3.7850431101244257E-3</v>
      </c>
      <c r="J108" s="1" t="str" cm="1">
        <f t="array" ref="J108">IFERROR(
    INDEX(Posts!$O:$O,
          MATCH(1,
                (TRIM(UPPER(Posts!$B:$B))=TRIM(UPPER(B108)))*
                (ABS(Posts!$C:$C - A108) &lt;= 7),
          0)),
"unknown")</f>
        <v>FSDUpdate</v>
      </c>
    </row>
    <row r="109" spans="1:10" x14ac:dyDescent="0.3">
      <c r="A109" s="39" t="s">
        <v>413</v>
      </c>
      <c r="B109" s="39" t="s">
        <v>23</v>
      </c>
      <c r="C109" s="39">
        <v>452</v>
      </c>
      <c r="D109" s="39">
        <v>161</v>
      </c>
      <c r="E109" s="39">
        <v>221274</v>
      </c>
      <c r="F109" s="39">
        <v>2.65</v>
      </c>
      <c r="G109" s="39">
        <v>40888</v>
      </c>
      <c r="H109" s="1">
        <f t="shared" si="2"/>
        <v>291</v>
      </c>
      <c r="I109" s="13">
        <f t="shared" si="3"/>
        <v>1.3151115811166245E-3</v>
      </c>
      <c r="J109" s="1" t="str" cm="1">
        <f t="array" ref="J109">IFERROR(
    INDEX(Posts!$O:$O,
          MATCH(1,
                (TRIM(UPPER(Posts!$B:$B))=TRIM(UPPER(B109)))*
                (ABS(Posts!$C:$C - A109) &lt;= 7),
          0)),
"unknown")</f>
        <v>CybertruckLaunch</v>
      </c>
    </row>
    <row r="110" spans="1:10" x14ac:dyDescent="0.3">
      <c r="A110" s="39" t="s">
        <v>414</v>
      </c>
      <c r="B110" s="39" t="s">
        <v>28</v>
      </c>
      <c r="C110" s="39">
        <v>1494</v>
      </c>
      <c r="D110" s="39">
        <v>375</v>
      </c>
      <c r="E110" s="39">
        <v>220616</v>
      </c>
      <c r="F110" s="39">
        <v>1.81</v>
      </c>
      <c r="G110" s="39">
        <v>22724</v>
      </c>
      <c r="H110" s="1">
        <f t="shared" si="2"/>
        <v>1119</v>
      </c>
      <c r="I110" s="13">
        <f t="shared" si="3"/>
        <v>5.0721615839286359E-3</v>
      </c>
      <c r="J110" s="1" t="str" cm="1">
        <f t="array" ref="J110">IFERROR(
    INDEX(Posts!$O:$O,
          MATCH(1,
                (TRIM(UPPER(Posts!$B:$B))=TRIM(UPPER(B110)))*
                (ABS(Posts!$C:$C - A110) &lt;= 7),
          0)),
"unknown")</f>
        <v>ModelYCampaign</v>
      </c>
    </row>
    <row r="111" spans="1:10" x14ac:dyDescent="0.3">
      <c r="A111" s="39" t="s">
        <v>414</v>
      </c>
      <c r="B111" s="39" t="s">
        <v>35</v>
      </c>
      <c r="C111" s="39">
        <v>1514</v>
      </c>
      <c r="D111" s="39">
        <v>141</v>
      </c>
      <c r="E111" s="39">
        <v>35842</v>
      </c>
      <c r="F111" s="39">
        <v>7.47</v>
      </c>
      <c r="G111" s="39">
        <v>18601</v>
      </c>
      <c r="H111" s="1">
        <f t="shared" si="2"/>
        <v>1373</v>
      </c>
      <c r="I111" s="13">
        <f t="shared" si="3"/>
        <v>3.8307014117515761E-2</v>
      </c>
      <c r="J111" s="1" t="str" cm="1">
        <f t="array" ref="J111">IFERROR(
    INDEX(Posts!$O:$O,
          MATCH(1,
                (TRIM(UPPER(Posts!$B:$B))=TRIM(UPPER(B111)))*
                (ABS(Posts!$C:$C - A111) &lt;= 7),
          0)),
"unknown")</f>
        <v>SustainabilityDrive</v>
      </c>
    </row>
    <row r="112" spans="1:10" x14ac:dyDescent="0.3">
      <c r="A112" s="39" t="s">
        <v>414</v>
      </c>
      <c r="B112" s="39" t="s">
        <v>14</v>
      </c>
      <c r="C112" s="39">
        <v>1937</v>
      </c>
      <c r="D112" s="39">
        <v>210</v>
      </c>
      <c r="E112" s="39">
        <v>20607</v>
      </c>
      <c r="F112" s="39">
        <v>4.2</v>
      </c>
      <c r="G112" s="39">
        <v>20861</v>
      </c>
      <c r="H112" s="1">
        <f t="shared" si="2"/>
        <v>1727</v>
      </c>
      <c r="I112" s="13">
        <f t="shared" si="3"/>
        <v>8.3806473528412681E-2</v>
      </c>
      <c r="J112" s="1" t="str" cm="1">
        <f t="array" ref="J112">IFERROR(
    INDEX(Posts!$O:$O,
          MATCH(1,
                (TRIM(UPPER(Posts!$B:$B))=TRIM(UPPER(B112)))*
                (ABS(Posts!$C:$C - A112) &lt;= 7),
          0)),
"unknown")</f>
        <v>ModelYCampaign</v>
      </c>
    </row>
    <row r="113" spans="1:10" x14ac:dyDescent="0.3">
      <c r="A113" s="39" t="s">
        <v>414</v>
      </c>
      <c r="B113" s="39" t="s">
        <v>23</v>
      </c>
      <c r="C113" s="39">
        <v>736</v>
      </c>
      <c r="D113" s="39">
        <v>163</v>
      </c>
      <c r="E113" s="39">
        <v>451894</v>
      </c>
      <c r="F113" s="39">
        <v>5.43</v>
      </c>
      <c r="G113" s="39">
        <v>46625</v>
      </c>
      <c r="H113" s="1">
        <f t="shared" si="2"/>
        <v>573</v>
      </c>
      <c r="I113" s="13">
        <f t="shared" si="3"/>
        <v>1.2679964770499277E-3</v>
      </c>
      <c r="J113" s="1" t="str" cm="1">
        <f t="array" ref="J113">IFERROR(
    INDEX(Posts!$O:$O,
          MATCH(1,
                (TRIM(UPPER(Posts!$B:$B))=TRIM(UPPER(B113)))*
                (ABS(Posts!$C:$C - A113) &lt;= 7),
          0)),
"unknown")</f>
        <v>CybertruckLaunch</v>
      </c>
    </row>
    <row r="114" spans="1:10" x14ac:dyDescent="0.3">
      <c r="A114" s="39" t="s">
        <v>415</v>
      </c>
      <c r="B114" s="39" t="s">
        <v>28</v>
      </c>
      <c r="C114" s="39">
        <v>1502</v>
      </c>
      <c r="D114" s="39">
        <v>70</v>
      </c>
      <c r="E114" s="39">
        <v>465553</v>
      </c>
      <c r="F114" s="39">
        <v>3.32</v>
      </c>
      <c r="G114" s="39">
        <v>20692</v>
      </c>
      <c r="H114" s="1">
        <f t="shared" si="2"/>
        <v>1432</v>
      </c>
      <c r="I114" s="13">
        <f t="shared" si="3"/>
        <v>3.0759118725472716E-3</v>
      </c>
      <c r="J114" s="1" t="str" cm="1">
        <f t="array" ref="J114">IFERROR(
    INDEX(Posts!$O:$O,
          MATCH(1,
                (TRIM(UPPER(Posts!$B:$B))=TRIM(UPPER(B114)))*
                (ABS(Posts!$C:$C - A114) &lt;= 7),
          0)),
"unknown")</f>
        <v>ModelYCampaign</v>
      </c>
    </row>
    <row r="115" spans="1:10" x14ac:dyDescent="0.3">
      <c r="A115" s="39" t="s">
        <v>415</v>
      </c>
      <c r="B115" s="39" t="s">
        <v>35</v>
      </c>
      <c r="C115" s="39">
        <v>1623</v>
      </c>
      <c r="D115" s="39">
        <v>246</v>
      </c>
      <c r="E115" s="39">
        <v>415815</v>
      </c>
      <c r="F115" s="39">
        <v>8.11</v>
      </c>
      <c r="G115" s="39">
        <v>18656</v>
      </c>
      <c r="H115" s="1">
        <f t="shared" si="2"/>
        <v>1377</v>
      </c>
      <c r="I115" s="13">
        <f t="shared" si="3"/>
        <v>3.311568846722701E-3</v>
      </c>
      <c r="J115" s="1" t="str" cm="1">
        <f t="array" ref="J115">IFERROR(
    INDEX(Posts!$O:$O,
          MATCH(1,
                (TRIM(UPPER(Posts!$B:$B))=TRIM(UPPER(B115)))*
                (ABS(Posts!$C:$C - A115) &lt;= 7),
          0)),
"unknown")</f>
        <v>FSDUpdate</v>
      </c>
    </row>
    <row r="116" spans="1:10" x14ac:dyDescent="0.3">
      <c r="A116" s="39" t="s">
        <v>415</v>
      </c>
      <c r="B116" s="39" t="s">
        <v>14</v>
      </c>
      <c r="C116" s="39">
        <v>1592</v>
      </c>
      <c r="D116" s="39">
        <v>233</v>
      </c>
      <c r="E116" s="39">
        <v>327183</v>
      </c>
      <c r="F116" s="39">
        <v>6.66</v>
      </c>
      <c r="G116" s="39">
        <v>13316</v>
      </c>
      <c r="H116" s="1">
        <f t="shared" si="2"/>
        <v>1359</v>
      </c>
      <c r="I116" s="13">
        <f t="shared" si="3"/>
        <v>4.1536387893013997E-3</v>
      </c>
      <c r="J116" s="1" t="str" cm="1">
        <f t="array" ref="J116">IFERROR(
    INDEX(Posts!$O:$O,
          MATCH(1,
                (TRIM(UPPER(Posts!$B:$B))=TRIM(UPPER(B116)))*
                (ABS(Posts!$C:$C - A116) &lt;= 7),
          0)),
"unknown")</f>
        <v>CybertruckLaunch</v>
      </c>
    </row>
    <row r="117" spans="1:10" x14ac:dyDescent="0.3">
      <c r="A117" s="39" t="s">
        <v>415</v>
      </c>
      <c r="B117" s="39" t="s">
        <v>23</v>
      </c>
      <c r="C117" s="39">
        <v>1004</v>
      </c>
      <c r="D117" s="39">
        <v>128</v>
      </c>
      <c r="E117" s="39">
        <v>488901</v>
      </c>
      <c r="F117" s="39">
        <v>8.09</v>
      </c>
      <c r="G117" s="39">
        <v>49558</v>
      </c>
      <c r="H117" s="1">
        <f t="shared" si="2"/>
        <v>876</v>
      </c>
      <c r="I117" s="13">
        <f t="shared" si="3"/>
        <v>1.7917737946946315E-3</v>
      </c>
      <c r="J117" s="1" t="str" cm="1">
        <f t="array" ref="J117">IFERROR(
    INDEX(Posts!$O:$O,
          MATCH(1,
                (TRIM(UPPER(Posts!$B:$B))=TRIM(UPPER(B117)))*
                (ABS(Posts!$C:$C - A117) &lt;= 7),
          0)),
"unknown")</f>
        <v>ModelYCampaign</v>
      </c>
    </row>
    <row r="118" spans="1:10" x14ac:dyDescent="0.3">
      <c r="A118" s="39" t="s">
        <v>416</v>
      </c>
      <c r="B118" s="39" t="s">
        <v>28</v>
      </c>
      <c r="C118" s="39">
        <v>1092</v>
      </c>
      <c r="D118" s="39">
        <v>408</v>
      </c>
      <c r="E118" s="39">
        <v>280795</v>
      </c>
      <c r="F118" s="39">
        <v>8.44</v>
      </c>
      <c r="G118" s="39">
        <v>4683</v>
      </c>
      <c r="H118" s="1">
        <f t="shared" si="2"/>
        <v>684</v>
      </c>
      <c r="I118" s="13">
        <f t="shared" si="3"/>
        <v>2.4359408109118751E-3</v>
      </c>
      <c r="J118" s="1" t="str" cm="1">
        <f t="array" ref="J118">IFERROR(
    INDEX(Posts!$O:$O,
          MATCH(1,
                (TRIM(UPPER(Posts!$B:$B))=TRIM(UPPER(B118)))*
                (ABS(Posts!$C:$C - A118) &lt;= 7),
          0)),
"unknown")</f>
        <v>ModelYCampaign</v>
      </c>
    </row>
    <row r="119" spans="1:10" x14ac:dyDescent="0.3">
      <c r="A119" s="39" t="s">
        <v>416</v>
      </c>
      <c r="B119" s="39" t="s">
        <v>35</v>
      </c>
      <c r="C119" s="39">
        <v>1155</v>
      </c>
      <c r="D119" s="39">
        <v>425</v>
      </c>
      <c r="E119" s="39">
        <v>93347</v>
      </c>
      <c r="F119" s="39">
        <v>2.02</v>
      </c>
      <c r="G119" s="39">
        <v>47502</v>
      </c>
      <c r="H119" s="1">
        <f t="shared" si="2"/>
        <v>730</v>
      </c>
      <c r="I119" s="13">
        <f t="shared" si="3"/>
        <v>7.8202834584935772E-3</v>
      </c>
      <c r="J119" s="1" t="str" cm="1">
        <f t="array" ref="J119">IFERROR(
    INDEX(Posts!$O:$O,
          MATCH(1,
                (TRIM(UPPER(Posts!$B:$B))=TRIM(UPPER(B119)))*
                (ABS(Posts!$C:$C - A119) &lt;= 7),
          0)),
"unknown")</f>
        <v>FSDUpdate</v>
      </c>
    </row>
    <row r="120" spans="1:10" x14ac:dyDescent="0.3">
      <c r="A120" s="39" t="s">
        <v>416</v>
      </c>
      <c r="B120" s="39" t="s">
        <v>14</v>
      </c>
      <c r="C120" s="39">
        <v>1137</v>
      </c>
      <c r="D120" s="39">
        <v>226</v>
      </c>
      <c r="E120" s="39">
        <v>81119</v>
      </c>
      <c r="F120" s="39">
        <v>7.74</v>
      </c>
      <c r="G120" s="39">
        <v>35359</v>
      </c>
      <c r="H120" s="1">
        <f t="shared" si="2"/>
        <v>911</v>
      </c>
      <c r="I120" s="13">
        <f t="shared" si="3"/>
        <v>1.1230414576116569E-2</v>
      </c>
      <c r="J120" s="1" t="str" cm="1">
        <f t="array" ref="J120">IFERROR(
    INDEX(Posts!$O:$O,
          MATCH(1,
                (TRIM(UPPER(Posts!$B:$B))=TRIM(UPPER(B120)))*
                (ABS(Posts!$C:$C - A120) &lt;= 7),
          0)),
"unknown")</f>
        <v>CybertruckLaunch</v>
      </c>
    </row>
    <row r="121" spans="1:10" x14ac:dyDescent="0.3">
      <c r="A121" s="39" t="s">
        <v>416</v>
      </c>
      <c r="B121" s="39" t="s">
        <v>23</v>
      </c>
      <c r="C121" s="39">
        <v>1900</v>
      </c>
      <c r="D121" s="39">
        <v>311</v>
      </c>
      <c r="E121" s="39">
        <v>25177</v>
      </c>
      <c r="F121" s="39">
        <v>2.89</v>
      </c>
      <c r="G121" s="39">
        <v>14154</v>
      </c>
      <c r="H121" s="1">
        <f t="shared" si="2"/>
        <v>1589</v>
      </c>
      <c r="I121" s="13">
        <f t="shared" si="3"/>
        <v>6.3113158835445049E-2</v>
      </c>
      <c r="J121" s="1" t="str" cm="1">
        <f t="array" ref="J121">IFERROR(
    INDEX(Posts!$O:$O,
          MATCH(1,
                (TRIM(UPPER(Posts!$B:$B))=TRIM(UPPER(B121)))*
                (ABS(Posts!$C:$C - A121) &lt;= 7),
          0)),
"unknown")</f>
        <v>ModelYCampaign</v>
      </c>
    </row>
    <row r="122" spans="1:10" x14ac:dyDescent="0.3">
      <c r="A122" s="39" t="s">
        <v>417</v>
      </c>
      <c r="B122" s="39" t="s">
        <v>28</v>
      </c>
      <c r="C122" s="39">
        <v>1814</v>
      </c>
      <c r="D122" s="39">
        <v>49</v>
      </c>
      <c r="E122" s="39">
        <v>140804</v>
      </c>
      <c r="F122" s="39">
        <v>1.76</v>
      </c>
      <c r="G122" s="39">
        <v>4313</v>
      </c>
      <c r="H122" s="1">
        <f t="shared" si="2"/>
        <v>1765</v>
      </c>
      <c r="I122" s="13">
        <f t="shared" si="3"/>
        <v>1.253515525127127E-2</v>
      </c>
      <c r="J122" s="1" t="str" cm="1">
        <f t="array" ref="J122">IFERROR(
    INDEX(Posts!$O:$O,
          MATCH(1,
                (TRIM(UPPER(Posts!$B:$B))=TRIM(UPPER(B122)))*
                (ABS(Posts!$C:$C - A122) &lt;= 7),
          0)),
"unknown")</f>
        <v>SustainabilityDrive</v>
      </c>
    </row>
    <row r="123" spans="1:10" x14ac:dyDescent="0.3">
      <c r="A123" s="39" t="s">
        <v>417</v>
      </c>
      <c r="B123" s="39" t="s">
        <v>35</v>
      </c>
      <c r="C123" s="39">
        <v>1980</v>
      </c>
      <c r="D123" s="39">
        <v>204</v>
      </c>
      <c r="E123" s="39">
        <v>379431</v>
      </c>
      <c r="F123" s="39">
        <v>3.09</v>
      </c>
      <c r="G123" s="39">
        <v>25140</v>
      </c>
      <c r="H123" s="1">
        <f t="shared" si="2"/>
        <v>1776</v>
      </c>
      <c r="I123" s="13">
        <f t="shared" si="3"/>
        <v>4.6806929323118035E-3</v>
      </c>
      <c r="J123" s="1" t="str" cm="1">
        <f t="array" ref="J123">IFERROR(
    INDEX(Posts!$O:$O,
          MATCH(1,
                (TRIM(UPPER(Posts!$B:$B))=TRIM(UPPER(B123)))*
                (ABS(Posts!$C:$C - A123) &lt;= 7),
          0)),
"unknown")</f>
        <v>ModelYCampaign</v>
      </c>
    </row>
    <row r="124" spans="1:10" x14ac:dyDescent="0.3">
      <c r="A124" s="39" t="s">
        <v>417</v>
      </c>
      <c r="B124" s="39" t="s">
        <v>14</v>
      </c>
      <c r="C124" s="39">
        <v>1786</v>
      </c>
      <c r="D124" s="39">
        <v>257</v>
      </c>
      <c r="E124" s="39">
        <v>274831</v>
      </c>
      <c r="F124" s="39">
        <v>4.68</v>
      </c>
      <c r="G124" s="39">
        <v>9118</v>
      </c>
      <c r="H124" s="1">
        <f t="shared" si="2"/>
        <v>1529</v>
      </c>
      <c r="I124" s="13">
        <f t="shared" si="3"/>
        <v>5.5634189738421064E-3</v>
      </c>
      <c r="J124" s="1" t="str" cm="1">
        <f t="array" ref="J124">IFERROR(
    INDEX(Posts!$O:$O,
          MATCH(1,
                (TRIM(UPPER(Posts!$B:$B))=TRIM(UPPER(B124)))*
                (ABS(Posts!$C:$C - A124) &lt;= 7),
          0)),
"unknown")</f>
        <v>CybertruckLaunch</v>
      </c>
    </row>
    <row r="125" spans="1:10" x14ac:dyDescent="0.3">
      <c r="A125" s="39" t="s">
        <v>417</v>
      </c>
      <c r="B125" s="39" t="s">
        <v>23</v>
      </c>
      <c r="C125" s="39">
        <v>1495</v>
      </c>
      <c r="D125" s="39">
        <v>35</v>
      </c>
      <c r="E125" s="39">
        <v>136845</v>
      </c>
      <c r="F125" s="39">
        <v>4.4800000000000004</v>
      </c>
      <c r="G125" s="39">
        <v>39931</v>
      </c>
      <c r="H125" s="1">
        <f t="shared" si="2"/>
        <v>1460</v>
      </c>
      <c r="I125" s="13">
        <f t="shared" si="3"/>
        <v>1.0669005078738719E-2</v>
      </c>
      <c r="J125" s="1" t="str" cm="1">
        <f t="array" ref="J125">IFERROR(
    INDEX(Posts!$O:$O,
          MATCH(1,
                (TRIM(UPPER(Posts!$B:$B))=TRIM(UPPER(B125)))*
                (ABS(Posts!$C:$C - A125) &lt;= 7),
          0)),
"unknown")</f>
        <v>ModelYCampaign</v>
      </c>
    </row>
    <row r="126" spans="1:10" x14ac:dyDescent="0.3">
      <c r="A126" s="39" t="s">
        <v>418</v>
      </c>
      <c r="B126" s="39" t="s">
        <v>28</v>
      </c>
      <c r="C126" s="39">
        <v>1013</v>
      </c>
      <c r="D126" s="39">
        <v>110</v>
      </c>
      <c r="E126" s="39">
        <v>466382</v>
      </c>
      <c r="F126" s="39">
        <v>5.3</v>
      </c>
      <c r="G126" s="39">
        <v>37132</v>
      </c>
      <c r="H126" s="1">
        <f t="shared" si="2"/>
        <v>903</v>
      </c>
      <c r="I126" s="13">
        <f t="shared" si="3"/>
        <v>1.9361810704529763E-3</v>
      </c>
      <c r="J126" s="1" t="str" cm="1">
        <f t="array" ref="J126">IFERROR(
    INDEX(Posts!$O:$O,
          MATCH(1,
                (TRIM(UPPER(Posts!$B:$B))=TRIM(UPPER(B126)))*
                (ABS(Posts!$C:$C - A126) &lt;= 7),
          0)),
"unknown")</f>
        <v>SustainabilityDrive</v>
      </c>
    </row>
    <row r="127" spans="1:10" x14ac:dyDescent="0.3">
      <c r="A127" s="39" t="s">
        <v>418</v>
      </c>
      <c r="B127" s="39" t="s">
        <v>35</v>
      </c>
      <c r="C127" s="39">
        <v>816</v>
      </c>
      <c r="D127" s="39">
        <v>196</v>
      </c>
      <c r="E127" s="39">
        <v>95728</v>
      </c>
      <c r="F127" s="39">
        <v>8.1999999999999993</v>
      </c>
      <c r="G127" s="39">
        <v>17951</v>
      </c>
      <c r="H127" s="1">
        <f t="shared" si="2"/>
        <v>620</v>
      </c>
      <c r="I127" s="13">
        <f t="shared" si="3"/>
        <v>6.4766839378238338E-3</v>
      </c>
      <c r="J127" s="1" t="str" cm="1">
        <f t="array" ref="J127">IFERROR(
    INDEX(Posts!$O:$O,
          MATCH(1,
                (TRIM(UPPER(Posts!$B:$B))=TRIM(UPPER(B127)))*
                (ABS(Posts!$C:$C - A127) &lt;= 7),
          0)),
"unknown")</f>
        <v>ModelYCampaign</v>
      </c>
    </row>
    <row r="128" spans="1:10" x14ac:dyDescent="0.3">
      <c r="A128" s="39" t="s">
        <v>418</v>
      </c>
      <c r="B128" s="39" t="s">
        <v>14</v>
      </c>
      <c r="C128" s="39">
        <v>1633</v>
      </c>
      <c r="D128" s="39">
        <v>445</v>
      </c>
      <c r="E128" s="39">
        <v>371156</v>
      </c>
      <c r="F128" s="39">
        <v>2.2200000000000002</v>
      </c>
      <c r="G128" s="39">
        <v>2798</v>
      </c>
      <c r="H128" s="1">
        <f t="shared" si="2"/>
        <v>1188</v>
      </c>
      <c r="I128" s="13">
        <f t="shared" si="3"/>
        <v>3.2008104408927781E-3</v>
      </c>
      <c r="J128" s="1" t="str" cm="1">
        <f t="array" ref="J128">IFERROR(
    INDEX(Posts!$O:$O,
          MATCH(1,
                (TRIM(UPPER(Posts!$B:$B))=TRIM(UPPER(B128)))*
                (ABS(Posts!$C:$C - A128) &lt;= 7),
          0)),
"unknown")</f>
        <v>unknown</v>
      </c>
    </row>
    <row r="129" spans="1:10" x14ac:dyDescent="0.3">
      <c r="A129" s="39" t="s">
        <v>418</v>
      </c>
      <c r="B129" s="39" t="s">
        <v>23</v>
      </c>
      <c r="C129" s="39">
        <v>891</v>
      </c>
      <c r="D129" s="39">
        <v>45</v>
      </c>
      <c r="E129" s="39">
        <v>95410</v>
      </c>
      <c r="F129" s="39">
        <v>8.33</v>
      </c>
      <c r="G129" s="39">
        <v>15045</v>
      </c>
      <c r="H129" s="1">
        <f t="shared" si="2"/>
        <v>846</v>
      </c>
      <c r="I129" s="13">
        <f t="shared" si="3"/>
        <v>8.8669950738916262E-3</v>
      </c>
      <c r="J129" s="1" t="str" cm="1">
        <f t="array" ref="J129">IFERROR(
    INDEX(Posts!$O:$O,
          MATCH(1,
                (TRIM(UPPER(Posts!$B:$B))=TRIM(UPPER(B129)))*
                (ABS(Posts!$C:$C - A129) &lt;= 7),
          0)),
"unknown")</f>
        <v>ModelYCampaign</v>
      </c>
    </row>
    <row r="130" spans="1:10" x14ac:dyDescent="0.3">
      <c r="A130" s="39" t="s">
        <v>419</v>
      </c>
      <c r="B130" s="39" t="s">
        <v>28</v>
      </c>
      <c r="C130" s="39">
        <v>1855</v>
      </c>
      <c r="D130" s="39">
        <v>133</v>
      </c>
      <c r="E130" s="39">
        <v>349413</v>
      </c>
      <c r="F130" s="39">
        <v>3.3</v>
      </c>
      <c r="G130" s="39">
        <v>14548</v>
      </c>
      <c r="H130" s="1">
        <f t="shared" si="2"/>
        <v>1722</v>
      </c>
      <c r="I130" s="13">
        <f t="shared" si="3"/>
        <v>4.9282654051223049E-3</v>
      </c>
      <c r="J130" s="1" t="str" cm="1">
        <f t="array" ref="J130">IFERROR(
    INDEX(Posts!$O:$O,
          MATCH(1,
                (TRIM(UPPER(Posts!$B:$B))=TRIM(UPPER(B130)))*
                (ABS(Posts!$C:$C - A130) &lt;= 7),
          0)),
"unknown")</f>
        <v>SustainabilityDrive</v>
      </c>
    </row>
    <row r="131" spans="1:10" x14ac:dyDescent="0.3">
      <c r="A131" s="39" t="s">
        <v>419</v>
      </c>
      <c r="B131" s="39" t="s">
        <v>35</v>
      </c>
      <c r="C131" s="39">
        <v>651</v>
      </c>
      <c r="D131" s="39">
        <v>353</v>
      </c>
      <c r="E131" s="39">
        <v>224699</v>
      </c>
      <c r="F131" s="39">
        <v>5.61</v>
      </c>
      <c r="G131" s="39">
        <v>45708</v>
      </c>
      <c r="H131" s="1">
        <f t="shared" ref="H131:H194" si="4">C131-D131</f>
        <v>298</v>
      </c>
      <c r="I131" s="13">
        <f t="shared" ref="I131:I194" si="5">H131/E131</f>
        <v>1.3262186302564765E-3</v>
      </c>
      <c r="J131" s="1" t="str" cm="1">
        <f t="array" ref="J131">IFERROR(
    INDEX(Posts!$O:$O,
          MATCH(1,
                (TRIM(UPPER(Posts!$B:$B))=TRIM(UPPER(B131)))*
                (ABS(Posts!$C:$C - A131) &lt;= 7),
          0)),
"unknown")</f>
        <v>ModelYCampaign</v>
      </c>
    </row>
    <row r="132" spans="1:10" x14ac:dyDescent="0.3">
      <c r="A132" s="39" t="s">
        <v>419</v>
      </c>
      <c r="B132" s="39" t="s">
        <v>14</v>
      </c>
      <c r="C132" s="39">
        <v>118</v>
      </c>
      <c r="D132" s="39">
        <v>262</v>
      </c>
      <c r="E132" s="39">
        <v>487896</v>
      </c>
      <c r="F132" s="39">
        <v>2.56</v>
      </c>
      <c r="G132" s="39">
        <v>12350</v>
      </c>
      <c r="H132" s="1">
        <f t="shared" si="4"/>
        <v>-144</v>
      </c>
      <c r="I132" s="13">
        <f t="shared" si="5"/>
        <v>-2.9514486693885583E-4</v>
      </c>
      <c r="J132" s="1" t="str" cm="1">
        <f t="array" ref="J132">IFERROR(
    INDEX(Posts!$O:$O,
          MATCH(1,
                (TRIM(UPPER(Posts!$B:$B))=TRIM(UPPER(B132)))*
                (ABS(Posts!$C:$C - A132) &lt;= 7),
          0)),
"unknown")</f>
        <v>unknown</v>
      </c>
    </row>
    <row r="133" spans="1:10" x14ac:dyDescent="0.3">
      <c r="A133" s="39" t="s">
        <v>419</v>
      </c>
      <c r="B133" s="39" t="s">
        <v>23</v>
      </c>
      <c r="C133" s="39">
        <v>1331</v>
      </c>
      <c r="D133" s="39">
        <v>430</v>
      </c>
      <c r="E133" s="39">
        <v>14437</v>
      </c>
      <c r="F133" s="39">
        <v>3.29</v>
      </c>
      <c r="G133" s="39">
        <v>40868</v>
      </c>
      <c r="H133" s="1">
        <f t="shared" si="4"/>
        <v>901</v>
      </c>
      <c r="I133" s="13">
        <f t="shared" si="5"/>
        <v>6.2409087760615087E-2</v>
      </c>
      <c r="J133" s="1" t="str" cm="1">
        <f t="array" ref="J133">IFERROR(
    INDEX(Posts!$O:$O,
          MATCH(1,
                (TRIM(UPPER(Posts!$B:$B))=TRIM(UPPER(B133)))*
                (ABS(Posts!$C:$C - A133) &lt;= 7),
          0)),
"unknown")</f>
        <v>unknown</v>
      </c>
    </row>
    <row r="134" spans="1:10" x14ac:dyDescent="0.3">
      <c r="A134" s="39" t="s">
        <v>420</v>
      </c>
      <c r="B134" s="39" t="s">
        <v>28</v>
      </c>
      <c r="C134" s="39">
        <v>1748</v>
      </c>
      <c r="D134" s="39">
        <v>176</v>
      </c>
      <c r="E134" s="39">
        <v>383681</v>
      </c>
      <c r="F134" s="39">
        <v>9.24</v>
      </c>
      <c r="G134" s="39">
        <v>43122</v>
      </c>
      <c r="H134" s="1">
        <f t="shared" si="4"/>
        <v>1572</v>
      </c>
      <c r="I134" s="13">
        <f t="shared" si="5"/>
        <v>4.0971536250166149E-3</v>
      </c>
      <c r="J134" s="1" t="str" cm="1">
        <f t="array" ref="J134">IFERROR(
    INDEX(Posts!$O:$O,
          MATCH(1,
                (TRIM(UPPER(Posts!$B:$B))=TRIM(UPPER(B134)))*
                (ABS(Posts!$C:$C - A134) &lt;= 7),
          0)),
"unknown")</f>
        <v>SustainabilityDrive</v>
      </c>
    </row>
    <row r="135" spans="1:10" x14ac:dyDescent="0.3">
      <c r="A135" s="39" t="s">
        <v>420</v>
      </c>
      <c r="B135" s="39" t="s">
        <v>35</v>
      </c>
      <c r="C135" s="39">
        <v>663</v>
      </c>
      <c r="D135" s="39">
        <v>236</v>
      </c>
      <c r="E135" s="39">
        <v>479490</v>
      </c>
      <c r="F135" s="39">
        <v>4.51</v>
      </c>
      <c r="G135" s="39">
        <v>23853</v>
      </c>
      <c r="H135" s="1">
        <f t="shared" si="4"/>
        <v>427</v>
      </c>
      <c r="I135" s="13">
        <f t="shared" si="5"/>
        <v>8.9052952094934197E-4</v>
      </c>
      <c r="J135" s="1" t="str" cm="1">
        <f t="array" ref="J135">IFERROR(
    INDEX(Posts!$O:$O,
          MATCH(1,
                (TRIM(UPPER(Posts!$B:$B))=TRIM(UPPER(B135)))*
                (ABS(Posts!$C:$C - A135) &lt;= 7),
          0)),
"unknown")</f>
        <v>FSDUpdate</v>
      </c>
    </row>
    <row r="136" spans="1:10" x14ac:dyDescent="0.3">
      <c r="A136" s="39" t="s">
        <v>420</v>
      </c>
      <c r="B136" s="39" t="s">
        <v>14</v>
      </c>
      <c r="C136" s="39">
        <v>1040</v>
      </c>
      <c r="D136" s="39">
        <v>149</v>
      </c>
      <c r="E136" s="39">
        <v>124404</v>
      </c>
      <c r="F136" s="39">
        <v>5.23</v>
      </c>
      <c r="G136" s="39">
        <v>45380</v>
      </c>
      <c r="H136" s="1">
        <f t="shared" si="4"/>
        <v>891</v>
      </c>
      <c r="I136" s="13">
        <f t="shared" si="5"/>
        <v>7.1621491270377159E-3</v>
      </c>
      <c r="J136" s="1" t="str" cm="1">
        <f t="array" ref="J136">IFERROR(
    INDEX(Posts!$O:$O,
          MATCH(1,
                (TRIM(UPPER(Posts!$B:$B))=TRIM(UPPER(B136)))*
                (ABS(Posts!$C:$C - A136) &lt;= 7),
          0)),
"unknown")</f>
        <v>CybertruckLaunch</v>
      </c>
    </row>
    <row r="137" spans="1:10" x14ac:dyDescent="0.3">
      <c r="A137" s="39" t="s">
        <v>420</v>
      </c>
      <c r="B137" s="39" t="s">
        <v>23</v>
      </c>
      <c r="C137" s="39">
        <v>1166</v>
      </c>
      <c r="D137" s="39">
        <v>442</v>
      </c>
      <c r="E137" s="39">
        <v>336949</v>
      </c>
      <c r="F137" s="39">
        <v>4.68</v>
      </c>
      <c r="G137" s="39">
        <v>7705</v>
      </c>
      <c r="H137" s="1">
        <f t="shared" si="4"/>
        <v>724</v>
      </c>
      <c r="I137" s="13">
        <f t="shared" si="5"/>
        <v>2.1486931256659019E-3</v>
      </c>
      <c r="J137" s="1" t="str" cm="1">
        <f t="array" ref="J137">IFERROR(
    INDEX(Posts!$O:$O,
          MATCH(1,
                (TRIM(UPPER(Posts!$B:$B))=TRIM(UPPER(B137)))*
                (ABS(Posts!$C:$C - A137) &lt;= 7),
          0)),
"unknown")</f>
        <v>SustainabilityDrive</v>
      </c>
    </row>
    <row r="138" spans="1:10" x14ac:dyDescent="0.3">
      <c r="A138" s="39" t="s">
        <v>421</v>
      </c>
      <c r="B138" s="39" t="s">
        <v>28</v>
      </c>
      <c r="C138" s="39">
        <v>115</v>
      </c>
      <c r="D138" s="39">
        <v>281</v>
      </c>
      <c r="E138" s="39">
        <v>357265</v>
      </c>
      <c r="F138" s="39">
        <v>9.23</v>
      </c>
      <c r="G138" s="39">
        <v>25525</v>
      </c>
      <c r="H138" s="1">
        <f t="shared" si="4"/>
        <v>-166</v>
      </c>
      <c r="I138" s="13">
        <f t="shared" si="5"/>
        <v>-4.6464109274628077E-4</v>
      </c>
      <c r="J138" s="1" t="str" cm="1">
        <f t="array" ref="J138">IFERROR(
    INDEX(Posts!$O:$O,
          MATCH(1,
                (TRIM(UPPER(Posts!$B:$B))=TRIM(UPPER(B138)))*
                (ABS(Posts!$C:$C - A138) &lt;= 7),
          0)),
"unknown")</f>
        <v>SustainabilityDrive</v>
      </c>
    </row>
    <row r="139" spans="1:10" x14ac:dyDescent="0.3">
      <c r="A139" s="39" t="s">
        <v>421</v>
      </c>
      <c r="B139" s="39" t="s">
        <v>35</v>
      </c>
      <c r="C139" s="39">
        <v>1249</v>
      </c>
      <c r="D139" s="39">
        <v>351</v>
      </c>
      <c r="E139" s="39">
        <v>321307</v>
      </c>
      <c r="F139" s="39">
        <v>6.37</v>
      </c>
      <c r="G139" s="39">
        <v>20560</v>
      </c>
      <c r="H139" s="1">
        <f t="shared" si="4"/>
        <v>898</v>
      </c>
      <c r="I139" s="13">
        <f t="shared" si="5"/>
        <v>2.7948348464241365E-3</v>
      </c>
      <c r="J139" s="1" t="str" cm="1">
        <f t="array" ref="J139">IFERROR(
    INDEX(Posts!$O:$O,
          MATCH(1,
                (TRIM(UPPER(Posts!$B:$B))=TRIM(UPPER(B139)))*
                (ABS(Posts!$C:$C - A139) &lt;= 7),
          0)),
"unknown")</f>
        <v>FSDUpdate</v>
      </c>
    </row>
    <row r="140" spans="1:10" x14ac:dyDescent="0.3">
      <c r="A140" s="39" t="s">
        <v>421</v>
      </c>
      <c r="B140" s="39" t="s">
        <v>14</v>
      </c>
      <c r="C140" s="39">
        <v>1501</v>
      </c>
      <c r="D140" s="39">
        <v>75</v>
      </c>
      <c r="E140" s="39">
        <v>262569</v>
      </c>
      <c r="F140" s="39">
        <v>2.0099999999999998</v>
      </c>
      <c r="G140" s="39">
        <v>19119</v>
      </c>
      <c r="H140" s="1">
        <f t="shared" si="4"/>
        <v>1426</v>
      </c>
      <c r="I140" s="13">
        <f t="shared" si="5"/>
        <v>5.4309533874905263E-3</v>
      </c>
      <c r="J140" s="1" t="str" cm="1">
        <f t="array" ref="J140">IFERROR(
    INDEX(Posts!$O:$O,
          MATCH(1,
                (TRIM(UPPER(Posts!$B:$B))=TRIM(UPPER(B140)))*
                (ABS(Posts!$C:$C - A140) &lt;= 7),
          0)),
"unknown")</f>
        <v>SustainabilityDrive</v>
      </c>
    </row>
    <row r="141" spans="1:10" x14ac:dyDescent="0.3">
      <c r="A141" s="39" t="s">
        <v>421</v>
      </c>
      <c r="B141" s="39" t="s">
        <v>23</v>
      </c>
      <c r="C141" s="39">
        <v>1411</v>
      </c>
      <c r="D141" s="39">
        <v>186</v>
      </c>
      <c r="E141" s="39">
        <v>461669</v>
      </c>
      <c r="F141" s="39">
        <v>3.72</v>
      </c>
      <c r="G141" s="39">
        <v>43999</v>
      </c>
      <c r="H141" s="1">
        <f t="shared" si="4"/>
        <v>1225</v>
      </c>
      <c r="I141" s="13">
        <f t="shared" si="5"/>
        <v>2.6534161921203288E-3</v>
      </c>
      <c r="J141" s="1" t="str" cm="1">
        <f t="array" ref="J141">IFERROR(
    INDEX(Posts!$O:$O,
          MATCH(1,
                (TRIM(UPPER(Posts!$B:$B))=TRIM(UPPER(B141)))*
                (ABS(Posts!$C:$C - A141) &lt;= 7),
          0)),
"unknown")</f>
        <v>SustainabilityDrive</v>
      </c>
    </row>
    <row r="142" spans="1:10" x14ac:dyDescent="0.3">
      <c r="A142" s="39" t="s">
        <v>422</v>
      </c>
      <c r="B142" s="39" t="s">
        <v>28</v>
      </c>
      <c r="C142" s="39">
        <v>1556</v>
      </c>
      <c r="D142" s="39">
        <v>476</v>
      </c>
      <c r="E142" s="39">
        <v>351556</v>
      </c>
      <c r="F142" s="39">
        <v>3.89</v>
      </c>
      <c r="G142" s="39">
        <v>10825</v>
      </c>
      <c r="H142" s="1">
        <f t="shared" si="4"/>
        <v>1080</v>
      </c>
      <c r="I142" s="13">
        <f t="shared" si="5"/>
        <v>3.0720567989168156E-3</v>
      </c>
      <c r="J142" s="1" t="str" cm="1">
        <f t="array" ref="J142">IFERROR(
    INDEX(Posts!$O:$O,
          MATCH(1,
                (TRIM(UPPER(Posts!$B:$B))=TRIM(UPPER(B142)))*
                (ABS(Posts!$C:$C - A142) &lt;= 7),
          0)),
"unknown")</f>
        <v>SustainabilityDrive</v>
      </c>
    </row>
    <row r="143" spans="1:10" x14ac:dyDescent="0.3">
      <c r="A143" s="39" t="s">
        <v>422</v>
      </c>
      <c r="B143" s="39" t="s">
        <v>35</v>
      </c>
      <c r="C143" s="39">
        <v>1159</v>
      </c>
      <c r="D143" s="39">
        <v>411</v>
      </c>
      <c r="E143" s="39">
        <v>135987</v>
      </c>
      <c r="F143" s="39">
        <v>8.6999999999999993</v>
      </c>
      <c r="G143" s="39">
        <v>40323</v>
      </c>
      <c r="H143" s="1">
        <f t="shared" si="4"/>
        <v>748</v>
      </c>
      <c r="I143" s="13">
        <f t="shared" si="5"/>
        <v>5.5005257855530306E-3</v>
      </c>
      <c r="J143" s="1" t="str" cm="1">
        <f t="array" ref="J143">IFERROR(
    INDEX(Posts!$O:$O,
          MATCH(1,
                (TRIM(UPPER(Posts!$B:$B))=TRIM(UPPER(B143)))*
                (ABS(Posts!$C:$C - A143) &lt;= 7),
          0)),
"unknown")</f>
        <v>FSDUpdate</v>
      </c>
    </row>
    <row r="144" spans="1:10" x14ac:dyDescent="0.3">
      <c r="A144" s="39" t="s">
        <v>422</v>
      </c>
      <c r="B144" s="39" t="s">
        <v>14</v>
      </c>
      <c r="C144" s="39">
        <v>927</v>
      </c>
      <c r="D144" s="39">
        <v>358</v>
      </c>
      <c r="E144" s="39">
        <v>177554</v>
      </c>
      <c r="F144" s="39">
        <v>6.95</v>
      </c>
      <c r="G144" s="39">
        <v>48270</v>
      </c>
      <c r="H144" s="1">
        <f t="shared" si="4"/>
        <v>569</v>
      </c>
      <c r="I144" s="13">
        <f t="shared" si="5"/>
        <v>3.2046588643454949E-3</v>
      </c>
      <c r="J144" s="1" t="str" cm="1">
        <f t="array" ref="J144">IFERROR(
    INDEX(Posts!$O:$O,
          MATCH(1,
                (TRIM(UPPER(Posts!$B:$B))=TRIM(UPPER(B144)))*
                (ABS(Posts!$C:$C - A144) &lt;= 7),
          0)),
"unknown")</f>
        <v>SustainabilityDrive</v>
      </c>
    </row>
    <row r="145" spans="1:10" x14ac:dyDescent="0.3">
      <c r="A145" s="39" t="s">
        <v>422</v>
      </c>
      <c r="B145" s="39" t="s">
        <v>23</v>
      </c>
      <c r="C145" s="39">
        <v>152</v>
      </c>
      <c r="D145" s="39">
        <v>355</v>
      </c>
      <c r="E145" s="39">
        <v>270766</v>
      </c>
      <c r="F145" s="39">
        <v>9.48</v>
      </c>
      <c r="G145" s="39">
        <v>18001</v>
      </c>
      <c r="H145" s="1">
        <f t="shared" si="4"/>
        <v>-203</v>
      </c>
      <c r="I145" s="13">
        <f t="shared" si="5"/>
        <v>-7.4972485467156139E-4</v>
      </c>
      <c r="J145" s="1" t="str" cm="1">
        <f t="array" ref="J145">IFERROR(
    INDEX(Posts!$O:$O,
          MATCH(1,
                (TRIM(UPPER(Posts!$B:$B))=TRIM(UPPER(B145)))*
                (ABS(Posts!$C:$C - A145) &lt;= 7),
          0)),
"unknown")</f>
        <v>SustainabilityDrive</v>
      </c>
    </row>
    <row r="146" spans="1:10" x14ac:dyDescent="0.3">
      <c r="A146" s="39" t="s">
        <v>423</v>
      </c>
      <c r="B146" s="39" t="s">
        <v>28</v>
      </c>
      <c r="C146" s="39">
        <v>1957</v>
      </c>
      <c r="D146" s="39">
        <v>234</v>
      </c>
      <c r="E146" s="39">
        <v>222126</v>
      </c>
      <c r="F146" s="39">
        <v>4.6100000000000003</v>
      </c>
      <c r="G146" s="39">
        <v>3314</v>
      </c>
      <c r="H146" s="1">
        <f t="shared" si="4"/>
        <v>1723</v>
      </c>
      <c r="I146" s="13">
        <f t="shared" si="5"/>
        <v>7.7568587198256845E-3</v>
      </c>
      <c r="J146" s="1" t="str" cm="1">
        <f t="array" ref="J146">IFERROR(
    INDEX(Posts!$O:$O,
          MATCH(1,
                (TRIM(UPPER(Posts!$B:$B))=TRIM(UPPER(B146)))*
                (ABS(Posts!$C:$C - A146) &lt;= 7),
          0)),
"unknown")</f>
        <v>SustainabilityDrive</v>
      </c>
    </row>
    <row r="147" spans="1:10" x14ac:dyDescent="0.3">
      <c r="A147" s="39" t="s">
        <v>423</v>
      </c>
      <c r="B147" s="39" t="s">
        <v>35</v>
      </c>
      <c r="C147" s="39">
        <v>1294</v>
      </c>
      <c r="D147" s="39">
        <v>382</v>
      </c>
      <c r="E147" s="39">
        <v>309914</v>
      </c>
      <c r="F147" s="39">
        <v>8.0299999999999994</v>
      </c>
      <c r="G147" s="39">
        <v>23489</v>
      </c>
      <c r="H147" s="1">
        <f t="shared" si="4"/>
        <v>912</v>
      </c>
      <c r="I147" s="13">
        <f t="shared" si="5"/>
        <v>2.9427518601934728E-3</v>
      </c>
      <c r="J147" s="1" t="str" cm="1">
        <f t="array" ref="J147">IFERROR(
    INDEX(Posts!$O:$O,
          MATCH(1,
                (TRIM(UPPER(Posts!$B:$B))=TRIM(UPPER(B147)))*
                (ABS(Posts!$C:$C - A147) &lt;= 7),
          0)),
"unknown")</f>
        <v>unknown</v>
      </c>
    </row>
    <row r="148" spans="1:10" x14ac:dyDescent="0.3">
      <c r="A148" s="39" t="s">
        <v>423</v>
      </c>
      <c r="B148" s="39" t="s">
        <v>14</v>
      </c>
      <c r="C148" s="39">
        <v>1587</v>
      </c>
      <c r="D148" s="39">
        <v>385</v>
      </c>
      <c r="E148" s="39">
        <v>126582</v>
      </c>
      <c r="F148" s="39">
        <v>6.99</v>
      </c>
      <c r="G148" s="39">
        <v>42832</v>
      </c>
      <c r="H148" s="1">
        <f t="shared" si="4"/>
        <v>1202</v>
      </c>
      <c r="I148" s="13">
        <f t="shared" si="5"/>
        <v>9.4958208908059605E-3</v>
      </c>
      <c r="J148" s="1" t="str" cm="1">
        <f t="array" ref="J148">IFERROR(
    INDEX(Posts!$O:$O,
          MATCH(1,
                (TRIM(UPPER(Posts!$B:$B))=TRIM(UPPER(B148)))*
                (ABS(Posts!$C:$C - A148) &lt;= 7),
          0)),
"unknown")</f>
        <v>CybertruckLaunch</v>
      </c>
    </row>
    <row r="149" spans="1:10" x14ac:dyDescent="0.3">
      <c r="A149" s="39" t="s">
        <v>423</v>
      </c>
      <c r="B149" s="39" t="s">
        <v>23</v>
      </c>
      <c r="C149" s="39">
        <v>1707</v>
      </c>
      <c r="D149" s="39">
        <v>263</v>
      </c>
      <c r="E149" s="39">
        <v>485280</v>
      </c>
      <c r="F149" s="39">
        <v>9.0299999999999994</v>
      </c>
      <c r="G149" s="39">
        <v>24494</v>
      </c>
      <c r="H149" s="1">
        <f t="shared" si="4"/>
        <v>1444</v>
      </c>
      <c r="I149" s="13">
        <f t="shared" si="5"/>
        <v>2.9756017144741179E-3</v>
      </c>
      <c r="J149" s="1" t="str" cm="1">
        <f t="array" ref="J149">IFERROR(
    INDEX(Posts!$O:$O,
          MATCH(1,
                (TRIM(UPPER(Posts!$B:$B))=TRIM(UPPER(B149)))*
                (ABS(Posts!$C:$C - A149) &lt;= 7),
          0)),
"unknown")</f>
        <v>SustainabilityDrive</v>
      </c>
    </row>
    <row r="150" spans="1:10" x14ac:dyDescent="0.3">
      <c r="A150" s="39" t="s">
        <v>424</v>
      </c>
      <c r="B150" s="39" t="s">
        <v>28</v>
      </c>
      <c r="C150" s="39">
        <v>1138</v>
      </c>
      <c r="D150" s="39">
        <v>173</v>
      </c>
      <c r="E150" s="39">
        <v>453243</v>
      </c>
      <c r="F150" s="39">
        <v>2.86</v>
      </c>
      <c r="G150" s="39">
        <v>44097</v>
      </c>
      <c r="H150" s="1">
        <f t="shared" si="4"/>
        <v>965</v>
      </c>
      <c r="I150" s="13">
        <f t="shared" si="5"/>
        <v>2.1291007252180398E-3</v>
      </c>
      <c r="J150" s="1" t="str" cm="1">
        <f t="array" ref="J150">IFERROR(
    INDEX(Posts!$O:$O,
          MATCH(1,
                (TRIM(UPPER(Posts!$B:$B))=TRIM(UPPER(B150)))*
                (ABS(Posts!$C:$C - A150) &lt;= 7),
          0)),
"unknown")</f>
        <v>FSDUpdate</v>
      </c>
    </row>
    <row r="151" spans="1:10" x14ac:dyDescent="0.3">
      <c r="A151" s="39" t="s">
        <v>424</v>
      </c>
      <c r="B151" s="39" t="s">
        <v>35</v>
      </c>
      <c r="C151" s="39">
        <v>1895</v>
      </c>
      <c r="D151" s="39">
        <v>305</v>
      </c>
      <c r="E151" s="39">
        <v>104967</v>
      </c>
      <c r="F151" s="39">
        <v>3.85</v>
      </c>
      <c r="G151" s="39">
        <v>31853</v>
      </c>
      <c r="H151" s="1">
        <f t="shared" si="4"/>
        <v>1590</v>
      </c>
      <c r="I151" s="13">
        <f t="shared" si="5"/>
        <v>1.5147617822744291E-2</v>
      </c>
      <c r="J151" s="1" t="str" cm="1">
        <f t="array" ref="J151">IFERROR(
    INDEX(Posts!$O:$O,
          MATCH(1,
                (TRIM(UPPER(Posts!$B:$B))=TRIM(UPPER(B151)))*
                (ABS(Posts!$C:$C - A151) &lt;= 7),
          0)),
"unknown")</f>
        <v>unknown</v>
      </c>
    </row>
    <row r="152" spans="1:10" x14ac:dyDescent="0.3">
      <c r="A152" s="39" t="s">
        <v>424</v>
      </c>
      <c r="B152" s="39" t="s">
        <v>14</v>
      </c>
      <c r="C152" s="39">
        <v>362</v>
      </c>
      <c r="D152" s="39">
        <v>399</v>
      </c>
      <c r="E152" s="39">
        <v>145608</v>
      </c>
      <c r="F152" s="39">
        <v>7.3</v>
      </c>
      <c r="G152" s="39">
        <v>37636</v>
      </c>
      <c r="H152" s="1">
        <f t="shared" si="4"/>
        <v>-37</v>
      </c>
      <c r="I152" s="13">
        <f t="shared" si="5"/>
        <v>-2.5410691720235154E-4</v>
      </c>
      <c r="J152" s="1" t="str" cm="1">
        <f t="array" ref="J152">IFERROR(
    INDEX(Posts!$O:$O,
          MATCH(1,
                (TRIM(UPPER(Posts!$B:$B))=TRIM(UPPER(B152)))*
                (ABS(Posts!$C:$C - A152) &lt;= 7),
          0)),
"unknown")</f>
        <v>unknown</v>
      </c>
    </row>
    <row r="153" spans="1:10" x14ac:dyDescent="0.3">
      <c r="A153" s="39" t="s">
        <v>424</v>
      </c>
      <c r="B153" s="39" t="s">
        <v>23</v>
      </c>
      <c r="C153" s="39">
        <v>1662</v>
      </c>
      <c r="D153" s="39">
        <v>487</v>
      </c>
      <c r="E153" s="39">
        <v>105980</v>
      </c>
      <c r="F153" s="39">
        <v>9.08</v>
      </c>
      <c r="G153" s="39">
        <v>22996</v>
      </c>
      <c r="H153" s="1">
        <f t="shared" si="4"/>
        <v>1175</v>
      </c>
      <c r="I153" s="13">
        <f t="shared" si="5"/>
        <v>1.1086997546706926E-2</v>
      </c>
      <c r="J153" s="1" t="str" cm="1">
        <f t="array" ref="J153">IFERROR(
    INDEX(Posts!$O:$O,
          MATCH(1,
                (TRIM(UPPER(Posts!$B:$B))=TRIM(UPPER(B153)))*
                (ABS(Posts!$C:$C - A153) &lt;= 7),
          0)),
"unknown")</f>
        <v>SustainabilityDrive</v>
      </c>
    </row>
    <row r="154" spans="1:10" x14ac:dyDescent="0.3">
      <c r="A154" s="39" t="s">
        <v>425</v>
      </c>
      <c r="B154" s="39" t="s">
        <v>28</v>
      </c>
      <c r="C154" s="39">
        <v>1440</v>
      </c>
      <c r="D154" s="39">
        <v>65</v>
      </c>
      <c r="E154" s="39">
        <v>126524</v>
      </c>
      <c r="F154" s="39">
        <v>4.34</v>
      </c>
      <c r="G154" s="39">
        <v>49772</v>
      </c>
      <c r="H154" s="1">
        <f t="shared" si="4"/>
        <v>1375</v>
      </c>
      <c r="I154" s="13">
        <f t="shared" si="5"/>
        <v>1.0867503398564699E-2</v>
      </c>
      <c r="J154" s="1" t="str" cm="1">
        <f t="array" ref="J154">IFERROR(
    INDEX(Posts!$O:$O,
          MATCH(1,
                (TRIM(UPPER(Posts!$B:$B))=TRIM(UPPER(B154)))*
                (ABS(Posts!$C:$C - A154) &lt;= 7),
          0)),
"unknown")</f>
        <v>unknown</v>
      </c>
    </row>
    <row r="155" spans="1:10" x14ac:dyDescent="0.3">
      <c r="A155" s="39" t="s">
        <v>425</v>
      </c>
      <c r="B155" s="39" t="s">
        <v>35</v>
      </c>
      <c r="C155" s="39">
        <v>1884</v>
      </c>
      <c r="D155" s="39">
        <v>177</v>
      </c>
      <c r="E155" s="39">
        <v>230448</v>
      </c>
      <c r="F155" s="39">
        <v>7.8</v>
      </c>
      <c r="G155" s="39">
        <v>22713</v>
      </c>
      <c r="H155" s="1">
        <f t="shared" si="4"/>
        <v>1707</v>
      </c>
      <c r="I155" s="13">
        <f t="shared" si="5"/>
        <v>7.4073109768798169E-3</v>
      </c>
      <c r="J155" s="1" t="str" cm="1">
        <f t="array" ref="J155">IFERROR(
    INDEX(Posts!$O:$O,
          MATCH(1,
                (TRIM(UPPER(Posts!$B:$B))=TRIM(UPPER(B155)))*
                (ABS(Posts!$C:$C - A155) &lt;= 7),
          0)),
"unknown")</f>
        <v>SustainabilityDrive</v>
      </c>
    </row>
    <row r="156" spans="1:10" x14ac:dyDescent="0.3">
      <c r="A156" s="39" t="s">
        <v>425</v>
      </c>
      <c r="B156" s="39" t="s">
        <v>14</v>
      </c>
      <c r="C156" s="39">
        <v>861</v>
      </c>
      <c r="D156" s="39">
        <v>153</v>
      </c>
      <c r="E156" s="39">
        <v>317007</v>
      </c>
      <c r="F156" s="39">
        <v>3.85</v>
      </c>
      <c r="G156" s="39">
        <v>8718</v>
      </c>
      <c r="H156" s="1">
        <f t="shared" si="4"/>
        <v>708</v>
      </c>
      <c r="I156" s="13">
        <f t="shared" si="5"/>
        <v>2.2333891680625349E-3</v>
      </c>
      <c r="J156" s="1" t="str" cm="1">
        <f t="array" ref="J156">IFERROR(
    INDEX(Posts!$O:$O,
          MATCH(1,
                (TRIM(UPPER(Posts!$B:$B))=TRIM(UPPER(B156)))*
                (ABS(Posts!$C:$C - A156) &lt;= 7),
          0)),
"unknown")</f>
        <v>unknown</v>
      </c>
    </row>
    <row r="157" spans="1:10" x14ac:dyDescent="0.3">
      <c r="A157" s="39" t="s">
        <v>425</v>
      </c>
      <c r="B157" s="39" t="s">
        <v>23</v>
      </c>
      <c r="C157" s="39">
        <v>1063</v>
      </c>
      <c r="D157" s="39">
        <v>47</v>
      </c>
      <c r="E157" s="39">
        <v>464239</v>
      </c>
      <c r="F157" s="39">
        <v>6.58</v>
      </c>
      <c r="G157" s="39">
        <v>39031</v>
      </c>
      <c r="H157" s="1">
        <f t="shared" si="4"/>
        <v>1016</v>
      </c>
      <c r="I157" s="13">
        <f t="shared" si="5"/>
        <v>2.1885278918832756E-3</v>
      </c>
      <c r="J157" s="1" t="str" cm="1">
        <f t="array" ref="J157">IFERROR(
    INDEX(Posts!$O:$O,
          MATCH(1,
                (TRIM(UPPER(Posts!$B:$B))=TRIM(UPPER(B157)))*
                (ABS(Posts!$C:$C - A157) &lt;= 7),
          0)),
"unknown")</f>
        <v>SustainabilityDrive</v>
      </c>
    </row>
    <row r="158" spans="1:10" x14ac:dyDescent="0.3">
      <c r="A158" s="39" t="s">
        <v>426</v>
      </c>
      <c r="B158" s="39" t="s">
        <v>28</v>
      </c>
      <c r="C158" s="39">
        <v>1371</v>
      </c>
      <c r="D158" s="39">
        <v>56</v>
      </c>
      <c r="E158" s="39">
        <v>257579</v>
      </c>
      <c r="F158" s="39">
        <v>8.6199999999999992</v>
      </c>
      <c r="G158" s="39">
        <v>33799</v>
      </c>
      <c r="H158" s="1">
        <f t="shared" si="4"/>
        <v>1315</v>
      </c>
      <c r="I158" s="13">
        <f t="shared" si="5"/>
        <v>5.1052298518124532E-3</v>
      </c>
      <c r="J158" s="1" t="str" cm="1">
        <f t="array" ref="J158">IFERROR(
    INDEX(Posts!$O:$O,
          MATCH(1,
                (TRIM(UPPER(Posts!$B:$B))=TRIM(UPPER(B158)))*
                (ABS(Posts!$C:$C - A158) &lt;= 7),
          0)),
"unknown")</f>
        <v>SustainabilityDrive</v>
      </c>
    </row>
    <row r="159" spans="1:10" x14ac:dyDescent="0.3">
      <c r="A159" s="39" t="s">
        <v>426</v>
      </c>
      <c r="B159" s="39" t="s">
        <v>35</v>
      </c>
      <c r="C159" s="39">
        <v>345</v>
      </c>
      <c r="D159" s="39">
        <v>464</v>
      </c>
      <c r="E159" s="39">
        <v>366881</v>
      </c>
      <c r="F159" s="39">
        <v>4.55</v>
      </c>
      <c r="G159" s="39">
        <v>20553</v>
      </c>
      <c r="H159" s="1">
        <f t="shared" si="4"/>
        <v>-119</v>
      </c>
      <c r="I159" s="13">
        <f t="shared" si="5"/>
        <v>-3.2435585380545735E-4</v>
      </c>
      <c r="J159" s="1" t="str" cm="1">
        <f t="array" ref="J159">IFERROR(
    INDEX(Posts!$O:$O,
          MATCH(1,
                (TRIM(UPPER(Posts!$B:$B))=TRIM(UPPER(B159)))*
                (ABS(Posts!$C:$C - A159) &lt;= 7),
          0)),
"unknown")</f>
        <v>SustainabilityDrive</v>
      </c>
    </row>
    <row r="160" spans="1:10" x14ac:dyDescent="0.3">
      <c r="A160" s="39" t="s">
        <v>426</v>
      </c>
      <c r="B160" s="39" t="s">
        <v>14</v>
      </c>
      <c r="C160" s="39">
        <v>946</v>
      </c>
      <c r="D160" s="39">
        <v>47</v>
      </c>
      <c r="E160" s="39">
        <v>466575</v>
      </c>
      <c r="F160" s="39">
        <v>8.33</v>
      </c>
      <c r="G160" s="39">
        <v>10002</v>
      </c>
      <c r="H160" s="1">
        <f t="shared" si="4"/>
        <v>899</v>
      </c>
      <c r="I160" s="13">
        <f t="shared" si="5"/>
        <v>1.9268070513850934E-3</v>
      </c>
      <c r="J160" s="1" t="str" cm="1">
        <f t="array" ref="J160">IFERROR(
    INDEX(Posts!$O:$O,
          MATCH(1,
                (TRIM(UPPER(Posts!$B:$B))=TRIM(UPPER(B160)))*
                (ABS(Posts!$C:$C - A160) &lt;= 7),
          0)),
"unknown")</f>
        <v>SustainabilityDrive</v>
      </c>
    </row>
    <row r="161" spans="1:10" x14ac:dyDescent="0.3">
      <c r="A161" s="39" t="s">
        <v>426</v>
      </c>
      <c r="B161" s="39" t="s">
        <v>23</v>
      </c>
      <c r="C161" s="39">
        <v>510</v>
      </c>
      <c r="D161" s="39">
        <v>195</v>
      </c>
      <c r="E161" s="39">
        <v>224534</v>
      </c>
      <c r="F161" s="39">
        <v>9.4</v>
      </c>
      <c r="G161" s="39">
        <v>30987</v>
      </c>
      <c r="H161" s="1">
        <f t="shared" si="4"/>
        <v>315</v>
      </c>
      <c r="I161" s="13">
        <f t="shared" si="5"/>
        <v>1.4029055733207443E-3</v>
      </c>
      <c r="J161" s="1" t="str" cm="1">
        <f t="array" ref="J161">IFERROR(
    INDEX(Posts!$O:$O,
          MATCH(1,
                (TRIM(UPPER(Posts!$B:$B))=TRIM(UPPER(B161)))*
                (ABS(Posts!$C:$C - A161) &lt;= 7),
          0)),
"unknown")</f>
        <v>unknown</v>
      </c>
    </row>
    <row r="162" spans="1:10" x14ac:dyDescent="0.3">
      <c r="A162" s="39" t="s">
        <v>427</v>
      </c>
      <c r="B162" s="39" t="s">
        <v>28</v>
      </c>
      <c r="C162" s="39">
        <v>393</v>
      </c>
      <c r="D162" s="39">
        <v>181</v>
      </c>
      <c r="E162" s="39">
        <v>462142</v>
      </c>
      <c r="F162" s="39">
        <v>7.23</v>
      </c>
      <c r="G162" s="39">
        <v>6296</v>
      </c>
      <c r="H162" s="1">
        <f t="shared" si="4"/>
        <v>212</v>
      </c>
      <c r="I162" s="13">
        <f t="shared" si="5"/>
        <v>4.5873346287504706E-4</v>
      </c>
      <c r="J162" s="1" t="str" cm="1">
        <f t="array" ref="J162">IFERROR(
    INDEX(Posts!$O:$O,
          MATCH(1,
                (TRIM(UPPER(Posts!$B:$B))=TRIM(UPPER(B162)))*
                (ABS(Posts!$C:$C - A162) &lt;= 7),
          0)),
"unknown")</f>
        <v>SustainabilityDrive</v>
      </c>
    </row>
    <row r="163" spans="1:10" x14ac:dyDescent="0.3">
      <c r="A163" s="39" t="s">
        <v>427</v>
      </c>
      <c r="B163" s="39" t="s">
        <v>35</v>
      </c>
      <c r="C163" s="39">
        <v>1098</v>
      </c>
      <c r="D163" s="39">
        <v>190</v>
      </c>
      <c r="E163" s="39">
        <v>340842</v>
      </c>
      <c r="F163" s="39">
        <v>9.39</v>
      </c>
      <c r="G163" s="39">
        <v>21539</v>
      </c>
      <c r="H163" s="1">
        <f t="shared" si="4"/>
        <v>908</v>
      </c>
      <c r="I163" s="13">
        <f t="shared" si="5"/>
        <v>2.6639909400836752E-3</v>
      </c>
      <c r="J163" s="1" t="str" cm="1">
        <f t="array" ref="J163">IFERROR(
    INDEX(Posts!$O:$O,
          MATCH(1,
                (TRIM(UPPER(Posts!$B:$B))=TRIM(UPPER(B163)))*
                (ABS(Posts!$C:$C - A163) &lt;= 7),
          0)),
"unknown")</f>
        <v>ModelYCampaign</v>
      </c>
    </row>
    <row r="164" spans="1:10" x14ac:dyDescent="0.3">
      <c r="A164" s="39" t="s">
        <v>427</v>
      </c>
      <c r="B164" s="39" t="s">
        <v>14</v>
      </c>
      <c r="C164" s="39">
        <v>1399</v>
      </c>
      <c r="D164" s="39">
        <v>49</v>
      </c>
      <c r="E164" s="39">
        <v>12471</v>
      </c>
      <c r="F164" s="39">
        <v>5.12</v>
      </c>
      <c r="G164" s="39">
        <v>14722</v>
      </c>
      <c r="H164" s="1">
        <f t="shared" si="4"/>
        <v>1350</v>
      </c>
      <c r="I164" s="13">
        <f t="shared" si="5"/>
        <v>0.10825114265095021</v>
      </c>
      <c r="J164" s="1" t="str" cm="1">
        <f t="array" ref="J164">IFERROR(
    INDEX(Posts!$O:$O,
          MATCH(1,
                (TRIM(UPPER(Posts!$B:$B))=TRIM(UPPER(B164)))*
                (ABS(Posts!$C:$C - A164) &lt;= 7),
          0)),
"unknown")</f>
        <v>SustainabilityDrive</v>
      </c>
    </row>
    <row r="165" spans="1:10" x14ac:dyDescent="0.3">
      <c r="A165" s="39" t="s">
        <v>427</v>
      </c>
      <c r="B165" s="39" t="s">
        <v>23</v>
      </c>
      <c r="C165" s="39">
        <v>1658</v>
      </c>
      <c r="D165" s="39">
        <v>416</v>
      </c>
      <c r="E165" s="39">
        <v>98397</v>
      </c>
      <c r="F165" s="39">
        <v>6.11</v>
      </c>
      <c r="G165" s="39">
        <v>11383</v>
      </c>
      <c r="H165" s="1">
        <f t="shared" si="4"/>
        <v>1242</v>
      </c>
      <c r="I165" s="13">
        <f t="shared" si="5"/>
        <v>1.2622336046830695E-2</v>
      </c>
      <c r="J165" s="1" t="str" cm="1">
        <f t="array" ref="J165">IFERROR(
    INDEX(Posts!$O:$O,
          MATCH(1,
                (TRIM(UPPER(Posts!$B:$B))=TRIM(UPPER(B165)))*
                (ABS(Posts!$C:$C - A165) &lt;= 7),
          0)),
"unknown")</f>
        <v>unknown</v>
      </c>
    </row>
    <row r="166" spans="1:10" x14ac:dyDescent="0.3">
      <c r="A166" s="39" t="s">
        <v>428</v>
      </c>
      <c r="B166" s="39" t="s">
        <v>28</v>
      </c>
      <c r="C166" s="39">
        <v>1102</v>
      </c>
      <c r="D166" s="39">
        <v>422</v>
      </c>
      <c r="E166" s="39">
        <v>410330</v>
      </c>
      <c r="F166" s="39">
        <v>7.74</v>
      </c>
      <c r="G166" s="39">
        <v>9480</v>
      </c>
      <c r="H166" s="1">
        <f t="shared" si="4"/>
        <v>680</v>
      </c>
      <c r="I166" s="13">
        <f t="shared" si="5"/>
        <v>1.6572027392586454E-3</v>
      </c>
      <c r="J166" s="1" t="str" cm="1">
        <f t="array" ref="J166">IFERROR(
    INDEX(Posts!$O:$O,
          MATCH(1,
                (TRIM(UPPER(Posts!$B:$B))=TRIM(UPPER(B166)))*
                (ABS(Posts!$C:$C - A166) &lt;= 7),
          0)),
"unknown")</f>
        <v>unknown</v>
      </c>
    </row>
    <row r="167" spans="1:10" x14ac:dyDescent="0.3">
      <c r="A167" s="39" t="s">
        <v>428</v>
      </c>
      <c r="B167" s="39" t="s">
        <v>35</v>
      </c>
      <c r="C167" s="39">
        <v>1358</v>
      </c>
      <c r="D167" s="39">
        <v>242</v>
      </c>
      <c r="E167" s="39">
        <v>342129</v>
      </c>
      <c r="F167" s="39">
        <v>4.9400000000000004</v>
      </c>
      <c r="G167" s="39">
        <v>29116</v>
      </c>
      <c r="H167" s="1">
        <f t="shared" si="4"/>
        <v>1116</v>
      </c>
      <c r="I167" s="13">
        <f t="shared" si="5"/>
        <v>3.2619275185675578E-3</v>
      </c>
      <c r="J167" s="1" t="str" cm="1">
        <f t="array" ref="J167">IFERROR(
    INDEX(Posts!$O:$O,
          MATCH(1,
                (TRIM(UPPER(Posts!$B:$B))=TRIM(UPPER(B167)))*
                (ABS(Posts!$C:$C - A167) &lt;= 7),
          0)),
"unknown")</f>
        <v>ModelYCampaign</v>
      </c>
    </row>
    <row r="168" spans="1:10" x14ac:dyDescent="0.3">
      <c r="A168" s="39" t="s">
        <v>428</v>
      </c>
      <c r="B168" s="39" t="s">
        <v>14</v>
      </c>
      <c r="C168" s="39">
        <v>1077</v>
      </c>
      <c r="D168" s="39">
        <v>216</v>
      </c>
      <c r="E168" s="39">
        <v>12447</v>
      </c>
      <c r="F168" s="39">
        <v>1.8</v>
      </c>
      <c r="G168" s="39">
        <v>14068</v>
      </c>
      <c r="H168" s="1">
        <f t="shared" si="4"/>
        <v>861</v>
      </c>
      <c r="I168" s="13">
        <f t="shared" si="5"/>
        <v>6.9173294769824048E-2</v>
      </c>
      <c r="J168" s="1" t="str" cm="1">
        <f t="array" ref="J168">IFERROR(
    INDEX(Posts!$O:$O,
          MATCH(1,
                (TRIM(UPPER(Posts!$B:$B))=TRIM(UPPER(B168)))*
                (ABS(Posts!$C:$C - A168) &lt;= 7),
          0)),
"unknown")</f>
        <v>unknown</v>
      </c>
    </row>
    <row r="169" spans="1:10" x14ac:dyDescent="0.3">
      <c r="A169" s="39" t="s">
        <v>428</v>
      </c>
      <c r="B169" s="39" t="s">
        <v>23</v>
      </c>
      <c r="C169" s="39">
        <v>1596</v>
      </c>
      <c r="D169" s="39">
        <v>211</v>
      </c>
      <c r="E169" s="39">
        <v>17380</v>
      </c>
      <c r="F169" s="39">
        <v>8.64</v>
      </c>
      <c r="G169" s="39">
        <v>35801</v>
      </c>
      <c r="H169" s="1">
        <f t="shared" si="4"/>
        <v>1385</v>
      </c>
      <c r="I169" s="13">
        <f t="shared" si="5"/>
        <v>7.9689298043728429E-2</v>
      </c>
      <c r="J169" s="1" t="str" cm="1">
        <f t="array" ref="J169">IFERROR(
    INDEX(Posts!$O:$O,
          MATCH(1,
                (TRIM(UPPER(Posts!$B:$B))=TRIM(UPPER(B169)))*
                (ABS(Posts!$C:$C - A169) &lt;= 7),
          0)),
"unknown")</f>
        <v>ModelYCampaign</v>
      </c>
    </row>
    <row r="170" spans="1:10" x14ac:dyDescent="0.3">
      <c r="A170" s="39" t="s">
        <v>429</v>
      </c>
      <c r="B170" s="39" t="s">
        <v>28</v>
      </c>
      <c r="C170" s="39">
        <v>490</v>
      </c>
      <c r="D170" s="39">
        <v>29</v>
      </c>
      <c r="E170" s="39">
        <v>364810</v>
      </c>
      <c r="F170" s="39">
        <v>1.53</v>
      </c>
      <c r="G170" s="39">
        <v>49077</v>
      </c>
      <c r="H170" s="1">
        <f t="shared" si="4"/>
        <v>461</v>
      </c>
      <c r="I170" s="13">
        <f t="shared" si="5"/>
        <v>1.2636715002329981E-3</v>
      </c>
      <c r="J170" s="1" t="str" cm="1">
        <f t="array" ref="J170">IFERROR(
    INDEX(Posts!$O:$O,
          MATCH(1,
                (TRIM(UPPER(Posts!$B:$B))=TRIM(UPPER(B170)))*
                (ABS(Posts!$C:$C - A170) &lt;= 7),
          0)),
"unknown")</f>
        <v>unknown</v>
      </c>
    </row>
    <row r="171" spans="1:10" x14ac:dyDescent="0.3">
      <c r="A171" s="39" t="s">
        <v>429</v>
      </c>
      <c r="B171" s="39" t="s">
        <v>35</v>
      </c>
      <c r="C171" s="39">
        <v>609</v>
      </c>
      <c r="D171" s="39">
        <v>135</v>
      </c>
      <c r="E171" s="39">
        <v>373606</v>
      </c>
      <c r="F171" s="39">
        <v>8.52</v>
      </c>
      <c r="G171" s="39">
        <v>21453</v>
      </c>
      <c r="H171" s="1">
        <f t="shared" si="4"/>
        <v>474</v>
      </c>
      <c r="I171" s="13">
        <f t="shared" si="5"/>
        <v>1.268716241173857E-3</v>
      </c>
      <c r="J171" s="1" t="str" cm="1">
        <f t="array" ref="J171">IFERROR(
    INDEX(Posts!$O:$O,
          MATCH(1,
                (TRIM(UPPER(Posts!$B:$B))=TRIM(UPPER(B171)))*
                (ABS(Posts!$C:$C - A171) &lt;= 7),
          0)),
"unknown")</f>
        <v>FSDUpdate</v>
      </c>
    </row>
    <row r="172" spans="1:10" x14ac:dyDescent="0.3">
      <c r="A172" s="39" t="s">
        <v>429</v>
      </c>
      <c r="B172" s="39" t="s">
        <v>14</v>
      </c>
      <c r="C172" s="39">
        <v>364</v>
      </c>
      <c r="D172" s="39">
        <v>72</v>
      </c>
      <c r="E172" s="39">
        <v>211090</v>
      </c>
      <c r="F172" s="39">
        <v>5.53</v>
      </c>
      <c r="G172" s="39">
        <v>21061</v>
      </c>
      <c r="H172" s="1">
        <f t="shared" si="4"/>
        <v>292</v>
      </c>
      <c r="I172" s="13">
        <f t="shared" si="5"/>
        <v>1.3832962243592781E-3</v>
      </c>
      <c r="J172" s="1" t="str" cm="1">
        <f t="array" ref="J172">IFERROR(
    INDEX(Posts!$O:$O,
          MATCH(1,
                (TRIM(UPPER(Posts!$B:$B))=TRIM(UPPER(B172)))*
                (ABS(Posts!$C:$C - A172) &lt;= 7),
          0)),
"unknown")</f>
        <v>ModelYCampaign</v>
      </c>
    </row>
    <row r="173" spans="1:10" x14ac:dyDescent="0.3">
      <c r="A173" s="39" t="s">
        <v>429</v>
      </c>
      <c r="B173" s="39" t="s">
        <v>23</v>
      </c>
      <c r="C173" s="39">
        <v>442</v>
      </c>
      <c r="D173" s="39">
        <v>53</v>
      </c>
      <c r="E173" s="39">
        <v>441931</v>
      </c>
      <c r="F173" s="39">
        <v>1.87</v>
      </c>
      <c r="G173" s="39">
        <v>20059</v>
      </c>
      <c r="H173" s="1">
        <f t="shared" si="4"/>
        <v>389</v>
      </c>
      <c r="I173" s="13">
        <f t="shared" si="5"/>
        <v>8.8022790888170322E-4</v>
      </c>
      <c r="J173" s="1" t="str" cm="1">
        <f t="array" ref="J173">IFERROR(
    INDEX(Posts!$O:$O,
          MATCH(1,
                (TRIM(UPPER(Posts!$B:$B))=TRIM(UPPER(B173)))*
                (ABS(Posts!$C:$C - A173) &lt;= 7),
          0)),
"unknown")</f>
        <v>FSDUpdate</v>
      </c>
    </row>
    <row r="174" spans="1:10" x14ac:dyDescent="0.3">
      <c r="A174" s="39" t="s">
        <v>430</v>
      </c>
      <c r="B174" s="39" t="s">
        <v>28</v>
      </c>
      <c r="C174" s="39">
        <v>1033</v>
      </c>
      <c r="D174" s="39">
        <v>392</v>
      </c>
      <c r="E174" s="39">
        <v>282780</v>
      </c>
      <c r="F174" s="39">
        <v>6.27</v>
      </c>
      <c r="G174" s="39">
        <v>23140</v>
      </c>
      <c r="H174" s="1">
        <f t="shared" si="4"/>
        <v>641</v>
      </c>
      <c r="I174" s="13">
        <f t="shared" si="5"/>
        <v>2.2667798288422093E-3</v>
      </c>
      <c r="J174" s="1" t="str" cm="1">
        <f t="array" ref="J174">IFERROR(
    INDEX(Posts!$O:$O,
          MATCH(1,
                (TRIM(UPPER(Posts!$B:$B))=TRIM(UPPER(B174)))*
                (ABS(Posts!$C:$C - A174) &lt;= 7),
          0)),
"unknown")</f>
        <v>unknown</v>
      </c>
    </row>
    <row r="175" spans="1:10" x14ac:dyDescent="0.3">
      <c r="A175" s="39" t="s">
        <v>430</v>
      </c>
      <c r="B175" s="39" t="s">
        <v>35</v>
      </c>
      <c r="C175" s="39">
        <v>988</v>
      </c>
      <c r="D175" s="39">
        <v>474</v>
      </c>
      <c r="E175" s="39">
        <v>370070</v>
      </c>
      <c r="F175" s="39">
        <v>9.4600000000000009</v>
      </c>
      <c r="G175" s="39">
        <v>23461</v>
      </c>
      <c r="H175" s="1">
        <f t="shared" si="4"/>
        <v>514</v>
      </c>
      <c r="I175" s="13">
        <f t="shared" si="5"/>
        <v>1.3889264193260734E-3</v>
      </c>
      <c r="J175" s="1" t="str" cm="1">
        <f t="array" ref="J175">IFERROR(
    INDEX(Posts!$O:$O,
          MATCH(1,
                (TRIM(UPPER(Posts!$B:$B))=TRIM(UPPER(B175)))*
                (ABS(Posts!$C:$C - A175) &lt;= 7),
          0)),
"unknown")</f>
        <v>FSDUpdate</v>
      </c>
    </row>
    <row r="176" spans="1:10" x14ac:dyDescent="0.3">
      <c r="A176" s="39" t="s">
        <v>430</v>
      </c>
      <c r="B176" s="39" t="s">
        <v>14</v>
      </c>
      <c r="C176" s="39">
        <v>1946</v>
      </c>
      <c r="D176" s="39">
        <v>270</v>
      </c>
      <c r="E176" s="39">
        <v>198350</v>
      </c>
      <c r="F176" s="39">
        <v>7.5</v>
      </c>
      <c r="G176" s="39">
        <v>11805</v>
      </c>
      <c r="H176" s="1">
        <f t="shared" si="4"/>
        <v>1676</v>
      </c>
      <c r="I176" s="13">
        <f t="shared" si="5"/>
        <v>8.4497101083942528E-3</v>
      </c>
      <c r="J176" s="1" t="str" cm="1">
        <f t="array" ref="J176">IFERROR(
    INDEX(Posts!$O:$O,
          MATCH(1,
                (TRIM(UPPER(Posts!$B:$B))=TRIM(UPPER(B176)))*
                (ABS(Posts!$C:$C - A176) &lt;= 7),
          0)),
"unknown")</f>
        <v>ModelYCampaign</v>
      </c>
    </row>
    <row r="177" spans="1:10" x14ac:dyDescent="0.3">
      <c r="A177" s="39" t="s">
        <v>430</v>
      </c>
      <c r="B177" s="39" t="s">
        <v>23</v>
      </c>
      <c r="C177" s="39">
        <v>1957</v>
      </c>
      <c r="D177" s="39">
        <v>490</v>
      </c>
      <c r="E177" s="39">
        <v>435726</v>
      </c>
      <c r="F177" s="39">
        <v>4.7300000000000004</v>
      </c>
      <c r="G177" s="39">
        <v>15969</v>
      </c>
      <c r="H177" s="1">
        <f t="shared" si="4"/>
        <v>1467</v>
      </c>
      <c r="I177" s="13">
        <f t="shared" si="5"/>
        <v>3.3667947287974553E-3</v>
      </c>
      <c r="J177" s="1" t="str" cm="1">
        <f t="array" ref="J177">IFERROR(
    INDEX(Posts!$O:$O,
          MATCH(1,
                (TRIM(UPPER(Posts!$B:$B))=TRIM(UPPER(B177)))*
                (ABS(Posts!$C:$C - A177) &lt;= 7),
          0)),
"unknown")</f>
        <v>ModelYCampaign</v>
      </c>
    </row>
    <row r="178" spans="1:10" x14ac:dyDescent="0.3">
      <c r="A178" s="39" t="s">
        <v>431</v>
      </c>
      <c r="B178" s="39" t="s">
        <v>28</v>
      </c>
      <c r="C178" s="39">
        <v>559</v>
      </c>
      <c r="D178" s="39">
        <v>392</v>
      </c>
      <c r="E178" s="39">
        <v>78789</v>
      </c>
      <c r="F178" s="39">
        <v>3.19</v>
      </c>
      <c r="G178" s="39">
        <v>2436</v>
      </c>
      <c r="H178" s="1">
        <f t="shared" si="4"/>
        <v>167</v>
      </c>
      <c r="I178" s="13">
        <f t="shared" si="5"/>
        <v>2.1195852212872357E-3</v>
      </c>
      <c r="J178" s="1" t="str" cm="1">
        <f t="array" ref="J178">IFERROR(
    INDEX(Posts!$O:$O,
          MATCH(1,
                (TRIM(UPPER(Posts!$B:$B))=TRIM(UPPER(B178)))*
                (ABS(Posts!$C:$C - A178) &lt;= 7),
          0)),
"unknown")</f>
        <v>ModelYCampaign</v>
      </c>
    </row>
    <row r="179" spans="1:10" x14ac:dyDescent="0.3">
      <c r="A179" s="39" t="s">
        <v>431</v>
      </c>
      <c r="B179" s="39" t="s">
        <v>35</v>
      </c>
      <c r="C179" s="39">
        <v>1307</v>
      </c>
      <c r="D179" s="39">
        <v>278</v>
      </c>
      <c r="E179" s="39">
        <v>98596</v>
      </c>
      <c r="F179" s="39">
        <v>2.4900000000000002</v>
      </c>
      <c r="G179" s="39">
        <v>47603</v>
      </c>
      <c r="H179" s="1">
        <f t="shared" si="4"/>
        <v>1029</v>
      </c>
      <c r="I179" s="13">
        <f t="shared" si="5"/>
        <v>1.0436528865268368E-2</v>
      </c>
      <c r="J179" s="1" t="str" cm="1">
        <f t="array" ref="J179">IFERROR(
    INDEX(Posts!$O:$O,
          MATCH(1,
                (TRIM(UPPER(Posts!$B:$B))=TRIM(UPPER(B179)))*
                (ABS(Posts!$C:$C - A179) &lt;= 7),
          0)),
"unknown")</f>
        <v>unknown</v>
      </c>
    </row>
    <row r="180" spans="1:10" x14ac:dyDescent="0.3">
      <c r="A180" s="39" t="s">
        <v>431</v>
      </c>
      <c r="B180" s="39" t="s">
        <v>14</v>
      </c>
      <c r="C180" s="39">
        <v>1432</v>
      </c>
      <c r="D180" s="39">
        <v>425</v>
      </c>
      <c r="E180" s="39">
        <v>29589</v>
      </c>
      <c r="F180" s="39">
        <v>4.5</v>
      </c>
      <c r="G180" s="39">
        <v>42964</v>
      </c>
      <c r="H180" s="1">
        <f t="shared" si="4"/>
        <v>1007</v>
      </c>
      <c r="I180" s="13">
        <f t="shared" si="5"/>
        <v>3.4032917638311531E-2</v>
      </c>
      <c r="J180" s="1" t="str" cm="1">
        <f t="array" ref="J180">IFERROR(
    INDEX(Posts!$O:$O,
          MATCH(1,
                (TRIM(UPPER(Posts!$B:$B))=TRIM(UPPER(B180)))*
                (ABS(Posts!$C:$C - A180) &lt;= 7),
          0)),
"unknown")</f>
        <v>ModelYCampaign</v>
      </c>
    </row>
    <row r="181" spans="1:10" x14ac:dyDescent="0.3">
      <c r="A181" s="39" t="s">
        <v>431</v>
      </c>
      <c r="B181" s="39" t="s">
        <v>23</v>
      </c>
      <c r="C181" s="39">
        <v>623</v>
      </c>
      <c r="D181" s="39">
        <v>414</v>
      </c>
      <c r="E181" s="39">
        <v>290354</v>
      </c>
      <c r="F181" s="39">
        <v>6.49</v>
      </c>
      <c r="G181" s="39">
        <v>39923</v>
      </c>
      <c r="H181" s="1">
        <f t="shared" si="4"/>
        <v>209</v>
      </c>
      <c r="I181" s="13">
        <f t="shared" si="5"/>
        <v>7.1981098934404211E-4</v>
      </c>
      <c r="J181" s="1" t="str" cm="1">
        <f t="array" ref="J181">IFERROR(
    INDEX(Posts!$O:$O,
          MATCH(1,
                (TRIM(UPPER(Posts!$B:$B))=TRIM(UPPER(B181)))*
                (ABS(Posts!$C:$C - A181) &lt;= 7),
          0)),
"unknown")</f>
        <v>ModelYCampaign</v>
      </c>
    </row>
    <row r="182" spans="1:10" x14ac:dyDescent="0.3">
      <c r="A182" s="39" t="s">
        <v>432</v>
      </c>
      <c r="B182" s="39" t="s">
        <v>28</v>
      </c>
      <c r="C182" s="39">
        <v>198</v>
      </c>
      <c r="D182" s="39">
        <v>358</v>
      </c>
      <c r="E182" s="39">
        <v>66682</v>
      </c>
      <c r="F182" s="39">
        <v>6.73</v>
      </c>
      <c r="G182" s="39">
        <v>2293</v>
      </c>
      <c r="H182" s="1">
        <f t="shared" si="4"/>
        <v>-160</v>
      </c>
      <c r="I182" s="13">
        <f t="shared" si="5"/>
        <v>-2.3994481269308059E-3</v>
      </c>
      <c r="J182" s="1" t="str" cm="1">
        <f t="array" ref="J182">IFERROR(
    INDEX(Posts!$O:$O,
          MATCH(1,
                (TRIM(UPPER(Posts!$B:$B))=TRIM(UPPER(B182)))*
                (ABS(Posts!$C:$C - A182) &lt;= 7),
          0)),
"unknown")</f>
        <v>ModelYCampaign</v>
      </c>
    </row>
    <row r="183" spans="1:10" x14ac:dyDescent="0.3">
      <c r="A183" s="39" t="s">
        <v>432</v>
      </c>
      <c r="B183" s="39" t="s">
        <v>35</v>
      </c>
      <c r="C183" s="39">
        <v>198</v>
      </c>
      <c r="D183" s="39">
        <v>373</v>
      </c>
      <c r="E183" s="39">
        <v>70707</v>
      </c>
      <c r="F183" s="39">
        <v>4.83</v>
      </c>
      <c r="G183" s="39">
        <v>25920</v>
      </c>
      <c r="H183" s="1">
        <f t="shared" si="4"/>
        <v>-175</v>
      </c>
      <c r="I183" s="13">
        <f t="shared" si="5"/>
        <v>-2.4750024750024749E-3</v>
      </c>
      <c r="J183" s="1" t="str" cm="1">
        <f t="array" ref="J183">IFERROR(
    INDEX(Posts!$O:$O,
          MATCH(1,
                (TRIM(UPPER(Posts!$B:$B))=TRIM(UPPER(B183)))*
                (ABS(Posts!$C:$C - A183) &lt;= 7),
          0)),
"unknown")</f>
        <v>ModelYCampaign</v>
      </c>
    </row>
    <row r="184" spans="1:10" x14ac:dyDescent="0.3">
      <c r="A184" s="39" t="s">
        <v>432</v>
      </c>
      <c r="B184" s="39" t="s">
        <v>14</v>
      </c>
      <c r="C184" s="39">
        <v>353</v>
      </c>
      <c r="D184" s="39">
        <v>300</v>
      </c>
      <c r="E184" s="39">
        <v>142507</v>
      </c>
      <c r="F184" s="39">
        <v>5.3</v>
      </c>
      <c r="G184" s="39">
        <v>11035</v>
      </c>
      <c r="H184" s="1">
        <f t="shared" si="4"/>
        <v>53</v>
      </c>
      <c r="I184" s="13">
        <f t="shared" si="5"/>
        <v>3.7191155522184875E-4</v>
      </c>
      <c r="J184" s="1" t="str" cm="1">
        <f t="array" ref="J184">IFERROR(
    INDEX(Posts!$O:$O,
          MATCH(1,
                (TRIM(UPPER(Posts!$B:$B))=TRIM(UPPER(B184)))*
                (ABS(Posts!$C:$C - A184) &lt;= 7),
          0)),
"unknown")</f>
        <v>unknown</v>
      </c>
    </row>
    <row r="185" spans="1:10" x14ac:dyDescent="0.3">
      <c r="A185" s="39" t="s">
        <v>432</v>
      </c>
      <c r="B185" s="39" t="s">
        <v>23</v>
      </c>
      <c r="C185" s="39">
        <v>520</v>
      </c>
      <c r="D185" s="39">
        <v>375</v>
      </c>
      <c r="E185" s="39">
        <v>369525</v>
      </c>
      <c r="F185" s="39">
        <v>6.54</v>
      </c>
      <c r="G185" s="39">
        <v>20733</v>
      </c>
      <c r="H185" s="1">
        <f t="shared" si="4"/>
        <v>145</v>
      </c>
      <c r="I185" s="13">
        <f t="shared" si="5"/>
        <v>3.9239564305527366E-4</v>
      </c>
      <c r="J185" s="1" t="str" cm="1">
        <f t="array" ref="J185">IFERROR(
    INDEX(Posts!$O:$O,
          MATCH(1,
                (TRIM(UPPER(Posts!$B:$B))=TRIM(UPPER(B185)))*
                (ABS(Posts!$C:$C - A185) &lt;= 7),
          0)),
"unknown")</f>
        <v>FSDUpdate</v>
      </c>
    </row>
    <row r="186" spans="1:10" x14ac:dyDescent="0.3">
      <c r="A186" s="39" t="s">
        <v>433</v>
      </c>
      <c r="B186" s="39" t="s">
        <v>28</v>
      </c>
      <c r="C186" s="39">
        <v>961</v>
      </c>
      <c r="D186" s="39">
        <v>358</v>
      </c>
      <c r="E186" s="39">
        <v>62942</v>
      </c>
      <c r="F186" s="39">
        <v>6.8</v>
      </c>
      <c r="G186" s="39">
        <v>18693</v>
      </c>
      <c r="H186" s="1">
        <f t="shared" si="4"/>
        <v>603</v>
      </c>
      <c r="I186" s="13">
        <f t="shared" si="5"/>
        <v>9.5802484827301332E-3</v>
      </c>
      <c r="J186" s="1" t="str" cm="1">
        <f t="array" ref="J186">IFERROR(
    INDEX(Posts!$O:$O,
          MATCH(1,
                (TRIM(UPPER(Posts!$B:$B))=TRIM(UPPER(B186)))*
                (ABS(Posts!$C:$C - A186) &lt;= 7),
          0)),
"unknown")</f>
        <v>ModelYCampaign</v>
      </c>
    </row>
    <row r="187" spans="1:10" x14ac:dyDescent="0.3">
      <c r="A187" s="39" t="s">
        <v>433</v>
      </c>
      <c r="B187" s="39" t="s">
        <v>35</v>
      </c>
      <c r="C187" s="39">
        <v>1375</v>
      </c>
      <c r="D187" s="39">
        <v>330</v>
      </c>
      <c r="E187" s="39">
        <v>377382</v>
      </c>
      <c r="F187" s="39">
        <v>2.6</v>
      </c>
      <c r="G187" s="39">
        <v>7875</v>
      </c>
      <c r="H187" s="1">
        <f t="shared" si="4"/>
        <v>1045</v>
      </c>
      <c r="I187" s="13">
        <f t="shared" si="5"/>
        <v>2.7690774864725927E-3</v>
      </c>
      <c r="J187" s="1" t="str" cm="1">
        <f t="array" ref="J187">IFERROR(
    INDEX(Posts!$O:$O,
          MATCH(1,
                (TRIM(UPPER(Posts!$B:$B))=TRIM(UPPER(B187)))*
                (ABS(Posts!$C:$C - A187) &lt;= 7),
          0)),
"unknown")</f>
        <v>SustainabilityDrive</v>
      </c>
    </row>
    <row r="188" spans="1:10" x14ac:dyDescent="0.3">
      <c r="A188" s="39" t="s">
        <v>433</v>
      </c>
      <c r="B188" s="39" t="s">
        <v>14</v>
      </c>
      <c r="C188" s="39">
        <v>1147</v>
      </c>
      <c r="D188" s="39">
        <v>388</v>
      </c>
      <c r="E188" s="39">
        <v>333851</v>
      </c>
      <c r="F188" s="39">
        <v>2.44</v>
      </c>
      <c r="G188" s="39">
        <v>8471</v>
      </c>
      <c r="H188" s="1">
        <f t="shared" si="4"/>
        <v>759</v>
      </c>
      <c r="I188" s="13">
        <f t="shared" si="5"/>
        <v>2.2734693021737242E-3</v>
      </c>
      <c r="J188" s="1" t="str" cm="1">
        <f t="array" ref="J188">IFERROR(
    INDEX(Posts!$O:$O,
          MATCH(1,
                (TRIM(UPPER(Posts!$B:$B))=TRIM(UPPER(B188)))*
                (ABS(Posts!$C:$C - A188) &lt;= 7),
          0)),
"unknown")</f>
        <v>CybertruckLaunch</v>
      </c>
    </row>
    <row r="189" spans="1:10" x14ac:dyDescent="0.3">
      <c r="A189" s="39" t="s">
        <v>433</v>
      </c>
      <c r="B189" s="39" t="s">
        <v>23</v>
      </c>
      <c r="C189" s="39">
        <v>1707</v>
      </c>
      <c r="D189" s="39">
        <v>74</v>
      </c>
      <c r="E189" s="39">
        <v>270958</v>
      </c>
      <c r="F189" s="39">
        <v>3.09</v>
      </c>
      <c r="G189" s="39">
        <v>14090</v>
      </c>
      <c r="H189" s="1">
        <f t="shared" si="4"/>
        <v>1633</v>
      </c>
      <c r="I189" s="13">
        <f t="shared" si="5"/>
        <v>6.0267642955734836E-3</v>
      </c>
      <c r="J189" s="1" t="str" cm="1">
        <f t="array" ref="J189">IFERROR(
    INDEX(Posts!$O:$O,
          MATCH(1,
                (TRIM(UPPER(Posts!$B:$B))=TRIM(UPPER(B189)))*
                (ABS(Posts!$C:$C - A189) &lt;= 7),
          0)),
"unknown")</f>
        <v>FSDUpdate</v>
      </c>
    </row>
    <row r="190" spans="1:10" x14ac:dyDescent="0.3">
      <c r="A190" s="39" t="s">
        <v>434</v>
      </c>
      <c r="B190" s="39" t="s">
        <v>28</v>
      </c>
      <c r="C190" s="39">
        <v>1693</v>
      </c>
      <c r="D190" s="39">
        <v>154</v>
      </c>
      <c r="E190" s="39">
        <v>445944</v>
      </c>
      <c r="F190" s="39">
        <v>5.69</v>
      </c>
      <c r="G190" s="39">
        <v>14216</v>
      </c>
      <c r="H190" s="1">
        <f t="shared" si="4"/>
        <v>1539</v>
      </c>
      <c r="I190" s="13">
        <f t="shared" si="5"/>
        <v>3.4511059684624078E-3</v>
      </c>
      <c r="J190" s="1" t="str" cm="1">
        <f t="array" ref="J190">IFERROR(
    INDEX(Posts!$O:$O,
          MATCH(1,
                (TRIM(UPPER(Posts!$B:$B))=TRIM(UPPER(B190)))*
                (ABS(Posts!$C:$C - A190) &lt;= 7),
          0)),
"unknown")</f>
        <v>CybertruckLaunch</v>
      </c>
    </row>
    <row r="191" spans="1:10" x14ac:dyDescent="0.3">
      <c r="A191" s="39" t="s">
        <v>434</v>
      </c>
      <c r="B191" s="39" t="s">
        <v>35</v>
      </c>
      <c r="C191" s="39">
        <v>833</v>
      </c>
      <c r="D191" s="39">
        <v>380</v>
      </c>
      <c r="E191" s="39">
        <v>224830</v>
      </c>
      <c r="F191" s="39">
        <v>3.86</v>
      </c>
      <c r="G191" s="39">
        <v>3582</v>
      </c>
      <c r="H191" s="1">
        <f t="shared" si="4"/>
        <v>453</v>
      </c>
      <c r="I191" s="13">
        <f t="shared" si="5"/>
        <v>2.014855668727483E-3</v>
      </c>
      <c r="J191" s="1" t="str" cm="1">
        <f t="array" ref="J191">IFERROR(
    INDEX(Posts!$O:$O,
          MATCH(1,
                (TRIM(UPPER(Posts!$B:$B))=TRIM(UPPER(B191)))*
                (ABS(Posts!$C:$C - A191) &lt;= 7),
          0)),
"unknown")</f>
        <v>SustainabilityDrive</v>
      </c>
    </row>
    <row r="192" spans="1:10" x14ac:dyDescent="0.3">
      <c r="A192" s="39" t="s">
        <v>434</v>
      </c>
      <c r="B192" s="39" t="s">
        <v>14</v>
      </c>
      <c r="C192" s="39">
        <v>1222</v>
      </c>
      <c r="D192" s="39">
        <v>274</v>
      </c>
      <c r="E192" s="39">
        <v>487289</v>
      </c>
      <c r="F192" s="39">
        <v>3.16</v>
      </c>
      <c r="G192" s="39">
        <v>32500</v>
      </c>
      <c r="H192" s="1">
        <f t="shared" si="4"/>
        <v>948</v>
      </c>
      <c r="I192" s="13">
        <f t="shared" si="5"/>
        <v>1.9454574184929272E-3</v>
      </c>
      <c r="J192" s="1" t="str" cm="1">
        <f t="array" ref="J192">IFERROR(
    INDEX(Posts!$O:$O,
          MATCH(1,
                (TRIM(UPPER(Posts!$B:$B))=TRIM(UPPER(B192)))*
                (ABS(Posts!$C:$C - A192) &lt;= 7),
          0)),
"unknown")</f>
        <v>SustainabilityDrive</v>
      </c>
    </row>
    <row r="193" spans="1:10" x14ac:dyDescent="0.3">
      <c r="A193" s="39" t="s">
        <v>434</v>
      </c>
      <c r="B193" s="39" t="s">
        <v>23</v>
      </c>
      <c r="C193" s="39">
        <v>777</v>
      </c>
      <c r="D193" s="39">
        <v>140</v>
      </c>
      <c r="E193" s="39">
        <v>11435</v>
      </c>
      <c r="F193" s="39">
        <v>1.6</v>
      </c>
      <c r="G193" s="39">
        <v>6832</v>
      </c>
      <c r="H193" s="1">
        <f t="shared" si="4"/>
        <v>637</v>
      </c>
      <c r="I193" s="13">
        <f t="shared" si="5"/>
        <v>5.5706165282028861E-2</v>
      </c>
      <c r="J193" s="1" t="str" cm="1">
        <f t="array" ref="J193">IFERROR(
    INDEX(Posts!$O:$O,
          MATCH(1,
                (TRIM(UPPER(Posts!$B:$B))=TRIM(UPPER(B193)))*
                (ABS(Posts!$C:$C - A193) &lt;= 7),
          0)),
"unknown")</f>
        <v>unknown</v>
      </c>
    </row>
    <row r="194" spans="1:10" x14ac:dyDescent="0.3">
      <c r="A194" s="39" t="s">
        <v>435</v>
      </c>
      <c r="B194" s="39" t="s">
        <v>28</v>
      </c>
      <c r="C194" s="39">
        <v>1957</v>
      </c>
      <c r="D194" s="39">
        <v>76</v>
      </c>
      <c r="E194" s="39">
        <v>447902</v>
      </c>
      <c r="F194" s="39">
        <v>6.09</v>
      </c>
      <c r="G194" s="39">
        <v>33381</v>
      </c>
      <c r="H194" s="1">
        <f t="shared" si="4"/>
        <v>1881</v>
      </c>
      <c r="I194" s="13">
        <f t="shared" si="5"/>
        <v>4.1995793722733989E-3</v>
      </c>
      <c r="J194" s="1" t="str" cm="1">
        <f t="array" ref="J194">IFERROR(
    INDEX(Posts!$O:$O,
          MATCH(1,
                (TRIM(UPPER(Posts!$B:$B))=TRIM(UPPER(B194)))*
                (ABS(Posts!$C:$C - A194) &lt;= 7),
          0)),
"unknown")</f>
        <v>CybertruckLaunch</v>
      </c>
    </row>
    <row r="195" spans="1:10" x14ac:dyDescent="0.3">
      <c r="A195" s="39" t="s">
        <v>435</v>
      </c>
      <c r="B195" s="39" t="s">
        <v>35</v>
      </c>
      <c r="C195" s="39">
        <v>405</v>
      </c>
      <c r="D195" s="39">
        <v>66</v>
      </c>
      <c r="E195" s="39">
        <v>418696</v>
      </c>
      <c r="F195" s="39">
        <v>5.59</v>
      </c>
      <c r="G195" s="39">
        <v>48419</v>
      </c>
      <c r="H195" s="1">
        <f t="shared" ref="H195:H201" si="6">C195-D195</f>
        <v>339</v>
      </c>
      <c r="I195" s="13">
        <f t="shared" ref="I195:I201" si="7">H195/E195</f>
        <v>8.0965664826031301E-4</v>
      </c>
      <c r="J195" s="1" t="str" cm="1">
        <f t="array" ref="J195">IFERROR(
    INDEX(Posts!$O:$O,
          MATCH(1,
                (TRIM(UPPER(Posts!$B:$B))=TRIM(UPPER(B195)))*
                (ABS(Posts!$C:$C - A195) &lt;= 7),
          0)),
"unknown")</f>
        <v>SustainabilityDrive</v>
      </c>
    </row>
    <row r="196" spans="1:10" x14ac:dyDescent="0.3">
      <c r="A196" s="39" t="s">
        <v>435</v>
      </c>
      <c r="B196" s="39" t="s">
        <v>14</v>
      </c>
      <c r="C196" s="39">
        <v>1581</v>
      </c>
      <c r="D196" s="39">
        <v>71</v>
      </c>
      <c r="E196" s="39">
        <v>484364</v>
      </c>
      <c r="F196" s="39">
        <v>3.55</v>
      </c>
      <c r="G196" s="39">
        <v>16149</v>
      </c>
      <c r="H196" s="1">
        <f t="shared" si="6"/>
        <v>1510</v>
      </c>
      <c r="I196" s="13">
        <f t="shared" si="7"/>
        <v>3.1174901520344203E-3</v>
      </c>
      <c r="J196" s="1" t="str" cm="1">
        <f t="array" ref="J196">IFERROR(
    INDEX(Posts!$O:$O,
          MATCH(1,
                (TRIM(UPPER(Posts!$B:$B))=TRIM(UPPER(B196)))*
                (ABS(Posts!$C:$C - A196) &lt;= 7),
          0)),
"unknown")</f>
        <v>SustainabilityDrive</v>
      </c>
    </row>
    <row r="197" spans="1:10" x14ac:dyDescent="0.3">
      <c r="A197" s="39" t="s">
        <v>435</v>
      </c>
      <c r="B197" s="39" t="s">
        <v>23</v>
      </c>
      <c r="C197" s="39">
        <v>1035</v>
      </c>
      <c r="D197" s="39">
        <v>171</v>
      </c>
      <c r="E197" s="39">
        <v>148477</v>
      </c>
      <c r="F197" s="39">
        <v>5.21</v>
      </c>
      <c r="G197" s="39">
        <v>7541</v>
      </c>
      <c r="H197" s="1">
        <f t="shared" si="6"/>
        <v>864</v>
      </c>
      <c r="I197" s="13">
        <f t="shared" si="7"/>
        <v>5.8190830903102836E-3</v>
      </c>
      <c r="J197" s="1" t="str" cm="1">
        <f t="array" ref="J197">IFERROR(
    INDEX(Posts!$O:$O,
          MATCH(1,
                (TRIM(UPPER(Posts!$B:$B))=TRIM(UPPER(B197)))*
                (ABS(Posts!$C:$C - A197) &lt;= 7),
          0)),
"unknown")</f>
        <v>FSDUpdate</v>
      </c>
    </row>
    <row r="198" spans="1:10" x14ac:dyDescent="0.3">
      <c r="A198" s="39" t="s">
        <v>436</v>
      </c>
      <c r="B198" s="39" t="s">
        <v>28</v>
      </c>
      <c r="C198" s="39">
        <v>1765</v>
      </c>
      <c r="D198" s="39">
        <v>109</v>
      </c>
      <c r="E198" s="39">
        <v>468301</v>
      </c>
      <c r="F198" s="39">
        <v>1.82</v>
      </c>
      <c r="G198" s="39">
        <v>20042</v>
      </c>
      <c r="H198" s="1">
        <f t="shared" si="6"/>
        <v>1656</v>
      </c>
      <c r="I198" s="13">
        <f t="shared" si="7"/>
        <v>3.5361871958419907E-3</v>
      </c>
      <c r="J198" s="1" t="str" cm="1">
        <f t="array" ref="J198">IFERROR(
    INDEX(Posts!$O:$O,
          MATCH(1,
                (TRIM(UPPER(Posts!$B:$B))=TRIM(UPPER(B198)))*
                (ABS(Posts!$C:$C - A198) &lt;= 7),
          0)),
"unknown")</f>
        <v>unknown</v>
      </c>
    </row>
    <row r="199" spans="1:10" x14ac:dyDescent="0.3">
      <c r="A199" s="39" t="s">
        <v>436</v>
      </c>
      <c r="B199" s="39" t="s">
        <v>35</v>
      </c>
      <c r="C199" s="39">
        <v>837</v>
      </c>
      <c r="D199" s="39">
        <v>430</v>
      </c>
      <c r="E199" s="39">
        <v>364820</v>
      </c>
      <c r="F199" s="39">
        <v>4</v>
      </c>
      <c r="G199" s="39">
        <v>49400</v>
      </c>
      <c r="H199" s="1">
        <f t="shared" si="6"/>
        <v>407</v>
      </c>
      <c r="I199" s="13">
        <f t="shared" si="7"/>
        <v>1.1156186612576065E-3</v>
      </c>
      <c r="J199" s="1" t="str" cm="1">
        <f t="array" ref="J199">IFERROR(
    INDEX(Posts!$O:$O,
          MATCH(1,
                (TRIM(UPPER(Posts!$B:$B))=TRIM(UPPER(B199)))*
                (ABS(Posts!$C:$C - A199) &lt;= 7),
          0)),
"unknown")</f>
        <v>SustainabilityDrive</v>
      </c>
    </row>
    <row r="200" spans="1:10" x14ac:dyDescent="0.3">
      <c r="A200" s="39" t="s">
        <v>436</v>
      </c>
      <c r="B200" s="39" t="s">
        <v>14</v>
      </c>
      <c r="C200" s="39">
        <v>337</v>
      </c>
      <c r="D200" s="39">
        <v>68</v>
      </c>
      <c r="E200" s="39">
        <v>456298</v>
      </c>
      <c r="F200" s="39">
        <v>7.57</v>
      </c>
      <c r="G200" s="39">
        <v>4007</v>
      </c>
      <c r="H200" s="1">
        <f t="shared" si="6"/>
        <v>269</v>
      </c>
      <c r="I200" s="13">
        <f t="shared" si="7"/>
        <v>5.8952701962314107E-4</v>
      </c>
      <c r="J200" s="1" t="str" cm="1">
        <f t="array" ref="J200">IFERROR(
    INDEX(Posts!$O:$O,
          MATCH(1,
                (TRIM(UPPER(Posts!$B:$B))=TRIM(UPPER(B200)))*
                (ABS(Posts!$C:$C - A200) &lt;= 7),
          0)),
"unknown")</f>
        <v>SustainabilityDrive</v>
      </c>
    </row>
    <row r="201" spans="1:10" x14ac:dyDescent="0.3">
      <c r="A201" s="39" t="s">
        <v>436</v>
      </c>
      <c r="B201" s="39" t="s">
        <v>23</v>
      </c>
      <c r="C201" s="39">
        <v>119</v>
      </c>
      <c r="D201" s="39">
        <v>456</v>
      </c>
      <c r="E201" s="39">
        <v>82558</v>
      </c>
      <c r="F201" s="39">
        <v>6.81</v>
      </c>
      <c r="G201" s="39">
        <v>12174</v>
      </c>
      <c r="H201" s="1">
        <f t="shared" si="6"/>
        <v>-337</v>
      </c>
      <c r="I201" s="13">
        <f t="shared" si="7"/>
        <v>-4.0819787301048958E-3</v>
      </c>
      <c r="J201" s="1" t="str" cm="1">
        <f t="array" ref="J201">IFERROR(
    INDEX(Posts!$O:$O,
          MATCH(1,
                (TRIM(UPPER(Posts!$B:$B))=TRIM(UPPER(B201)))*
                (ABS(Posts!$C:$C - A201) &lt;= 7),
          0)),
"unknown")</f>
        <v>FSDUpdate</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18610-CABB-4937-AA08-CDF610144905}">
  <sheetPr codeName="Sheet10"/>
  <dimension ref="B3:K21"/>
  <sheetViews>
    <sheetView workbookViewId="0">
      <selection activeCell="F7" sqref="F7"/>
    </sheetView>
  </sheetViews>
  <sheetFormatPr defaultRowHeight="14.4" x14ac:dyDescent="0.3"/>
  <cols>
    <col min="1" max="2" width="12.5546875" bestFit="1" customWidth="1"/>
    <col min="3" max="3" width="11.88671875" customWidth="1"/>
    <col min="4" max="4" width="30.33203125" customWidth="1"/>
  </cols>
  <sheetData>
    <row r="3" spans="3:11" ht="31.2" x14ac:dyDescent="0.6">
      <c r="D3" s="45" t="s">
        <v>440</v>
      </c>
      <c r="E3" s="45"/>
      <c r="F3" s="45"/>
      <c r="G3" s="46"/>
      <c r="H3" s="46"/>
      <c r="I3" s="46"/>
      <c r="J3" s="46"/>
      <c r="K3" s="46"/>
    </row>
    <row r="12" spans="3:11" x14ac:dyDescent="0.3">
      <c r="C12" s="17" t="s">
        <v>362</v>
      </c>
      <c r="D12" s="1" t="s">
        <v>439</v>
      </c>
    </row>
    <row r="13" spans="3:11" x14ac:dyDescent="0.3">
      <c r="C13" s="18" t="s">
        <v>14</v>
      </c>
      <c r="D13" s="42">
        <v>9.2800256766213396E-3</v>
      </c>
    </row>
    <row r="14" spans="3:11" x14ac:dyDescent="0.3">
      <c r="C14" s="20" t="s">
        <v>23</v>
      </c>
      <c r="D14" s="41">
        <v>9.021066631336009E-3</v>
      </c>
    </row>
    <row r="15" spans="3:11" x14ac:dyDescent="0.3">
      <c r="C15" s="20" t="s">
        <v>28</v>
      </c>
      <c r="D15" s="41">
        <v>5.7625321264951823E-3</v>
      </c>
    </row>
    <row r="16" spans="3:11" x14ac:dyDescent="0.3">
      <c r="C16" s="20" t="s">
        <v>35</v>
      </c>
      <c r="D16" s="41">
        <v>5.4649906832972654E-3</v>
      </c>
    </row>
    <row r="20" spans="2:9" ht="18" x14ac:dyDescent="0.35">
      <c r="B20" s="21" t="s">
        <v>441</v>
      </c>
      <c r="C20" s="21"/>
      <c r="D20" s="21"/>
      <c r="E20" s="21"/>
      <c r="F20" s="21"/>
      <c r="G20" s="21"/>
      <c r="H20" s="21"/>
      <c r="I20" s="43"/>
    </row>
    <row r="21" spans="2:9" ht="18" x14ac:dyDescent="0.35">
      <c r="B21" s="21" t="s">
        <v>442</v>
      </c>
      <c r="C21" s="21"/>
      <c r="D21" s="21"/>
      <c r="E21" s="21"/>
      <c r="F21" s="21"/>
      <c r="G21" s="21"/>
      <c r="H21" s="21"/>
      <c r="I21" s="44"/>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70F8-F40F-417C-8C47-9AF41A723240}">
  <sheetPr codeName="Sheet11"/>
  <dimension ref="B4:J19"/>
  <sheetViews>
    <sheetView workbookViewId="0">
      <selection activeCell="H7" sqref="H7"/>
    </sheetView>
  </sheetViews>
  <sheetFormatPr defaultRowHeight="14.4" x14ac:dyDescent="0.3"/>
  <cols>
    <col min="1" max="2" width="12.5546875" bestFit="1" customWidth="1"/>
    <col min="3" max="3" width="12.77734375" customWidth="1"/>
    <col min="4" max="4" width="17.5546875" customWidth="1"/>
    <col min="5" max="5" width="25.77734375" customWidth="1"/>
    <col min="9" max="9" width="12.33203125" customWidth="1"/>
    <col min="10" max="10" width="10" customWidth="1"/>
  </cols>
  <sheetData>
    <row r="4" spans="3:10" ht="28.8" x14ac:dyDescent="0.55000000000000004">
      <c r="E4" s="26" t="s">
        <v>445</v>
      </c>
      <c r="F4" s="25"/>
      <c r="G4" s="25"/>
      <c r="H4" s="25"/>
      <c r="I4" s="25"/>
      <c r="J4" s="25"/>
    </row>
    <row r="11" spans="3:10" x14ac:dyDescent="0.3">
      <c r="C11" s="17" t="s">
        <v>362</v>
      </c>
      <c r="D11" s="1" t="s">
        <v>443</v>
      </c>
      <c r="E11" s="1" t="s">
        <v>444</v>
      </c>
    </row>
    <row r="12" spans="3:10" x14ac:dyDescent="0.3">
      <c r="C12" s="20" t="s">
        <v>35</v>
      </c>
      <c r="D12" s="1">
        <v>1379539</v>
      </c>
      <c r="E12" s="1">
        <v>5.6486000000000001</v>
      </c>
    </row>
    <row r="13" spans="3:10" x14ac:dyDescent="0.3">
      <c r="C13" s="20" t="s">
        <v>28</v>
      </c>
      <c r="D13" s="1">
        <v>1164373</v>
      </c>
      <c r="E13" s="1">
        <v>5.7156000000000002</v>
      </c>
    </row>
    <row r="14" spans="3:10" x14ac:dyDescent="0.3">
      <c r="C14" s="20" t="s">
        <v>14</v>
      </c>
      <c r="D14" s="1">
        <v>1060357</v>
      </c>
      <c r="E14" s="1">
        <v>5.6558000000000002</v>
      </c>
    </row>
    <row r="15" spans="3:10" x14ac:dyDescent="0.3">
      <c r="C15" s="20" t="s">
        <v>23</v>
      </c>
      <c r="D15" s="1">
        <v>1228647</v>
      </c>
      <c r="E15" s="1">
        <v>5.5587999999999997</v>
      </c>
    </row>
    <row r="18" spans="2:9" ht="18" x14ac:dyDescent="0.35">
      <c r="B18" s="47" t="s">
        <v>446</v>
      </c>
      <c r="C18" s="21"/>
      <c r="D18" s="21"/>
      <c r="E18" s="21"/>
      <c r="F18" s="21"/>
      <c r="G18" s="21"/>
      <c r="H18" s="21"/>
      <c r="I18" s="48"/>
    </row>
    <row r="19" spans="2:9" ht="18" x14ac:dyDescent="0.35">
      <c r="B19" s="47" t="s">
        <v>447</v>
      </c>
      <c r="C19" s="21"/>
      <c r="D19" s="21"/>
      <c r="E19" s="21"/>
      <c r="F19" s="21"/>
      <c r="G19" s="21"/>
      <c r="H19" s="21"/>
      <c r="I19" s="48"/>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6ED54-61A4-429F-803C-B98CBA05B2D1}">
  <sheetPr codeName="Sheet12"/>
  <dimension ref="A2:N14"/>
  <sheetViews>
    <sheetView workbookViewId="0">
      <selection activeCell="H21" sqref="H21"/>
    </sheetView>
  </sheetViews>
  <sheetFormatPr defaultRowHeight="14.4" x14ac:dyDescent="0.3"/>
  <cols>
    <col min="7" max="7" width="12.5546875" customWidth="1"/>
    <col min="8" max="8" width="39.5546875" customWidth="1"/>
    <col min="11" max="11" width="13.88671875" customWidth="1"/>
  </cols>
  <sheetData>
    <row r="2" spans="1:14" ht="18" x14ac:dyDescent="0.35">
      <c r="A2" s="21" t="s">
        <v>448</v>
      </c>
      <c r="B2" s="21"/>
      <c r="C2" s="21"/>
      <c r="D2" s="21"/>
      <c r="E2" s="21"/>
      <c r="F2" s="21"/>
      <c r="G2" s="21"/>
      <c r="H2" s="21"/>
      <c r="I2" s="21"/>
      <c r="J2" s="21"/>
      <c r="K2" s="21"/>
      <c r="L2" s="21"/>
      <c r="M2" s="21"/>
      <c r="N2" s="21"/>
    </row>
    <row r="3" spans="1:14" ht="15.6" x14ac:dyDescent="0.3">
      <c r="A3" s="49" t="s">
        <v>449</v>
      </c>
      <c r="B3" s="49"/>
      <c r="C3" s="49"/>
      <c r="D3" s="49"/>
      <c r="E3" s="49"/>
      <c r="F3" s="49"/>
      <c r="G3" s="49"/>
      <c r="H3" s="49"/>
      <c r="I3" s="49"/>
      <c r="J3" s="49"/>
      <c r="K3" s="49"/>
      <c r="L3" s="49"/>
      <c r="M3" s="49"/>
      <c r="N3" s="49"/>
    </row>
    <row r="4" spans="1:14" ht="15.6" x14ac:dyDescent="0.3">
      <c r="A4" s="49" t="s">
        <v>450</v>
      </c>
      <c r="B4" s="49"/>
      <c r="C4" s="49"/>
      <c r="D4" s="49"/>
      <c r="E4" s="49"/>
      <c r="F4" s="49"/>
      <c r="G4" s="49"/>
      <c r="H4" s="49"/>
      <c r="I4" s="49"/>
      <c r="J4" s="49"/>
      <c r="K4" s="49"/>
      <c r="L4" s="49"/>
      <c r="M4" s="49"/>
      <c r="N4" s="49"/>
    </row>
    <row r="5" spans="1:14" ht="15.6" x14ac:dyDescent="0.3">
      <c r="A5" s="49" t="s">
        <v>451</v>
      </c>
      <c r="B5" s="49"/>
      <c r="C5" s="49"/>
      <c r="D5" s="49"/>
      <c r="E5" s="49"/>
      <c r="F5" s="49"/>
      <c r="G5" s="49"/>
      <c r="H5" s="49"/>
      <c r="I5" s="49"/>
      <c r="J5" s="49"/>
      <c r="K5" s="49"/>
      <c r="L5" s="49"/>
      <c r="M5" s="49"/>
      <c r="N5" s="49"/>
    </row>
    <row r="8" spans="1:14" ht="21" x14ac:dyDescent="0.4">
      <c r="G8" s="50" t="s">
        <v>452</v>
      </c>
      <c r="H8" s="51"/>
    </row>
    <row r="10" spans="1:14" x14ac:dyDescent="0.3">
      <c r="G10" s="52" t="s">
        <v>1</v>
      </c>
      <c r="H10" s="52" t="s">
        <v>453</v>
      </c>
    </row>
    <row r="11" spans="1:14" x14ac:dyDescent="0.3">
      <c r="G11" s="1" t="s">
        <v>14</v>
      </c>
      <c r="H11" s="1" t="s">
        <v>454</v>
      </c>
    </row>
    <row r="12" spans="1:14" x14ac:dyDescent="0.3">
      <c r="G12" s="1" t="s">
        <v>455</v>
      </c>
      <c r="H12" s="1" t="s">
        <v>456</v>
      </c>
    </row>
    <row r="13" spans="1:14" x14ac:dyDescent="0.3">
      <c r="G13" s="1" t="s">
        <v>28</v>
      </c>
      <c r="H13" s="1" t="s">
        <v>457</v>
      </c>
    </row>
    <row r="14" spans="1:14" x14ac:dyDescent="0.3">
      <c r="G14" s="1" t="s">
        <v>35</v>
      </c>
      <c r="H14" s="1" t="s">
        <v>458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089F1-30A8-4D42-A552-ED4AD643E17A}">
  <sheetPr codeName="Sheet13"/>
  <dimension ref="C5:R17"/>
  <sheetViews>
    <sheetView workbookViewId="0">
      <selection activeCell="Q2" sqref="Q2"/>
    </sheetView>
  </sheetViews>
  <sheetFormatPr defaultRowHeight="14.4" x14ac:dyDescent="0.3"/>
  <cols>
    <col min="1" max="1" width="16" bestFit="1" customWidth="1"/>
    <col min="2" max="2" width="25.21875" bestFit="1" customWidth="1"/>
    <col min="3" max="3" width="16" bestFit="1" customWidth="1"/>
    <col min="4" max="4" width="25.21875" bestFit="1" customWidth="1"/>
    <col min="18" max="18" width="13.44140625" customWidth="1"/>
  </cols>
  <sheetData>
    <row r="5" spans="3:18" ht="18" x14ac:dyDescent="0.35">
      <c r="C5" s="54" t="s">
        <v>459</v>
      </c>
      <c r="D5" s="55"/>
      <c r="E5" s="55"/>
      <c r="F5" s="55"/>
      <c r="G5" s="55"/>
      <c r="H5" s="55"/>
      <c r="I5" s="55"/>
      <c r="J5" s="55"/>
      <c r="K5" s="55"/>
      <c r="L5" s="55"/>
      <c r="M5" s="55"/>
      <c r="N5" s="55"/>
      <c r="O5" s="56"/>
      <c r="P5" s="57"/>
      <c r="Q5" s="58"/>
      <c r="R5" s="58"/>
    </row>
    <row r="13" spans="3:18" x14ac:dyDescent="0.3">
      <c r="C13" s="17" t="s">
        <v>362</v>
      </c>
      <c r="D13" s="1" t="s">
        <v>364</v>
      </c>
    </row>
    <row r="14" spans="3:18" x14ac:dyDescent="0.3">
      <c r="C14" s="18" t="s">
        <v>32</v>
      </c>
      <c r="D14" s="53">
        <v>0.15203855581054102</v>
      </c>
    </row>
    <row r="15" spans="3:18" x14ac:dyDescent="0.3">
      <c r="C15" s="20" t="s">
        <v>26</v>
      </c>
      <c r="D15" s="15">
        <v>0.14399918848283899</v>
      </c>
    </row>
    <row r="16" spans="3:18" x14ac:dyDescent="0.3">
      <c r="C16" s="20" t="s">
        <v>21</v>
      </c>
      <c r="D16" s="15">
        <v>0.14125279041043609</v>
      </c>
    </row>
    <row r="17" spans="3:4" x14ac:dyDescent="0.3">
      <c r="C17" s="20" t="s">
        <v>17</v>
      </c>
      <c r="D17" s="15">
        <v>0.12925933904631151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DFFD5-E6C3-435D-8242-7CADF5A7F5CD}">
  <sheetPr codeName="Sheet14"/>
  <dimension ref="A1:O901"/>
  <sheetViews>
    <sheetView workbookViewId="0">
      <selection activeCell="E16" sqref="E16"/>
    </sheetView>
  </sheetViews>
  <sheetFormatPr defaultRowHeight="14.4" x14ac:dyDescent="0.3"/>
  <cols>
    <col min="1" max="1" width="9.109375" bestFit="1" customWidth="1"/>
    <col min="2" max="2" width="10.5546875" bestFit="1" customWidth="1"/>
    <col min="3" max="3" width="10.33203125" bestFit="1" customWidth="1"/>
    <col min="4" max="4" width="14.5546875" bestFit="1" customWidth="1"/>
    <col min="5" max="5" width="37" bestFit="1" customWidth="1"/>
    <col min="6" max="6" width="7.33203125" bestFit="1" customWidth="1"/>
    <col min="7" max="7" width="8.77734375" bestFit="1" customWidth="1"/>
    <col min="8" max="8" width="12.33203125" bestFit="1" customWidth="1"/>
    <col min="9" max="9" width="13.21875" bestFit="1" customWidth="1"/>
    <col min="10" max="10" width="8.33203125" bestFit="1" customWidth="1"/>
    <col min="11" max="11" width="7.88671875" bestFit="1" customWidth="1"/>
    <col min="12" max="12" width="17.77734375" bestFit="1" customWidth="1"/>
    <col min="13" max="13" width="17.6640625" bestFit="1" customWidth="1"/>
    <col min="14" max="14" width="12.88671875" bestFit="1" customWidth="1"/>
    <col min="15" max="15" width="20.21875" bestFit="1" customWidth="1"/>
  </cols>
  <sheetData>
    <row r="1" spans="1:15" x14ac:dyDescent="0.3">
      <c r="A1" t="s">
        <v>0</v>
      </c>
      <c r="B1" t="s">
        <v>1</v>
      </c>
      <c r="C1" t="s">
        <v>2</v>
      </c>
      <c r="D1" t="s">
        <v>3</v>
      </c>
      <c r="E1" t="s">
        <v>4</v>
      </c>
      <c r="F1" t="s">
        <v>5</v>
      </c>
      <c r="G1" t="s">
        <v>6</v>
      </c>
      <c r="H1" t="s">
        <v>7</v>
      </c>
      <c r="I1" t="s">
        <v>8</v>
      </c>
      <c r="J1" t="s">
        <v>9</v>
      </c>
      <c r="K1" t="s">
        <v>10</v>
      </c>
      <c r="L1" t="s">
        <v>12</v>
      </c>
      <c r="M1" t="s">
        <v>361</v>
      </c>
      <c r="N1" t="s">
        <v>372</v>
      </c>
      <c r="O1" t="s">
        <v>373</v>
      </c>
    </row>
    <row r="2" spans="1:15" x14ac:dyDescent="0.3">
      <c r="A2" t="s">
        <v>13</v>
      </c>
      <c r="B2" t="s">
        <v>14</v>
      </c>
      <c r="C2" s="2">
        <v>45649</v>
      </c>
      <c r="D2" t="s">
        <v>15</v>
      </c>
      <c r="E2" t="s">
        <v>16</v>
      </c>
      <c r="F2">
        <v>1461</v>
      </c>
      <c r="G2">
        <v>184</v>
      </c>
      <c r="H2">
        <v>344</v>
      </c>
      <c r="I2">
        <v>21915</v>
      </c>
      <c r="J2">
        <v>21675</v>
      </c>
      <c r="K2">
        <v>15</v>
      </c>
      <c r="L2" t="s">
        <v>17</v>
      </c>
      <c r="M2">
        <v>9.0759753593429152E-2</v>
      </c>
      <c r="N2" t="s">
        <v>11</v>
      </c>
      <c r="O2" t="s">
        <v>48</v>
      </c>
    </row>
    <row r="3" spans="1:15" x14ac:dyDescent="0.3">
      <c r="A3" t="s">
        <v>13</v>
      </c>
      <c r="B3" t="s">
        <v>14</v>
      </c>
      <c r="C3" s="2">
        <v>45649</v>
      </c>
      <c r="D3" t="s">
        <v>15</v>
      </c>
      <c r="E3" t="s">
        <v>16</v>
      </c>
      <c r="F3">
        <v>1461</v>
      </c>
      <c r="G3">
        <v>184</v>
      </c>
      <c r="H3">
        <v>344</v>
      </c>
      <c r="I3">
        <v>21915</v>
      </c>
      <c r="J3">
        <v>21675</v>
      </c>
      <c r="K3">
        <v>15</v>
      </c>
      <c r="L3" t="s">
        <v>17</v>
      </c>
      <c r="M3">
        <v>9.0759753593429152E-2</v>
      </c>
      <c r="N3" t="s">
        <v>357</v>
      </c>
      <c r="O3" t="s">
        <v>354</v>
      </c>
    </row>
    <row r="4" spans="1:15" x14ac:dyDescent="0.3">
      <c r="A4" t="s">
        <v>13</v>
      </c>
      <c r="B4" t="s">
        <v>14</v>
      </c>
      <c r="C4" s="2">
        <v>45649</v>
      </c>
      <c r="D4" t="s">
        <v>15</v>
      </c>
      <c r="E4" t="s">
        <v>16</v>
      </c>
      <c r="F4">
        <v>1461</v>
      </c>
      <c r="G4">
        <v>184</v>
      </c>
      <c r="H4">
        <v>344</v>
      </c>
      <c r="I4">
        <v>21915</v>
      </c>
      <c r="J4">
        <v>21675</v>
      </c>
      <c r="K4">
        <v>15</v>
      </c>
      <c r="L4" t="s">
        <v>17</v>
      </c>
      <c r="M4">
        <v>9.0759753593429152E-2</v>
      </c>
      <c r="N4" t="s">
        <v>358</v>
      </c>
      <c r="O4" t="s">
        <v>359</v>
      </c>
    </row>
    <row r="5" spans="1:15" x14ac:dyDescent="0.3">
      <c r="A5" t="s">
        <v>18</v>
      </c>
      <c r="B5" t="s">
        <v>14</v>
      </c>
      <c r="C5" s="2">
        <v>45750</v>
      </c>
      <c r="D5" t="s">
        <v>19</v>
      </c>
      <c r="E5" t="s">
        <v>20</v>
      </c>
      <c r="F5">
        <v>4054</v>
      </c>
      <c r="G5">
        <v>389</v>
      </c>
      <c r="H5">
        <v>493</v>
      </c>
      <c r="I5">
        <v>64864</v>
      </c>
      <c r="J5">
        <v>64383</v>
      </c>
      <c r="K5">
        <v>117</v>
      </c>
      <c r="L5" t="s">
        <v>21</v>
      </c>
      <c r="M5">
        <v>7.6097681302417369E-2</v>
      </c>
      <c r="N5" t="s">
        <v>11</v>
      </c>
      <c r="O5" t="s">
        <v>25</v>
      </c>
    </row>
    <row r="6" spans="1:15" x14ac:dyDescent="0.3">
      <c r="A6" t="s">
        <v>18</v>
      </c>
      <c r="B6" t="s">
        <v>14</v>
      </c>
      <c r="C6" s="2">
        <v>45750</v>
      </c>
      <c r="D6" t="s">
        <v>19</v>
      </c>
      <c r="E6" t="s">
        <v>20</v>
      </c>
      <c r="F6">
        <v>4054</v>
      </c>
      <c r="G6">
        <v>389</v>
      </c>
      <c r="H6">
        <v>493</v>
      </c>
      <c r="I6">
        <v>64864</v>
      </c>
      <c r="J6">
        <v>64383</v>
      </c>
      <c r="K6">
        <v>117</v>
      </c>
      <c r="L6" t="s">
        <v>21</v>
      </c>
      <c r="M6">
        <v>7.6097681302417369E-2</v>
      </c>
      <c r="N6" t="s">
        <v>357</v>
      </c>
      <c r="O6" t="s">
        <v>355</v>
      </c>
    </row>
    <row r="7" spans="1:15" x14ac:dyDescent="0.3">
      <c r="A7" t="s">
        <v>18</v>
      </c>
      <c r="B7" t="s">
        <v>14</v>
      </c>
      <c r="C7" s="2">
        <v>45750</v>
      </c>
      <c r="D7" t="s">
        <v>19</v>
      </c>
      <c r="E7" t="s">
        <v>20</v>
      </c>
      <c r="F7">
        <v>4054</v>
      </c>
      <c r="G7">
        <v>389</v>
      </c>
      <c r="H7">
        <v>493</v>
      </c>
      <c r="I7">
        <v>64864</v>
      </c>
      <c r="J7">
        <v>64383</v>
      </c>
      <c r="K7">
        <v>117</v>
      </c>
      <c r="L7" t="s">
        <v>21</v>
      </c>
      <c r="M7">
        <v>7.6097681302417369E-2</v>
      </c>
      <c r="N7" t="s">
        <v>358</v>
      </c>
      <c r="O7" t="s">
        <v>359</v>
      </c>
    </row>
    <row r="8" spans="1:15" x14ac:dyDescent="0.3">
      <c r="A8" t="s">
        <v>22</v>
      </c>
      <c r="B8" t="s">
        <v>23</v>
      </c>
      <c r="C8" s="2">
        <v>45789</v>
      </c>
      <c r="D8" t="s">
        <v>15</v>
      </c>
      <c r="E8" t="s">
        <v>24</v>
      </c>
      <c r="F8">
        <v>2795</v>
      </c>
      <c r="G8">
        <v>105</v>
      </c>
      <c r="H8">
        <v>49</v>
      </c>
      <c r="I8">
        <v>53105</v>
      </c>
      <c r="J8">
        <v>52307</v>
      </c>
      <c r="K8">
        <v>204</v>
      </c>
      <c r="L8" t="s">
        <v>26</v>
      </c>
      <c r="M8">
        <v>5.5531494209584788E-2</v>
      </c>
      <c r="N8" t="s">
        <v>11</v>
      </c>
      <c r="O8" t="s">
        <v>25</v>
      </c>
    </row>
    <row r="9" spans="1:15" x14ac:dyDescent="0.3">
      <c r="A9" t="s">
        <v>22</v>
      </c>
      <c r="B9" t="s">
        <v>23</v>
      </c>
      <c r="C9" s="2">
        <v>45789</v>
      </c>
      <c r="D9" t="s">
        <v>15</v>
      </c>
      <c r="E9" t="s">
        <v>24</v>
      </c>
      <c r="F9">
        <v>2795</v>
      </c>
      <c r="G9">
        <v>105</v>
      </c>
      <c r="H9">
        <v>49</v>
      </c>
      <c r="I9">
        <v>53105</v>
      </c>
      <c r="J9">
        <v>52307</v>
      </c>
      <c r="K9">
        <v>204</v>
      </c>
      <c r="L9" t="s">
        <v>26</v>
      </c>
      <c r="M9">
        <v>5.5531494209584788E-2</v>
      </c>
      <c r="N9" t="s">
        <v>357</v>
      </c>
      <c r="O9" t="s">
        <v>359</v>
      </c>
    </row>
    <row r="10" spans="1:15" x14ac:dyDescent="0.3">
      <c r="A10" t="s">
        <v>22</v>
      </c>
      <c r="B10" t="s">
        <v>23</v>
      </c>
      <c r="C10" s="2">
        <v>45789</v>
      </c>
      <c r="D10" t="s">
        <v>15</v>
      </c>
      <c r="E10" t="s">
        <v>24</v>
      </c>
      <c r="F10">
        <v>2795</v>
      </c>
      <c r="G10">
        <v>105</v>
      </c>
      <c r="H10">
        <v>49</v>
      </c>
      <c r="I10">
        <v>53105</v>
      </c>
      <c r="J10">
        <v>52307</v>
      </c>
      <c r="K10">
        <v>204</v>
      </c>
      <c r="L10" t="s">
        <v>26</v>
      </c>
      <c r="M10">
        <v>5.5531494209584788E-2</v>
      </c>
      <c r="N10" t="s">
        <v>358</v>
      </c>
      <c r="O10" t="s">
        <v>359</v>
      </c>
    </row>
    <row r="11" spans="1:15" x14ac:dyDescent="0.3">
      <c r="A11" t="s">
        <v>27</v>
      </c>
      <c r="B11" t="s">
        <v>28</v>
      </c>
      <c r="C11" s="2">
        <v>45516</v>
      </c>
      <c r="D11" t="s">
        <v>29</v>
      </c>
      <c r="E11" t="s">
        <v>30</v>
      </c>
      <c r="F11">
        <v>2404</v>
      </c>
      <c r="G11">
        <v>363</v>
      </c>
      <c r="H11">
        <v>138</v>
      </c>
      <c r="I11">
        <v>19232</v>
      </c>
      <c r="J11">
        <v>18636</v>
      </c>
      <c r="K11">
        <v>128</v>
      </c>
      <c r="L11" t="s">
        <v>32</v>
      </c>
      <c r="M11">
        <v>0.15105033277870217</v>
      </c>
      <c r="N11" t="s">
        <v>11</v>
      </c>
      <c r="O11" t="s">
        <v>31</v>
      </c>
    </row>
    <row r="12" spans="1:15" x14ac:dyDescent="0.3">
      <c r="A12" t="s">
        <v>27</v>
      </c>
      <c r="B12" t="s">
        <v>28</v>
      </c>
      <c r="C12" s="2">
        <v>45516</v>
      </c>
      <c r="D12" t="s">
        <v>29</v>
      </c>
      <c r="E12" t="s">
        <v>30</v>
      </c>
      <c r="F12">
        <v>2404</v>
      </c>
      <c r="G12">
        <v>363</v>
      </c>
      <c r="H12">
        <v>138</v>
      </c>
      <c r="I12">
        <v>19232</v>
      </c>
      <c r="J12">
        <v>18636</v>
      </c>
      <c r="K12">
        <v>128</v>
      </c>
      <c r="L12" t="s">
        <v>32</v>
      </c>
      <c r="M12">
        <v>0.15105033277870217</v>
      </c>
      <c r="N12" t="s">
        <v>357</v>
      </c>
      <c r="O12" t="s">
        <v>359</v>
      </c>
    </row>
    <row r="13" spans="1:15" x14ac:dyDescent="0.3">
      <c r="A13" t="s">
        <v>27</v>
      </c>
      <c r="B13" t="s">
        <v>28</v>
      </c>
      <c r="C13" s="2">
        <v>45516</v>
      </c>
      <c r="D13" t="s">
        <v>29</v>
      </c>
      <c r="E13" t="s">
        <v>30</v>
      </c>
      <c r="F13">
        <v>2404</v>
      </c>
      <c r="G13">
        <v>363</v>
      </c>
      <c r="H13">
        <v>138</v>
      </c>
      <c r="I13">
        <v>19232</v>
      </c>
      <c r="J13">
        <v>18636</v>
      </c>
      <c r="K13">
        <v>128</v>
      </c>
      <c r="L13" t="s">
        <v>32</v>
      </c>
      <c r="M13">
        <v>0.15105033277870217</v>
      </c>
      <c r="N13" t="s">
        <v>358</v>
      </c>
      <c r="O13" t="s">
        <v>359</v>
      </c>
    </row>
    <row r="14" spans="1:15" x14ac:dyDescent="0.3">
      <c r="A14" t="s">
        <v>33</v>
      </c>
      <c r="B14" t="s">
        <v>23</v>
      </c>
      <c r="C14" s="2">
        <v>45469</v>
      </c>
      <c r="D14" t="s">
        <v>15</v>
      </c>
      <c r="E14" t="s">
        <v>24</v>
      </c>
      <c r="F14">
        <v>3557</v>
      </c>
      <c r="G14">
        <v>687</v>
      </c>
      <c r="H14">
        <v>424</v>
      </c>
      <c r="I14">
        <v>71140</v>
      </c>
      <c r="J14">
        <v>70701</v>
      </c>
      <c r="K14">
        <v>224</v>
      </c>
      <c r="L14" t="s">
        <v>17</v>
      </c>
      <c r="M14">
        <v>6.5617093055946027E-2</v>
      </c>
      <c r="N14" t="s">
        <v>11</v>
      </c>
      <c r="O14" t="s">
        <v>31</v>
      </c>
    </row>
    <row r="15" spans="1:15" x14ac:dyDescent="0.3">
      <c r="A15" t="s">
        <v>33</v>
      </c>
      <c r="B15" t="s">
        <v>23</v>
      </c>
      <c r="C15" s="2">
        <v>45469</v>
      </c>
      <c r="D15" t="s">
        <v>15</v>
      </c>
      <c r="E15" t="s">
        <v>24</v>
      </c>
      <c r="F15">
        <v>3557</v>
      </c>
      <c r="G15">
        <v>687</v>
      </c>
      <c r="H15">
        <v>424</v>
      </c>
      <c r="I15">
        <v>71140</v>
      </c>
      <c r="J15">
        <v>70701</v>
      </c>
      <c r="K15">
        <v>224</v>
      </c>
      <c r="L15" t="s">
        <v>17</v>
      </c>
      <c r="M15">
        <v>6.5617093055946027E-2</v>
      </c>
      <c r="N15" t="s">
        <v>357</v>
      </c>
      <c r="O15" t="s">
        <v>25</v>
      </c>
    </row>
    <row r="16" spans="1:15" x14ac:dyDescent="0.3">
      <c r="A16" t="s">
        <v>33</v>
      </c>
      <c r="B16" t="s">
        <v>23</v>
      </c>
      <c r="C16" s="2">
        <v>45469</v>
      </c>
      <c r="D16" t="s">
        <v>15</v>
      </c>
      <c r="E16" t="s">
        <v>24</v>
      </c>
      <c r="F16">
        <v>3557</v>
      </c>
      <c r="G16">
        <v>687</v>
      </c>
      <c r="H16">
        <v>424</v>
      </c>
      <c r="I16">
        <v>71140</v>
      </c>
      <c r="J16">
        <v>70701</v>
      </c>
      <c r="K16">
        <v>224</v>
      </c>
      <c r="L16" t="s">
        <v>17</v>
      </c>
      <c r="M16">
        <v>6.5617093055946027E-2</v>
      </c>
      <c r="N16" t="s">
        <v>358</v>
      </c>
      <c r="O16" t="s">
        <v>359</v>
      </c>
    </row>
    <row r="17" spans="1:15" x14ac:dyDescent="0.3">
      <c r="A17" t="s">
        <v>34</v>
      </c>
      <c r="B17" t="s">
        <v>35</v>
      </c>
      <c r="C17" s="2">
        <v>45596</v>
      </c>
      <c r="D17" t="s">
        <v>36</v>
      </c>
      <c r="E17" t="s">
        <v>37</v>
      </c>
      <c r="F17">
        <v>2945</v>
      </c>
      <c r="G17">
        <v>930</v>
      </c>
      <c r="H17">
        <v>355</v>
      </c>
      <c r="I17">
        <v>23560</v>
      </c>
      <c r="J17">
        <v>23275</v>
      </c>
      <c r="K17">
        <v>256</v>
      </c>
      <c r="L17" t="s">
        <v>21</v>
      </c>
      <c r="M17">
        <v>0.17954159592529711</v>
      </c>
      <c r="N17" t="s">
        <v>11</v>
      </c>
      <c r="O17" t="s">
        <v>25</v>
      </c>
    </row>
    <row r="18" spans="1:15" x14ac:dyDescent="0.3">
      <c r="A18" t="s">
        <v>34</v>
      </c>
      <c r="B18" t="s">
        <v>35</v>
      </c>
      <c r="C18" s="2">
        <v>45596</v>
      </c>
      <c r="D18" t="s">
        <v>36</v>
      </c>
      <c r="E18" t="s">
        <v>37</v>
      </c>
      <c r="F18">
        <v>2945</v>
      </c>
      <c r="G18">
        <v>930</v>
      </c>
      <c r="H18">
        <v>355</v>
      </c>
      <c r="I18">
        <v>23560</v>
      </c>
      <c r="J18">
        <v>23275</v>
      </c>
      <c r="K18">
        <v>256</v>
      </c>
      <c r="L18" t="s">
        <v>21</v>
      </c>
      <c r="M18">
        <v>0.17954159592529711</v>
      </c>
      <c r="N18" t="s">
        <v>357</v>
      </c>
      <c r="O18" t="s">
        <v>359</v>
      </c>
    </row>
    <row r="19" spans="1:15" x14ac:dyDescent="0.3">
      <c r="A19" t="s">
        <v>34</v>
      </c>
      <c r="B19" t="s">
        <v>35</v>
      </c>
      <c r="C19" s="2">
        <v>45596</v>
      </c>
      <c r="D19" t="s">
        <v>36</v>
      </c>
      <c r="E19" t="s">
        <v>37</v>
      </c>
      <c r="F19">
        <v>2945</v>
      </c>
      <c r="G19">
        <v>930</v>
      </c>
      <c r="H19">
        <v>355</v>
      </c>
      <c r="I19">
        <v>23560</v>
      </c>
      <c r="J19">
        <v>23275</v>
      </c>
      <c r="K19">
        <v>256</v>
      </c>
      <c r="L19" t="s">
        <v>21</v>
      </c>
      <c r="M19">
        <v>0.17954159592529711</v>
      </c>
      <c r="N19" t="s">
        <v>358</v>
      </c>
      <c r="O19" t="s">
        <v>359</v>
      </c>
    </row>
    <row r="20" spans="1:15" x14ac:dyDescent="0.3">
      <c r="A20" t="s">
        <v>38</v>
      </c>
      <c r="B20" t="s">
        <v>14</v>
      </c>
      <c r="C20" s="2">
        <v>45467</v>
      </c>
      <c r="D20" t="s">
        <v>36</v>
      </c>
      <c r="E20" t="s">
        <v>39</v>
      </c>
      <c r="F20">
        <v>3860</v>
      </c>
      <c r="G20">
        <v>201</v>
      </c>
      <c r="H20">
        <v>279</v>
      </c>
      <c r="I20">
        <v>61760</v>
      </c>
      <c r="J20">
        <v>61660</v>
      </c>
      <c r="K20">
        <v>235</v>
      </c>
      <c r="L20" t="s">
        <v>21</v>
      </c>
      <c r="M20">
        <v>7.0272020725388601E-2</v>
      </c>
      <c r="N20" t="s">
        <v>11</v>
      </c>
      <c r="O20" t="s">
        <v>25</v>
      </c>
    </row>
    <row r="21" spans="1:15" x14ac:dyDescent="0.3">
      <c r="A21" t="s">
        <v>38</v>
      </c>
      <c r="B21" t="s">
        <v>14</v>
      </c>
      <c r="C21" s="2">
        <v>45467</v>
      </c>
      <c r="D21" t="s">
        <v>36</v>
      </c>
      <c r="E21" t="s">
        <v>39</v>
      </c>
      <c r="F21">
        <v>3860</v>
      </c>
      <c r="G21">
        <v>201</v>
      </c>
      <c r="H21">
        <v>279</v>
      </c>
      <c r="I21">
        <v>61760</v>
      </c>
      <c r="J21">
        <v>61660</v>
      </c>
      <c r="K21">
        <v>235</v>
      </c>
      <c r="L21" t="s">
        <v>21</v>
      </c>
      <c r="M21">
        <v>7.0272020725388601E-2</v>
      </c>
      <c r="N21" t="s">
        <v>357</v>
      </c>
      <c r="O21" t="s">
        <v>359</v>
      </c>
    </row>
    <row r="22" spans="1:15" x14ac:dyDescent="0.3">
      <c r="A22" t="s">
        <v>38</v>
      </c>
      <c r="B22" t="s">
        <v>14</v>
      </c>
      <c r="C22" s="2">
        <v>45467</v>
      </c>
      <c r="D22" t="s">
        <v>36</v>
      </c>
      <c r="E22" t="s">
        <v>39</v>
      </c>
      <c r="F22">
        <v>3860</v>
      </c>
      <c r="G22">
        <v>201</v>
      </c>
      <c r="H22">
        <v>279</v>
      </c>
      <c r="I22">
        <v>61760</v>
      </c>
      <c r="J22">
        <v>61660</v>
      </c>
      <c r="K22">
        <v>235</v>
      </c>
      <c r="L22" t="s">
        <v>21</v>
      </c>
      <c r="M22">
        <v>7.0272020725388601E-2</v>
      </c>
      <c r="N22" t="s">
        <v>358</v>
      </c>
      <c r="O22" t="s">
        <v>359</v>
      </c>
    </row>
    <row r="23" spans="1:15" x14ac:dyDescent="0.3">
      <c r="A23" t="s">
        <v>40</v>
      </c>
      <c r="B23" t="s">
        <v>23</v>
      </c>
      <c r="C23" s="2">
        <v>45486</v>
      </c>
      <c r="D23" t="s">
        <v>41</v>
      </c>
      <c r="E23" t="s">
        <v>42</v>
      </c>
      <c r="F23">
        <v>3929</v>
      </c>
      <c r="G23">
        <v>262</v>
      </c>
      <c r="H23">
        <v>278</v>
      </c>
      <c r="I23">
        <v>43219</v>
      </c>
      <c r="J23">
        <v>42841</v>
      </c>
      <c r="K23">
        <v>39</v>
      </c>
      <c r="L23" t="s">
        <v>32</v>
      </c>
      <c r="M23">
        <v>0.10340359564080613</v>
      </c>
      <c r="N23" t="s">
        <v>11</v>
      </c>
      <c r="O23" t="s">
        <v>31</v>
      </c>
    </row>
    <row r="24" spans="1:15" x14ac:dyDescent="0.3">
      <c r="A24" t="s">
        <v>40</v>
      </c>
      <c r="B24" t="s">
        <v>23</v>
      </c>
      <c r="C24" s="2">
        <v>45486</v>
      </c>
      <c r="D24" t="s">
        <v>41</v>
      </c>
      <c r="E24" t="s">
        <v>42</v>
      </c>
      <c r="F24">
        <v>3929</v>
      </c>
      <c r="G24">
        <v>262</v>
      </c>
      <c r="H24">
        <v>278</v>
      </c>
      <c r="I24">
        <v>43219</v>
      </c>
      <c r="J24">
        <v>42841</v>
      </c>
      <c r="K24">
        <v>39</v>
      </c>
      <c r="L24" t="s">
        <v>32</v>
      </c>
      <c r="M24">
        <v>0.10340359564080613</v>
      </c>
      <c r="N24" t="s">
        <v>357</v>
      </c>
      <c r="O24" t="s">
        <v>359</v>
      </c>
    </row>
    <row r="25" spans="1:15" x14ac:dyDescent="0.3">
      <c r="A25" t="s">
        <v>40</v>
      </c>
      <c r="B25" t="s">
        <v>23</v>
      </c>
      <c r="C25" s="2">
        <v>45486</v>
      </c>
      <c r="D25" t="s">
        <v>41</v>
      </c>
      <c r="E25" t="s">
        <v>42</v>
      </c>
      <c r="F25">
        <v>3929</v>
      </c>
      <c r="G25">
        <v>262</v>
      </c>
      <c r="H25">
        <v>278</v>
      </c>
      <c r="I25">
        <v>43219</v>
      </c>
      <c r="J25">
        <v>42841</v>
      </c>
      <c r="K25">
        <v>39</v>
      </c>
      <c r="L25" t="s">
        <v>32</v>
      </c>
      <c r="M25">
        <v>0.10340359564080613</v>
      </c>
      <c r="N25" t="s">
        <v>358</v>
      </c>
      <c r="O25" t="s">
        <v>359</v>
      </c>
    </row>
    <row r="26" spans="1:15" x14ac:dyDescent="0.3">
      <c r="A26" t="s">
        <v>43</v>
      </c>
      <c r="B26" t="s">
        <v>35</v>
      </c>
      <c r="C26" s="2">
        <v>45534</v>
      </c>
      <c r="D26" t="s">
        <v>19</v>
      </c>
      <c r="E26" t="s">
        <v>44</v>
      </c>
      <c r="F26">
        <v>3784</v>
      </c>
      <c r="G26">
        <v>808</v>
      </c>
      <c r="H26">
        <v>404</v>
      </c>
      <c r="I26">
        <v>56760</v>
      </c>
      <c r="J26">
        <v>56343</v>
      </c>
      <c r="K26">
        <v>131</v>
      </c>
      <c r="L26" t="s">
        <v>21</v>
      </c>
      <c r="M26">
        <v>8.8019732205778717E-2</v>
      </c>
      <c r="N26" t="s">
        <v>11</v>
      </c>
      <c r="O26" t="s">
        <v>25</v>
      </c>
    </row>
    <row r="27" spans="1:15" x14ac:dyDescent="0.3">
      <c r="A27" t="s">
        <v>43</v>
      </c>
      <c r="B27" t="s">
        <v>35</v>
      </c>
      <c r="C27" s="2">
        <v>45534</v>
      </c>
      <c r="D27" t="s">
        <v>19</v>
      </c>
      <c r="E27" t="s">
        <v>44</v>
      </c>
      <c r="F27">
        <v>3784</v>
      </c>
      <c r="G27">
        <v>808</v>
      </c>
      <c r="H27">
        <v>404</v>
      </c>
      <c r="I27">
        <v>56760</v>
      </c>
      <c r="J27">
        <v>56343</v>
      </c>
      <c r="K27">
        <v>131</v>
      </c>
      <c r="L27" t="s">
        <v>21</v>
      </c>
      <c r="M27">
        <v>8.8019732205778717E-2</v>
      </c>
      <c r="N27" t="s">
        <v>357</v>
      </c>
      <c r="O27" t="s">
        <v>359</v>
      </c>
    </row>
    <row r="28" spans="1:15" x14ac:dyDescent="0.3">
      <c r="A28" t="s">
        <v>43</v>
      </c>
      <c r="B28" t="s">
        <v>35</v>
      </c>
      <c r="C28" s="2">
        <v>45534</v>
      </c>
      <c r="D28" t="s">
        <v>19</v>
      </c>
      <c r="E28" t="s">
        <v>44</v>
      </c>
      <c r="F28">
        <v>3784</v>
      </c>
      <c r="G28">
        <v>808</v>
      </c>
      <c r="H28">
        <v>404</v>
      </c>
      <c r="I28">
        <v>56760</v>
      </c>
      <c r="J28">
        <v>56343</v>
      </c>
      <c r="K28">
        <v>131</v>
      </c>
      <c r="L28" t="s">
        <v>21</v>
      </c>
      <c r="M28">
        <v>8.8019732205778717E-2</v>
      </c>
      <c r="N28" t="s">
        <v>358</v>
      </c>
      <c r="O28" t="s">
        <v>359</v>
      </c>
    </row>
    <row r="29" spans="1:15" x14ac:dyDescent="0.3">
      <c r="A29" t="s">
        <v>45</v>
      </c>
      <c r="B29" t="s">
        <v>35</v>
      </c>
      <c r="C29" s="2">
        <v>45727</v>
      </c>
      <c r="D29" t="s">
        <v>41</v>
      </c>
      <c r="E29" t="s">
        <v>46</v>
      </c>
      <c r="F29">
        <v>4241</v>
      </c>
      <c r="G29">
        <v>902</v>
      </c>
      <c r="H29">
        <v>47</v>
      </c>
      <c r="I29">
        <v>72097</v>
      </c>
      <c r="J29">
        <v>71598</v>
      </c>
      <c r="K29">
        <v>167</v>
      </c>
      <c r="L29" t="s">
        <v>21</v>
      </c>
      <c r="M29">
        <v>7.198635172059864E-2</v>
      </c>
      <c r="N29" t="s">
        <v>11</v>
      </c>
      <c r="O29" t="s">
        <v>25</v>
      </c>
    </row>
    <row r="30" spans="1:15" x14ac:dyDescent="0.3">
      <c r="A30" t="s">
        <v>45</v>
      </c>
      <c r="B30" t="s">
        <v>35</v>
      </c>
      <c r="C30" s="2">
        <v>45727</v>
      </c>
      <c r="D30" t="s">
        <v>41</v>
      </c>
      <c r="E30" t="s">
        <v>46</v>
      </c>
      <c r="F30">
        <v>4241</v>
      </c>
      <c r="G30">
        <v>902</v>
      </c>
      <c r="H30">
        <v>47</v>
      </c>
      <c r="I30">
        <v>72097</v>
      </c>
      <c r="J30">
        <v>71598</v>
      </c>
      <c r="K30">
        <v>167</v>
      </c>
      <c r="L30" t="s">
        <v>21</v>
      </c>
      <c r="M30">
        <v>7.198635172059864E-2</v>
      </c>
      <c r="N30" t="s">
        <v>357</v>
      </c>
      <c r="O30" t="s">
        <v>359</v>
      </c>
    </row>
    <row r="31" spans="1:15" x14ac:dyDescent="0.3">
      <c r="A31" t="s">
        <v>45</v>
      </c>
      <c r="B31" t="s">
        <v>35</v>
      </c>
      <c r="C31" s="2">
        <v>45727</v>
      </c>
      <c r="D31" t="s">
        <v>41</v>
      </c>
      <c r="E31" t="s">
        <v>46</v>
      </c>
      <c r="F31">
        <v>4241</v>
      </c>
      <c r="G31">
        <v>902</v>
      </c>
      <c r="H31">
        <v>47</v>
      </c>
      <c r="I31">
        <v>72097</v>
      </c>
      <c r="J31">
        <v>71598</v>
      </c>
      <c r="K31">
        <v>167</v>
      </c>
      <c r="L31" t="s">
        <v>21</v>
      </c>
      <c r="M31">
        <v>7.198635172059864E-2</v>
      </c>
      <c r="N31" t="s">
        <v>358</v>
      </c>
      <c r="O31" t="s">
        <v>359</v>
      </c>
    </row>
    <row r="32" spans="1:15" x14ac:dyDescent="0.3">
      <c r="A32" t="s">
        <v>47</v>
      </c>
      <c r="B32" t="s">
        <v>28</v>
      </c>
      <c r="C32" s="2">
        <v>45690</v>
      </c>
      <c r="D32" t="s">
        <v>29</v>
      </c>
      <c r="E32" t="s">
        <v>30</v>
      </c>
      <c r="F32">
        <v>1792</v>
      </c>
      <c r="G32">
        <v>614</v>
      </c>
      <c r="H32">
        <v>497</v>
      </c>
      <c r="I32">
        <v>25088</v>
      </c>
      <c r="J32">
        <v>24675</v>
      </c>
      <c r="K32">
        <v>65</v>
      </c>
      <c r="L32" t="s">
        <v>32</v>
      </c>
      <c r="M32">
        <v>0.11571269132653061</v>
      </c>
      <c r="N32" t="s">
        <v>11</v>
      </c>
      <c r="O32" t="s">
        <v>48</v>
      </c>
    </row>
    <row r="33" spans="1:15" x14ac:dyDescent="0.3">
      <c r="A33" t="s">
        <v>47</v>
      </c>
      <c r="B33" t="s">
        <v>28</v>
      </c>
      <c r="C33" s="2">
        <v>45690</v>
      </c>
      <c r="D33" t="s">
        <v>29</v>
      </c>
      <c r="E33" t="s">
        <v>30</v>
      </c>
      <c r="F33">
        <v>1792</v>
      </c>
      <c r="G33">
        <v>614</v>
      </c>
      <c r="H33">
        <v>497</v>
      </c>
      <c r="I33">
        <v>25088</v>
      </c>
      <c r="J33">
        <v>24675</v>
      </c>
      <c r="K33">
        <v>65</v>
      </c>
      <c r="L33" t="s">
        <v>32</v>
      </c>
      <c r="M33">
        <v>0.11571269132653061</v>
      </c>
      <c r="N33" t="s">
        <v>357</v>
      </c>
      <c r="O33" t="s">
        <v>359</v>
      </c>
    </row>
    <row r="34" spans="1:15" x14ac:dyDescent="0.3">
      <c r="A34" t="s">
        <v>47</v>
      </c>
      <c r="B34" t="s">
        <v>28</v>
      </c>
      <c r="C34" s="2">
        <v>45690</v>
      </c>
      <c r="D34" t="s">
        <v>29</v>
      </c>
      <c r="E34" t="s">
        <v>30</v>
      </c>
      <c r="F34">
        <v>1792</v>
      </c>
      <c r="G34">
        <v>614</v>
      </c>
      <c r="H34">
        <v>497</v>
      </c>
      <c r="I34">
        <v>25088</v>
      </c>
      <c r="J34">
        <v>24675</v>
      </c>
      <c r="K34">
        <v>65</v>
      </c>
      <c r="L34" t="s">
        <v>32</v>
      </c>
      <c r="M34">
        <v>0.11571269132653061</v>
      </c>
      <c r="N34" t="s">
        <v>358</v>
      </c>
      <c r="O34" t="s">
        <v>359</v>
      </c>
    </row>
    <row r="35" spans="1:15" x14ac:dyDescent="0.3">
      <c r="A35" t="s">
        <v>49</v>
      </c>
      <c r="B35" t="s">
        <v>35</v>
      </c>
      <c r="C35" s="2">
        <v>45494</v>
      </c>
      <c r="D35" t="s">
        <v>15</v>
      </c>
      <c r="E35" t="s">
        <v>50</v>
      </c>
      <c r="F35">
        <v>1946</v>
      </c>
      <c r="G35">
        <v>686</v>
      </c>
      <c r="H35">
        <v>377</v>
      </c>
      <c r="I35">
        <v>23352</v>
      </c>
      <c r="J35">
        <v>22982</v>
      </c>
      <c r="K35">
        <v>213</v>
      </c>
      <c r="L35" t="s">
        <v>26</v>
      </c>
      <c r="M35">
        <v>0.12885405960945528</v>
      </c>
      <c r="N35" t="s">
        <v>11</v>
      </c>
      <c r="O35" t="s">
        <v>48</v>
      </c>
    </row>
    <row r="36" spans="1:15" x14ac:dyDescent="0.3">
      <c r="A36" t="s">
        <v>49</v>
      </c>
      <c r="B36" t="s">
        <v>35</v>
      </c>
      <c r="C36" s="2">
        <v>45494</v>
      </c>
      <c r="D36" t="s">
        <v>15</v>
      </c>
      <c r="E36" t="s">
        <v>50</v>
      </c>
      <c r="F36">
        <v>1946</v>
      </c>
      <c r="G36">
        <v>686</v>
      </c>
      <c r="H36">
        <v>377</v>
      </c>
      <c r="I36">
        <v>23352</v>
      </c>
      <c r="J36">
        <v>22982</v>
      </c>
      <c r="K36">
        <v>213</v>
      </c>
      <c r="L36" t="s">
        <v>26</v>
      </c>
      <c r="M36">
        <v>0.12885405960945528</v>
      </c>
      <c r="N36" t="s">
        <v>357</v>
      </c>
      <c r="O36" t="s">
        <v>359</v>
      </c>
    </row>
    <row r="37" spans="1:15" x14ac:dyDescent="0.3">
      <c r="A37" t="s">
        <v>49</v>
      </c>
      <c r="B37" t="s">
        <v>35</v>
      </c>
      <c r="C37" s="2">
        <v>45494</v>
      </c>
      <c r="D37" t="s">
        <v>15</v>
      </c>
      <c r="E37" t="s">
        <v>50</v>
      </c>
      <c r="F37">
        <v>1946</v>
      </c>
      <c r="G37">
        <v>686</v>
      </c>
      <c r="H37">
        <v>377</v>
      </c>
      <c r="I37">
        <v>23352</v>
      </c>
      <c r="J37">
        <v>22982</v>
      </c>
      <c r="K37">
        <v>213</v>
      </c>
      <c r="L37" t="s">
        <v>26</v>
      </c>
      <c r="M37">
        <v>0.12885405960945528</v>
      </c>
      <c r="N37" t="s">
        <v>358</v>
      </c>
      <c r="O37" t="s">
        <v>359</v>
      </c>
    </row>
    <row r="38" spans="1:15" x14ac:dyDescent="0.3">
      <c r="A38" t="s">
        <v>51</v>
      </c>
      <c r="B38" t="s">
        <v>23</v>
      </c>
      <c r="C38" s="2">
        <v>45614</v>
      </c>
      <c r="D38" t="s">
        <v>36</v>
      </c>
      <c r="E38" t="s">
        <v>52</v>
      </c>
      <c r="F38">
        <v>1171</v>
      </c>
      <c r="G38">
        <v>286</v>
      </c>
      <c r="H38">
        <v>231</v>
      </c>
      <c r="I38">
        <v>22249</v>
      </c>
      <c r="J38">
        <v>21282</v>
      </c>
      <c r="K38">
        <v>114</v>
      </c>
      <c r="L38" t="s">
        <v>17</v>
      </c>
      <c r="M38">
        <v>7.5868578363072495E-2</v>
      </c>
      <c r="N38" t="s">
        <v>11</v>
      </c>
      <c r="O38" t="s">
        <v>31</v>
      </c>
    </row>
    <row r="39" spans="1:15" x14ac:dyDescent="0.3">
      <c r="A39" t="s">
        <v>51</v>
      </c>
      <c r="B39" t="s">
        <v>23</v>
      </c>
      <c r="C39" s="2">
        <v>45614</v>
      </c>
      <c r="D39" t="s">
        <v>36</v>
      </c>
      <c r="E39" t="s">
        <v>52</v>
      </c>
      <c r="F39">
        <v>1171</v>
      </c>
      <c r="G39">
        <v>286</v>
      </c>
      <c r="H39">
        <v>231</v>
      </c>
      <c r="I39">
        <v>22249</v>
      </c>
      <c r="J39">
        <v>21282</v>
      </c>
      <c r="K39">
        <v>114</v>
      </c>
      <c r="L39" t="s">
        <v>17</v>
      </c>
      <c r="M39">
        <v>7.5868578363072495E-2</v>
      </c>
      <c r="N39" t="s">
        <v>357</v>
      </c>
      <c r="O39" t="s">
        <v>359</v>
      </c>
    </row>
    <row r="40" spans="1:15" x14ac:dyDescent="0.3">
      <c r="A40" t="s">
        <v>51</v>
      </c>
      <c r="B40" t="s">
        <v>23</v>
      </c>
      <c r="C40" s="2">
        <v>45614</v>
      </c>
      <c r="D40" t="s">
        <v>36</v>
      </c>
      <c r="E40" t="s">
        <v>52</v>
      </c>
      <c r="F40">
        <v>1171</v>
      </c>
      <c r="G40">
        <v>286</v>
      </c>
      <c r="H40">
        <v>231</v>
      </c>
      <c r="I40">
        <v>22249</v>
      </c>
      <c r="J40">
        <v>21282</v>
      </c>
      <c r="K40">
        <v>114</v>
      </c>
      <c r="L40" t="s">
        <v>17</v>
      </c>
      <c r="M40">
        <v>7.5868578363072495E-2</v>
      </c>
      <c r="N40" t="s">
        <v>358</v>
      </c>
      <c r="O40" t="s">
        <v>359</v>
      </c>
    </row>
    <row r="41" spans="1:15" x14ac:dyDescent="0.3">
      <c r="A41" t="s">
        <v>53</v>
      </c>
      <c r="B41" t="s">
        <v>35</v>
      </c>
      <c r="C41" s="2">
        <v>45704</v>
      </c>
      <c r="D41" t="s">
        <v>29</v>
      </c>
      <c r="E41" t="s">
        <v>54</v>
      </c>
      <c r="F41">
        <v>4242</v>
      </c>
      <c r="G41">
        <v>555</v>
      </c>
      <c r="H41">
        <v>131</v>
      </c>
      <c r="I41">
        <v>33936</v>
      </c>
      <c r="J41">
        <v>33802</v>
      </c>
      <c r="K41">
        <v>265</v>
      </c>
      <c r="L41" t="s">
        <v>360</v>
      </c>
      <c r="M41">
        <v>0.14521452145214522</v>
      </c>
      <c r="N41" t="s">
        <v>11</v>
      </c>
      <c r="O41" t="s">
        <v>48</v>
      </c>
    </row>
    <row r="42" spans="1:15" x14ac:dyDescent="0.3">
      <c r="A42" t="s">
        <v>53</v>
      </c>
      <c r="B42" t="s">
        <v>35</v>
      </c>
      <c r="C42" s="2">
        <v>45704</v>
      </c>
      <c r="D42" t="s">
        <v>29</v>
      </c>
      <c r="E42" t="s">
        <v>54</v>
      </c>
      <c r="F42">
        <v>4242</v>
      </c>
      <c r="G42">
        <v>555</v>
      </c>
      <c r="H42">
        <v>131</v>
      </c>
      <c r="I42">
        <v>33936</v>
      </c>
      <c r="J42">
        <v>33802</v>
      </c>
      <c r="K42">
        <v>265</v>
      </c>
      <c r="L42" t="s">
        <v>360</v>
      </c>
      <c r="M42">
        <v>0.14521452145214522</v>
      </c>
      <c r="N42" t="s">
        <v>357</v>
      </c>
      <c r="O42" t="s">
        <v>359</v>
      </c>
    </row>
    <row r="43" spans="1:15" x14ac:dyDescent="0.3">
      <c r="A43" t="s">
        <v>53</v>
      </c>
      <c r="B43" t="s">
        <v>35</v>
      </c>
      <c r="C43" s="2">
        <v>45704</v>
      </c>
      <c r="D43" t="s">
        <v>29</v>
      </c>
      <c r="E43" t="s">
        <v>54</v>
      </c>
      <c r="F43">
        <v>4242</v>
      </c>
      <c r="G43">
        <v>555</v>
      </c>
      <c r="H43">
        <v>131</v>
      </c>
      <c r="I43">
        <v>33936</v>
      </c>
      <c r="J43">
        <v>33802</v>
      </c>
      <c r="K43">
        <v>265</v>
      </c>
      <c r="L43" t="s">
        <v>360</v>
      </c>
      <c r="M43">
        <v>0.14521452145214522</v>
      </c>
      <c r="N43" t="s">
        <v>358</v>
      </c>
      <c r="O43" t="s">
        <v>359</v>
      </c>
    </row>
    <row r="44" spans="1:15" x14ac:dyDescent="0.3">
      <c r="A44" t="s">
        <v>55</v>
      </c>
      <c r="B44" t="s">
        <v>35</v>
      </c>
      <c r="C44" s="2">
        <v>45589</v>
      </c>
      <c r="D44" t="s">
        <v>56</v>
      </c>
      <c r="E44" t="s">
        <v>57</v>
      </c>
      <c r="F44">
        <v>3888</v>
      </c>
      <c r="G44">
        <v>604</v>
      </c>
      <c r="H44">
        <v>128</v>
      </c>
      <c r="I44">
        <v>77760</v>
      </c>
      <c r="J44">
        <v>77167</v>
      </c>
      <c r="K44">
        <v>20</v>
      </c>
      <c r="L44" t="s">
        <v>17</v>
      </c>
      <c r="M44">
        <v>5.941358024691358E-2</v>
      </c>
      <c r="N44" t="s">
        <v>11</v>
      </c>
      <c r="O44" t="s">
        <v>48</v>
      </c>
    </row>
    <row r="45" spans="1:15" x14ac:dyDescent="0.3">
      <c r="A45" t="s">
        <v>55</v>
      </c>
      <c r="B45" t="s">
        <v>35</v>
      </c>
      <c r="C45" s="2">
        <v>45589</v>
      </c>
      <c r="D45" t="s">
        <v>56</v>
      </c>
      <c r="E45" t="s">
        <v>57</v>
      </c>
      <c r="F45">
        <v>3888</v>
      </c>
      <c r="G45">
        <v>604</v>
      </c>
      <c r="H45">
        <v>128</v>
      </c>
      <c r="I45">
        <v>77760</v>
      </c>
      <c r="J45">
        <v>77167</v>
      </c>
      <c r="K45">
        <v>20</v>
      </c>
      <c r="L45" t="s">
        <v>17</v>
      </c>
      <c r="M45">
        <v>5.941358024691358E-2</v>
      </c>
      <c r="N45" t="s">
        <v>357</v>
      </c>
      <c r="O45" t="s">
        <v>359</v>
      </c>
    </row>
    <row r="46" spans="1:15" x14ac:dyDescent="0.3">
      <c r="A46" t="s">
        <v>55</v>
      </c>
      <c r="B46" t="s">
        <v>35</v>
      </c>
      <c r="C46" s="2">
        <v>45589</v>
      </c>
      <c r="D46" t="s">
        <v>56</v>
      </c>
      <c r="E46" t="s">
        <v>57</v>
      </c>
      <c r="F46">
        <v>3888</v>
      </c>
      <c r="G46">
        <v>604</v>
      </c>
      <c r="H46">
        <v>128</v>
      </c>
      <c r="I46">
        <v>77760</v>
      </c>
      <c r="J46">
        <v>77167</v>
      </c>
      <c r="K46">
        <v>20</v>
      </c>
      <c r="L46" t="s">
        <v>17</v>
      </c>
      <c r="M46">
        <v>5.941358024691358E-2</v>
      </c>
      <c r="N46" t="s">
        <v>358</v>
      </c>
      <c r="O46" t="s">
        <v>359</v>
      </c>
    </row>
    <row r="47" spans="1:15" x14ac:dyDescent="0.3">
      <c r="A47" t="s">
        <v>58</v>
      </c>
      <c r="B47" t="s">
        <v>35</v>
      </c>
      <c r="C47" s="2">
        <v>45530</v>
      </c>
      <c r="D47" t="s">
        <v>19</v>
      </c>
      <c r="E47" t="s">
        <v>44</v>
      </c>
      <c r="F47">
        <v>3452</v>
      </c>
      <c r="G47">
        <v>377</v>
      </c>
      <c r="H47">
        <v>360</v>
      </c>
      <c r="I47">
        <v>55232</v>
      </c>
      <c r="J47">
        <v>55075</v>
      </c>
      <c r="K47">
        <v>87</v>
      </c>
      <c r="L47" t="s">
        <v>26</v>
      </c>
      <c r="M47">
        <v>7.5843713789107758E-2</v>
      </c>
      <c r="N47" t="s">
        <v>11</v>
      </c>
      <c r="O47" t="s">
        <v>48</v>
      </c>
    </row>
    <row r="48" spans="1:15" x14ac:dyDescent="0.3">
      <c r="A48" t="s">
        <v>58</v>
      </c>
      <c r="B48" t="s">
        <v>35</v>
      </c>
      <c r="C48" s="2">
        <v>45530</v>
      </c>
      <c r="D48" t="s">
        <v>19</v>
      </c>
      <c r="E48" t="s">
        <v>44</v>
      </c>
      <c r="F48">
        <v>3452</v>
      </c>
      <c r="G48">
        <v>377</v>
      </c>
      <c r="H48">
        <v>360</v>
      </c>
      <c r="I48">
        <v>55232</v>
      </c>
      <c r="J48">
        <v>55075</v>
      </c>
      <c r="K48">
        <v>87</v>
      </c>
      <c r="L48" t="s">
        <v>26</v>
      </c>
      <c r="M48">
        <v>7.5843713789107758E-2</v>
      </c>
      <c r="N48" t="s">
        <v>357</v>
      </c>
      <c r="O48" t="s">
        <v>359</v>
      </c>
    </row>
    <row r="49" spans="1:15" x14ac:dyDescent="0.3">
      <c r="A49" t="s">
        <v>58</v>
      </c>
      <c r="B49" t="s">
        <v>35</v>
      </c>
      <c r="C49" s="2">
        <v>45530</v>
      </c>
      <c r="D49" t="s">
        <v>19</v>
      </c>
      <c r="E49" t="s">
        <v>44</v>
      </c>
      <c r="F49">
        <v>3452</v>
      </c>
      <c r="G49">
        <v>377</v>
      </c>
      <c r="H49">
        <v>360</v>
      </c>
      <c r="I49">
        <v>55232</v>
      </c>
      <c r="J49">
        <v>55075</v>
      </c>
      <c r="K49">
        <v>87</v>
      </c>
      <c r="L49" t="s">
        <v>26</v>
      </c>
      <c r="M49">
        <v>7.5843713789107758E-2</v>
      </c>
      <c r="N49" t="s">
        <v>358</v>
      </c>
      <c r="O49" t="s">
        <v>359</v>
      </c>
    </row>
    <row r="50" spans="1:15" x14ac:dyDescent="0.3">
      <c r="A50" t="s">
        <v>59</v>
      </c>
      <c r="B50" t="s">
        <v>35</v>
      </c>
      <c r="C50" s="2">
        <v>45782</v>
      </c>
      <c r="D50" t="s">
        <v>19</v>
      </c>
      <c r="E50" t="s">
        <v>44</v>
      </c>
      <c r="F50">
        <v>4441</v>
      </c>
      <c r="G50">
        <v>511</v>
      </c>
      <c r="H50">
        <v>70</v>
      </c>
      <c r="I50">
        <v>53292</v>
      </c>
      <c r="J50">
        <v>53082</v>
      </c>
      <c r="K50">
        <v>159</v>
      </c>
      <c r="L50" t="s">
        <v>32</v>
      </c>
      <c r="M50">
        <v>9.4235532537716729E-2</v>
      </c>
      <c r="N50" t="s">
        <v>11</v>
      </c>
      <c r="O50" t="s">
        <v>31</v>
      </c>
    </row>
    <row r="51" spans="1:15" x14ac:dyDescent="0.3">
      <c r="A51" t="s">
        <v>59</v>
      </c>
      <c r="B51" t="s">
        <v>35</v>
      </c>
      <c r="C51" s="2">
        <v>45782</v>
      </c>
      <c r="D51" t="s">
        <v>19</v>
      </c>
      <c r="E51" t="s">
        <v>44</v>
      </c>
      <c r="F51">
        <v>4441</v>
      </c>
      <c r="G51">
        <v>511</v>
      </c>
      <c r="H51">
        <v>70</v>
      </c>
      <c r="I51">
        <v>53292</v>
      </c>
      <c r="J51">
        <v>53082</v>
      </c>
      <c r="K51">
        <v>159</v>
      </c>
      <c r="L51" t="s">
        <v>32</v>
      </c>
      <c r="M51">
        <v>9.4235532537716729E-2</v>
      </c>
      <c r="N51" t="s">
        <v>357</v>
      </c>
      <c r="O51" t="s">
        <v>359</v>
      </c>
    </row>
    <row r="52" spans="1:15" x14ac:dyDescent="0.3">
      <c r="A52" t="s">
        <v>59</v>
      </c>
      <c r="B52" t="s">
        <v>35</v>
      </c>
      <c r="C52" s="2">
        <v>45782</v>
      </c>
      <c r="D52" t="s">
        <v>19</v>
      </c>
      <c r="E52" t="s">
        <v>44</v>
      </c>
      <c r="F52">
        <v>4441</v>
      </c>
      <c r="G52">
        <v>511</v>
      </c>
      <c r="H52">
        <v>70</v>
      </c>
      <c r="I52">
        <v>53292</v>
      </c>
      <c r="J52">
        <v>53082</v>
      </c>
      <c r="K52">
        <v>159</v>
      </c>
      <c r="L52" t="s">
        <v>32</v>
      </c>
      <c r="M52">
        <v>9.4235532537716729E-2</v>
      </c>
      <c r="N52" t="s">
        <v>358</v>
      </c>
      <c r="O52" t="s">
        <v>359</v>
      </c>
    </row>
    <row r="53" spans="1:15" x14ac:dyDescent="0.3">
      <c r="A53" t="s">
        <v>60</v>
      </c>
      <c r="B53" t="s">
        <v>28</v>
      </c>
      <c r="C53" s="2">
        <v>45523</v>
      </c>
      <c r="D53" t="s">
        <v>15</v>
      </c>
      <c r="E53" t="s">
        <v>61</v>
      </c>
      <c r="F53">
        <v>3000</v>
      </c>
      <c r="G53">
        <v>382</v>
      </c>
      <c r="H53">
        <v>325</v>
      </c>
      <c r="I53">
        <v>36000</v>
      </c>
      <c r="J53">
        <v>35819</v>
      </c>
      <c r="K53">
        <v>19</v>
      </c>
      <c r="L53" t="s">
        <v>17</v>
      </c>
      <c r="M53">
        <v>0.10297222222222223</v>
      </c>
      <c r="N53" t="s">
        <v>11</v>
      </c>
      <c r="O53" t="s">
        <v>48</v>
      </c>
    </row>
    <row r="54" spans="1:15" x14ac:dyDescent="0.3">
      <c r="A54" t="s">
        <v>60</v>
      </c>
      <c r="B54" t="s">
        <v>28</v>
      </c>
      <c r="C54" s="2">
        <v>45523</v>
      </c>
      <c r="D54" t="s">
        <v>15</v>
      </c>
      <c r="E54" t="s">
        <v>61</v>
      </c>
      <c r="F54">
        <v>3000</v>
      </c>
      <c r="G54">
        <v>382</v>
      </c>
      <c r="H54">
        <v>325</v>
      </c>
      <c r="I54">
        <v>36000</v>
      </c>
      <c r="J54">
        <v>35819</v>
      </c>
      <c r="K54">
        <v>19</v>
      </c>
      <c r="L54" t="s">
        <v>17</v>
      </c>
      <c r="M54">
        <v>0.10297222222222223</v>
      </c>
      <c r="N54" t="s">
        <v>357</v>
      </c>
      <c r="O54" t="s">
        <v>359</v>
      </c>
    </row>
    <row r="55" spans="1:15" x14ac:dyDescent="0.3">
      <c r="A55" t="s">
        <v>60</v>
      </c>
      <c r="B55" t="s">
        <v>28</v>
      </c>
      <c r="C55" s="2">
        <v>45523</v>
      </c>
      <c r="D55" t="s">
        <v>15</v>
      </c>
      <c r="E55" t="s">
        <v>61</v>
      </c>
      <c r="F55">
        <v>3000</v>
      </c>
      <c r="G55">
        <v>382</v>
      </c>
      <c r="H55">
        <v>325</v>
      </c>
      <c r="I55">
        <v>36000</v>
      </c>
      <c r="J55">
        <v>35819</v>
      </c>
      <c r="K55">
        <v>19</v>
      </c>
      <c r="L55" t="s">
        <v>17</v>
      </c>
      <c r="M55">
        <v>0.10297222222222223</v>
      </c>
      <c r="N55" t="s">
        <v>358</v>
      </c>
      <c r="O55" t="s">
        <v>359</v>
      </c>
    </row>
    <row r="56" spans="1:15" x14ac:dyDescent="0.3">
      <c r="A56" t="s">
        <v>62</v>
      </c>
      <c r="B56" t="s">
        <v>28</v>
      </c>
      <c r="C56" s="2">
        <v>45466</v>
      </c>
      <c r="D56" t="s">
        <v>56</v>
      </c>
      <c r="E56" t="s">
        <v>63</v>
      </c>
      <c r="F56">
        <v>1071</v>
      </c>
      <c r="G56">
        <v>519</v>
      </c>
      <c r="H56">
        <v>22</v>
      </c>
      <c r="I56">
        <v>16065</v>
      </c>
      <c r="J56">
        <v>15865</v>
      </c>
      <c r="K56">
        <v>103</v>
      </c>
      <c r="L56" t="s">
        <v>32</v>
      </c>
      <c r="M56">
        <v>0.10034235916588857</v>
      </c>
      <c r="N56" t="s">
        <v>11</v>
      </c>
      <c r="O56" t="s">
        <v>25</v>
      </c>
    </row>
    <row r="57" spans="1:15" x14ac:dyDescent="0.3">
      <c r="A57" t="s">
        <v>62</v>
      </c>
      <c r="B57" t="s">
        <v>28</v>
      </c>
      <c r="C57" s="2">
        <v>45466</v>
      </c>
      <c r="D57" t="s">
        <v>56</v>
      </c>
      <c r="E57" t="s">
        <v>63</v>
      </c>
      <c r="F57">
        <v>1071</v>
      </c>
      <c r="G57">
        <v>519</v>
      </c>
      <c r="H57">
        <v>22</v>
      </c>
      <c r="I57">
        <v>16065</v>
      </c>
      <c r="J57">
        <v>15865</v>
      </c>
      <c r="K57">
        <v>103</v>
      </c>
      <c r="L57" t="s">
        <v>32</v>
      </c>
      <c r="M57">
        <v>0.10034235916588857</v>
      </c>
      <c r="N57" t="s">
        <v>357</v>
      </c>
      <c r="O57" t="s">
        <v>359</v>
      </c>
    </row>
    <row r="58" spans="1:15" x14ac:dyDescent="0.3">
      <c r="A58" t="s">
        <v>62</v>
      </c>
      <c r="B58" t="s">
        <v>28</v>
      </c>
      <c r="C58" s="2">
        <v>45466</v>
      </c>
      <c r="D58" t="s">
        <v>56</v>
      </c>
      <c r="E58" t="s">
        <v>63</v>
      </c>
      <c r="F58">
        <v>1071</v>
      </c>
      <c r="G58">
        <v>519</v>
      </c>
      <c r="H58">
        <v>22</v>
      </c>
      <c r="I58">
        <v>16065</v>
      </c>
      <c r="J58">
        <v>15865</v>
      </c>
      <c r="K58">
        <v>103</v>
      </c>
      <c r="L58" t="s">
        <v>32</v>
      </c>
      <c r="M58">
        <v>0.10034235916588857</v>
      </c>
      <c r="N58" t="s">
        <v>358</v>
      </c>
      <c r="O58" t="s">
        <v>359</v>
      </c>
    </row>
    <row r="59" spans="1:15" x14ac:dyDescent="0.3">
      <c r="A59" t="s">
        <v>64</v>
      </c>
      <c r="B59" t="s">
        <v>28</v>
      </c>
      <c r="C59" s="2">
        <v>45544</v>
      </c>
      <c r="D59" t="s">
        <v>36</v>
      </c>
      <c r="E59" t="s">
        <v>65</v>
      </c>
      <c r="F59">
        <v>4054</v>
      </c>
      <c r="G59">
        <v>488</v>
      </c>
      <c r="H59">
        <v>373</v>
      </c>
      <c r="I59">
        <v>77026</v>
      </c>
      <c r="J59">
        <v>76881</v>
      </c>
      <c r="K59">
        <v>25</v>
      </c>
      <c r="L59" t="s">
        <v>17</v>
      </c>
      <c r="M59">
        <v>6.3809622724794221E-2</v>
      </c>
      <c r="N59" t="s">
        <v>11</v>
      </c>
      <c r="O59" t="s">
        <v>25</v>
      </c>
    </row>
    <row r="60" spans="1:15" x14ac:dyDescent="0.3">
      <c r="A60" t="s">
        <v>64</v>
      </c>
      <c r="B60" t="s">
        <v>28</v>
      </c>
      <c r="C60" s="2">
        <v>45544</v>
      </c>
      <c r="D60" t="s">
        <v>36</v>
      </c>
      <c r="E60" t="s">
        <v>65</v>
      </c>
      <c r="F60">
        <v>4054</v>
      </c>
      <c r="G60">
        <v>488</v>
      </c>
      <c r="H60">
        <v>373</v>
      </c>
      <c r="I60">
        <v>77026</v>
      </c>
      <c r="J60">
        <v>76881</v>
      </c>
      <c r="K60">
        <v>25</v>
      </c>
      <c r="L60" t="s">
        <v>17</v>
      </c>
      <c r="M60">
        <v>6.3809622724794221E-2</v>
      </c>
      <c r="N60" t="s">
        <v>357</v>
      </c>
      <c r="O60" t="s">
        <v>359</v>
      </c>
    </row>
    <row r="61" spans="1:15" x14ac:dyDescent="0.3">
      <c r="A61" t="s">
        <v>64</v>
      </c>
      <c r="B61" t="s">
        <v>28</v>
      </c>
      <c r="C61" s="2">
        <v>45544</v>
      </c>
      <c r="D61" t="s">
        <v>36</v>
      </c>
      <c r="E61" t="s">
        <v>65</v>
      </c>
      <c r="F61">
        <v>4054</v>
      </c>
      <c r="G61">
        <v>488</v>
      </c>
      <c r="H61">
        <v>373</v>
      </c>
      <c r="I61">
        <v>77026</v>
      </c>
      <c r="J61">
        <v>76881</v>
      </c>
      <c r="K61">
        <v>25</v>
      </c>
      <c r="L61" t="s">
        <v>17</v>
      </c>
      <c r="M61">
        <v>6.3809622724794221E-2</v>
      </c>
      <c r="N61" t="s">
        <v>358</v>
      </c>
      <c r="O61" t="s">
        <v>359</v>
      </c>
    </row>
    <row r="62" spans="1:15" x14ac:dyDescent="0.3">
      <c r="A62" t="s">
        <v>66</v>
      </c>
      <c r="B62" t="s">
        <v>28</v>
      </c>
      <c r="C62" s="2">
        <v>45661</v>
      </c>
      <c r="D62" t="s">
        <v>15</v>
      </c>
      <c r="E62" t="s">
        <v>61</v>
      </c>
      <c r="F62">
        <v>4838</v>
      </c>
      <c r="G62">
        <v>640</v>
      </c>
      <c r="H62">
        <v>128</v>
      </c>
      <c r="I62">
        <v>72570</v>
      </c>
      <c r="J62">
        <v>72396</v>
      </c>
      <c r="K62">
        <v>83</v>
      </c>
      <c r="L62" t="s">
        <v>32</v>
      </c>
      <c r="M62">
        <v>7.7249552156538517E-2</v>
      </c>
      <c r="N62" t="s">
        <v>11</v>
      </c>
      <c r="O62" t="s">
        <v>48</v>
      </c>
    </row>
    <row r="63" spans="1:15" x14ac:dyDescent="0.3">
      <c r="A63" t="s">
        <v>66</v>
      </c>
      <c r="B63" t="s">
        <v>28</v>
      </c>
      <c r="C63" s="2">
        <v>45661</v>
      </c>
      <c r="D63" t="s">
        <v>15</v>
      </c>
      <c r="E63" t="s">
        <v>61</v>
      </c>
      <c r="F63">
        <v>4838</v>
      </c>
      <c r="G63">
        <v>640</v>
      </c>
      <c r="H63">
        <v>128</v>
      </c>
      <c r="I63">
        <v>72570</v>
      </c>
      <c r="J63">
        <v>72396</v>
      </c>
      <c r="K63">
        <v>83</v>
      </c>
      <c r="L63" t="s">
        <v>32</v>
      </c>
      <c r="M63">
        <v>7.7249552156538517E-2</v>
      </c>
      <c r="N63" t="s">
        <v>357</v>
      </c>
      <c r="O63" t="s">
        <v>359</v>
      </c>
    </row>
    <row r="64" spans="1:15" x14ac:dyDescent="0.3">
      <c r="A64" t="s">
        <v>66</v>
      </c>
      <c r="B64" t="s">
        <v>28</v>
      </c>
      <c r="C64" s="2">
        <v>45661</v>
      </c>
      <c r="D64" t="s">
        <v>15</v>
      </c>
      <c r="E64" t="s">
        <v>61</v>
      </c>
      <c r="F64">
        <v>4838</v>
      </c>
      <c r="G64">
        <v>640</v>
      </c>
      <c r="H64">
        <v>128</v>
      </c>
      <c r="I64">
        <v>72570</v>
      </c>
      <c r="J64">
        <v>72396</v>
      </c>
      <c r="K64">
        <v>83</v>
      </c>
      <c r="L64" t="s">
        <v>32</v>
      </c>
      <c r="M64">
        <v>7.7249552156538517E-2</v>
      </c>
      <c r="N64" t="s">
        <v>358</v>
      </c>
      <c r="O64" t="s">
        <v>359</v>
      </c>
    </row>
    <row r="65" spans="1:15" x14ac:dyDescent="0.3">
      <c r="A65" t="s">
        <v>67</v>
      </c>
      <c r="B65" t="s">
        <v>35</v>
      </c>
      <c r="C65" s="2">
        <v>45715</v>
      </c>
      <c r="D65" t="s">
        <v>19</v>
      </c>
      <c r="E65" t="s">
        <v>44</v>
      </c>
      <c r="F65">
        <v>1570</v>
      </c>
      <c r="G65">
        <v>187</v>
      </c>
      <c r="H65">
        <v>260</v>
      </c>
      <c r="I65">
        <v>25120</v>
      </c>
      <c r="J65">
        <v>24613</v>
      </c>
      <c r="K65">
        <v>133</v>
      </c>
      <c r="L65" t="s">
        <v>32</v>
      </c>
      <c r="M65">
        <v>8.0294585987261149E-2</v>
      </c>
      <c r="N65" t="s">
        <v>11</v>
      </c>
      <c r="O65" t="s">
        <v>25</v>
      </c>
    </row>
    <row r="66" spans="1:15" x14ac:dyDescent="0.3">
      <c r="A66" t="s">
        <v>67</v>
      </c>
      <c r="B66" t="s">
        <v>35</v>
      </c>
      <c r="C66" s="2">
        <v>45715</v>
      </c>
      <c r="D66" t="s">
        <v>19</v>
      </c>
      <c r="E66" t="s">
        <v>44</v>
      </c>
      <c r="F66">
        <v>1570</v>
      </c>
      <c r="G66">
        <v>187</v>
      </c>
      <c r="H66">
        <v>260</v>
      </c>
      <c r="I66">
        <v>25120</v>
      </c>
      <c r="J66">
        <v>24613</v>
      </c>
      <c r="K66">
        <v>133</v>
      </c>
      <c r="L66" t="s">
        <v>32</v>
      </c>
      <c r="M66">
        <v>8.0294585987261149E-2</v>
      </c>
      <c r="N66" t="s">
        <v>357</v>
      </c>
      <c r="O66" t="s">
        <v>359</v>
      </c>
    </row>
    <row r="67" spans="1:15" x14ac:dyDescent="0.3">
      <c r="A67" t="s">
        <v>67</v>
      </c>
      <c r="B67" t="s">
        <v>35</v>
      </c>
      <c r="C67" s="2">
        <v>45715</v>
      </c>
      <c r="D67" t="s">
        <v>19</v>
      </c>
      <c r="E67" t="s">
        <v>44</v>
      </c>
      <c r="F67">
        <v>1570</v>
      </c>
      <c r="G67">
        <v>187</v>
      </c>
      <c r="H67">
        <v>260</v>
      </c>
      <c r="I67">
        <v>25120</v>
      </c>
      <c r="J67">
        <v>24613</v>
      </c>
      <c r="K67">
        <v>133</v>
      </c>
      <c r="L67" t="s">
        <v>32</v>
      </c>
      <c r="M67">
        <v>8.0294585987261149E-2</v>
      </c>
      <c r="N67" t="s">
        <v>358</v>
      </c>
      <c r="O67" t="s">
        <v>359</v>
      </c>
    </row>
    <row r="68" spans="1:15" x14ac:dyDescent="0.3">
      <c r="A68" t="s">
        <v>68</v>
      </c>
      <c r="B68" t="s">
        <v>35</v>
      </c>
      <c r="C68" s="2">
        <v>45602</v>
      </c>
      <c r="D68" t="s">
        <v>56</v>
      </c>
      <c r="E68" t="s">
        <v>57</v>
      </c>
      <c r="F68">
        <v>1606</v>
      </c>
      <c r="G68">
        <v>547</v>
      </c>
      <c r="H68">
        <v>316</v>
      </c>
      <c r="I68">
        <v>32120</v>
      </c>
      <c r="J68">
        <v>31736</v>
      </c>
      <c r="K68">
        <v>225</v>
      </c>
      <c r="L68" t="s">
        <v>21</v>
      </c>
      <c r="M68">
        <v>7.6867995018679955E-2</v>
      </c>
      <c r="N68" t="s">
        <v>11</v>
      </c>
      <c r="O68" t="s">
        <v>25</v>
      </c>
    </row>
    <row r="69" spans="1:15" x14ac:dyDescent="0.3">
      <c r="A69" t="s">
        <v>68</v>
      </c>
      <c r="B69" t="s">
        <v>35</v>
      </c>
      <c r="C69" s="2">
        <v>45602</v>
      </c>
      <c r="D69" t="s">
        <v>56</v>
      </c>
      <c r="E69" t="s">
        <v>57</v>
      </c>
      <c r="F69">
        <v>1606</v>
      </c>
      <c r="G69">
        <v>547</v>
      </c>
      <c r="H69">
        <v>316</v>
      </c>
      <c r="I69">
        <v>32120</v>
      </c>
      <c r="J69">
        <v>31736</v>
      </c>
      <c r="K69">
        <v>225</v>
      </c>
      <c r="L69" t="s">
        <v>21</v>
      </c>
      <c r="M69">
        <v>7.6867995018679955E-2</v>
      </c>
      <c r="N69" t="s">
        <v>357</v>
      </c>
      <c r="O69" t="s">
        <v>354</v>
      </c>
    </row>
    <row r="70" spans="1:15" x14ac:dyDescent="0.3">
      <c r="A70" t="s">
        <v>68</v>
      </c>
      <c r="B70" t="s">
        <v>35</v>
      </c>
      <c r="C70" s="2">
        <v>45602</v>
      </c>
      <c r="D70" t="s">
        <v>56</v>
      </c>
      <c r="E70" t="s">
        <v>57</v>
      </c>
      <c r="F70">
        <v>1606</v>
      </c>
      <c r="G70">
        <v>547</v>
      </c>
      <c r="H70">
        <v>316</v>
      </c>
      <c r="I70">
        <v>32120</v>
      </c>
      <c r="J70">
        <v>31736</v>
      </c>
      <c r="K70">
        <v>225</v>
      </c>
      <c r="L70" t="s">
        <v>21</v>
      </c>
      <c r="M70">
        <v>7.6867995018679955E-2</v>
      </c>
      <c r="N70" t="s">
        <v>358</v>
      </c>
      <c r="O70" t="s">
        <v>359</v>
      </c>
    </row>
    <row r="71" spans="1:15" x14ac:dyDescent="0.3">
      <c r="A71" t="s">
        <v>69</v>
      </c>
      <c r="B71" t="s">
        <v>35</v>
      </c>
      <c r="C71" s="2">
        <v>45680</v>
      </c>
      <c r="D71" t="s">
        <v>56</v>
      </c>
      <c r="E71" t="s">
        <v>57</v>
      </c>
      <c r="F71">
        <v>3961</v>
      </c>
      <c r="G71">
        <v>761</v>
      </c>
      <c r="H71">
        <v>131</v>
      </c>
      <c r="I71">
        <v>67337</v>
      </c>
      <c r="J71">
        <v>66615</v>
      </c>
      <c r="K71">
        <v>161</v>
      </c>
      <c r="L71" t="s">
        <v>26</v>
      </c>
      <c r="M71">
        <v>7.2070332803659209E-2</v>
      </c>
      <c r="N71" t="s">
        <v>11</v>
      </c>
      <c r="O71" t="s">
        <v>48</v>
      </c>
    </row>
    <row r="72" spans="1:15" x14ac:dyDescent="0.3">
      <c r="A72" t="s">
        <v>69</v>
      </c>
      <c r="B72" t="s">
        <v>35</v>
      </c>
      <c r="C72" s="2">
        <v>45680</v>
      </c>
      <c r="D72" t="s">
        <v>56</v>
      </c>
      <c r="E72" t="s">
        <v>57</v>
      </c>
      <c r="F72">
        <v>3961</v>
      </c>
      <c r="G72">
        <v>761</v>
      </c>
      <c r="H72">
        <v>131</v>
      </c>
      <c r="I72">
        <v>67337</v>
      </c>
      <c r="J72">
        <v>66615</v>
      </c>
      <c r="K72">
        <v>161</v>
      </c>
      <c r="L72" t="s">
        <v>26</v>
      </c>
      <c r="M72">
        <v>7.2070332803659209E-2</v>
      </c>
      <c r="N72" t="s">
        <v>357</v>
      </c>
      <c r="O72" t="s">
        <v>359</v>
      </c>
    </row>
    <row r="73" spans="1:15" x14ac:dyDescent="0.3">
      <c r="A73" t="s">
        <v>69</v>
      </c>
      <c r="B73" t="s">
        <v>35</v>
      </c>
      <c r="C73" s="2">
        <v>45680</v>
      </c>
      <c r="D73" t="s">
        <v>56</v>
      </c>
      <c r="E73" t="s">
        <v>57</v>
      </c>
      <c r="F73">
        <v>3961</v>
      </c>
      <c r="G73">
        <v>761</v>
      </c>
      <c r="H73">
        <v>131</v>
      </c>
      <c r="I73">
        <v>67337</v>
      </c>
      <c r="J73">
        <v>66615</v>
      </c>
      <c r="K73">
        <v>161</v>
      </c>
      <c r="L73" t="s">
        <v>26</v>
      </c>
      <c r="M73">
        <v>7.2070332803659209E-2</v>
      </c>
      <c r="N73" t="s">
        <v>358</v>
      </c>
      <c r="O73" t="s">
        <v>359</v>
      </c>
    </row>
    <row r="74" spans="1:15" x14ac:dyDescent="0.3">
      <c r="A74" t="s">
        <v>70</v>
      </c>
      <c r="B74" t="s">
        <v>14</v>
      </c>
      <c r="C74" s="2">
        <v>45757</v>
      </c>
      <c r="D74" t="s">
        <v>36</v>
      </c>
      <c r="E74" t="s">
        <v>39</v>
      </c>
      <c r="F74">
        <v>3128</v>
      </c>
      <c r="G74">
        <v>211</v>
      </c>
      <c r="H74">
        <v>197</v>
      </c>
      <c r="I74">
        <v>59432</v>
      </c>
      <c r="J74">
        <v>59182</v>
      </c>
      <c r="K74">
        <v>238</v>
      </c>
      <c r="L74" t="s">
        <v>360</v>
      </c>
      <c r="M74">
        <v>5.9496567505720827E-2</v>
      </c>
      <c r="N74" t="s">
        <v>11</v>
      </c>
      <c r="O74" t="s">
        <v>31</v>
      </c>
    </row>
    <row r="75" spans="1:15" x14ac:dyDescent="0.3">
      <c r="A75" t="s">
        <v>70</v>
      </c>
      <c r="B75" t="s">
        <v>14</v>
      </c>
      <c r="C75" s="2">
        <v>45757</v>
      </c>
      <c r="D75" t="s">
        <v>36</v>
      </c>
      <c r="E75" t="s">
        <v>39</v>
      </c>
      <c r="F75">
        <v>3128</v>
      </c>
      <c r="G75">
        <v>211</v>
      </c>
      <c r="H75">
        <v>197</v>
      </c>
      <c r="I75">
        <v>59432</v>
      </c>
      <c r="J75">
        <v>59182</v>
      </c>
      <c r="K75">
        <v>238</v>
      </c>
      <c r="L75" t="s">
        <v>360</v>
      </c>
      <c r="M75">
        <v>5.9496567505720827E-2</v>
      </c>
      <c r="N75" t="s">
        <v>357</v>
      </c>
      <c r="O75" t="s">
        <v>359</v>
      </c>
    </row>
    <row r="76" spans="1:15" x14ac:dyDescent="0.3">
      <c r="A76" t="s">
        <v>70</v>
      </c>
      <c r="B76" t="s">
        <v>14</v>
      </c>
      <c r="C76" s="2">
        <v>45757</v>
      </c>
      <c r="D76" t="s">
        <v>36</v>
      </c>
      <c r="E76" t="s">
        <v>39</v>
      </c>
      <c r="F76">
        <v>3128</v>
      </c>
      <c r="G76">
        <v>211</v>
      </c>
      <c r="H76">
        <v>197</v>
      </c>
      <c r="I76">
        <v>59432</v>
      </c>
      <c r="J76">
        <v>59182</v>
      </c>
      <c r="K76">
        <v>238</v>
      </c>
      <c r="L76" t="s">
        <v>360</v>
      </c>
      <c r="M76">
        <v>5.9496567505720827E-2</v>
      </c>
      <c r="N76" t="s">
        <v>358</v>
      </c>
      <c r="O76" t="s">
        <v>359</v>
      </c>
    </row>
    <row r="77" spans="1:15" x14ac:dyDescent="0.3">
      <c r="A77" t="s">
        <v>71</v>
      </c>
      <c r="B77" t="s">
        <v>23</v>
      </c>
      <c r="C77" s="2">
        <v>45752</v>
      </c>
      <c r="D77" t="s">
        <v>15</v>
      </c>
      <c r="E77" t="s">
        <v>24</v>
      </c>
      <c r="F77">
        <v>3009</v>
      </c>
      <c r="G77">
        <v>413</v>
      </c>
      <c r="H77">
        <v>358</v>
      </c>
      <c r="I77">
        <v>42126</v>
      </c>
      <c r="J77">
        <v>41309</v>
      </c>
      <c r="K77">
        <v>211</v>
      </c>
      <c r="L77" t="s">
        <v>21</v>
      </c>
      <c r="M77">
        <v>8.9730807577268201E-2</v>
      </c>
      <c r="N77" t="s">
        <v>11</v>
      </c>
      <c r="O77" t="s">
        <v>48</v>
      </c>
    </row>
    <row r="78" spans="1:15" x14ac:dyDescent="0.3">
      <c r="A78" t="s">
        <v>71</v>
      </c>
      <c r="B78" t="s">
        <v>23</v>
      </c>
      <c r="C78" s="2">
        <v>45752</v>
      </c>
      <c r="D78" t="s">
        <v>15</v>
      </c>
      <c r="E78" t="s">
        <v>24</v>
      </c>
      <c r="F78">
        <v>3009</v>
      </c>
      <c r="G78">
        <v>413</v>
      </c>
      <c r="H78">
        <v>358</v>
      </c>
      <c r="I78">
        <v>42126</v>
      </c>
      <c r="J78">
        <v>41309</v>
      </c>
      <c r="K78">
        <v>211</v>
      </c>
      <c r="L78" t="s">
        <v>21</v>
      </c>
      <c r="M78">
        <v>8.9730807577268201E-2</v>
      </c>
      <c r="N78" t="s">
        <v>357</v>
      </c>
      <c r="O78" t="s">
        <v>359</v>
      </c>
    </row>
    <row r="79" spans="1:15" x14ac:dyDescent="0.3">
      <c r="A79" t="s">
        <v>71</v>
      </c>
      <c r="B79" t="s">
        <v>23</v>
      </c>
      <c r="C79" s="2">
        <v>45752</v>
      </c>
      <c r="D79" t="s">
        <v>15</v>
      </c>
      <c r="E79" t="s">
        <v>24</v>
      </c>
      <c r="F79">
        <v>3009</v>
      </c>
      <c r="G79">
        <v>413</v>
      </c>
      <c r="H79">
        <v>358</v>
      </c>
      <c r="I79">
        <v>42126</v>
      </c>
      <c r="J79">
        <v>41309</v>
      </c>
      <c r="K79">
        <v>211</v>
      </c>
      <c r="L79" t="s">
        <v>21</v>
      </c>
      <c r="M79">
        <v>8.9730807577268201E-2</v>
      </c>
      <c r="N79" t="s">
        <v>358</v>
      </c>
      <c r="O79" t="s">
        <v>359</v>
      </c>
    </row>
    <row r="80" spans="1:15" x14ac:dyDescent="0.3">
      <c r="A80" t="s">
        <v>72</v>
      </c>
      <c r="B80" t="s">
        <v>23</v>
      </c>
      <c r="C80" s="2">
        <v>45552</v>
      </c>
      <c r="D80" t="s">
        <v>19</v>
      </c>
      <c r="E80" t="s">
        <v>73</v>
      </c>
      <c r="F80">
        <v>2076</v>
      </c>
      <c r="G80">
        <v>195</v>
      </c>
      <c r="H80">
        <v>104</v>
      </c>
      <c r="I80">
        <v>33216</v>
      </c>
      <c r="J80">
        <v>32244</v>
      </c>
      <c r="K80">
        <v>51</v>
      </c>
      <c r="L80" t="s">
        <v>32</v>
      </c>
      <c r="M80">
        <v>7.1501685934489398E-2</v>
      </c>
      <c r="N80" t="s">
        <v>11</v>
      </c>
      <c r="O80" t="s">
        <v>48</v>
      </c>
    </row>
    <row r="81" spans="1:15" x14ac:dyDescent="0.3">
      <c r="A81" t="s">
        <v>72</v>
      </c>
      <c r="B81" t="s">
        <v>23</v>
      </c>
      <c r="C81" s="2">
        <v>45552</v>
      </c>
      <c r="D81" t="s">
        <v>19</v>
      </c>
      <c r="E81" t="s">
        <v>73</v>
      </c>
      <c r="F81">
        <v>2076</v>
      </c>
      <c r="G81">
        <v>195</v>
      </c>
      <c r="H81">
        <v>104</v>
      </c>
      <c r="I81">
        <v>33216</v>
      </c>
      <c r="J81">
        <v>32244</v>
      </c>
      <c r="K81">
        <v>51</v>
      </c>
      <c r="L81" t="s">
        <v>32</v>
      </c>
      <c r="M81">
        <v>7.1501685934489398E-2</v>
      </c>
      <c r="N81" t="s">
        <v>357</v>
      </c>
      <c r="O81" t="s">
        <v>359</v>
      </c>
    </row>
    <row r="82" spans="1:15" x14ac:dyDescent="0.3">
      <c r="A82" t="s">
        <v>72</v>
      </c>
      <c r="B82" t="s">
        <v>23</v>
      </c>
      <c r="C82" s="2">
        <v>45552</v>
      </c>
      <c r="D82" t="s">
        <v>19</v>
      </c>
      <c r="E82" t="s">
        <v>73</v>
      </c>
      <c r="F82">
        <v>2076</v>
      </c>
      <c r="G82">
        <v>195</v>
      </c>
      <c r="H82">
        <v>104</v>
      </c>
      <c r="I82">
        <v>33216</v>
      </c>
      <c r="J82">
        <v>32244</v>
      </c>
      <c r="K82">
        <v>51</v>
      </c>
      <c r="L82" t="s">
        <v>32</v>
      </c>
      <c r="M82">
        <v>7.1501685934489398E-2</v>
      </c>
      <c r="N82" t="s">
        <v>358</v>
      </c>
      <c r="O82" t="s">
        <v>359</v>
      </c>
    </row>
    <row r="83" spans="1:15" x14ac:dyDescent="0.3">
      <c r="A83" t="s">
        <v>74</v>
      </c>
      <c r="B83" t="s">
        <v>28</v>
      </c>
      <c r="C83" s="2">
        <v>45720</v>
      </c>
      <c r="D83" t="s">
        <v>56</v>
      </c>
      <c r="E83" t="s">
        <v>63</v>
      </c>
      <c r="F83">
        <v>432</v>
      </c>
      <c r="G83">
        <v>624</v>
      </c>
      <c r="H83">
        <v>123</v>
      </c>
      <c r="I83">
        <v>6912</v>
      </c>
      <c r="J83">
        <v>6259</v>
      </c>
      <c r="K83">
        <v>79</v>
      </c>
      <c r="L83" t="s">
        <v>32</v>
      </c>
      <c r="M83">
        <v>0.17057291666666666</v>
      </c>
      <c r="N83" t="s">
        <v>11</v>
      </c>
      <c r="O83" t="s">
        <v>48</v>
      </c>
    </row>
    <row r="84" spans="1:15" x14ac:dyDescent="0.3">
      <c r="A84" t="s">
        <v>74</v>
      </c>
      <c r="B84" t="s">
        <v>28</v>
      </c>
      <c r="C84" s="2">
        <v>45720</v>
      </c>
      <c r="D84" t="s">
        <v>56</v>
      </c>
      <c r="E84" t="s">
        <v>63</v>
      </c>
      <c r="F84">
        <v>432</v>
      </c>
      <c r="G84">
        <v>624</v>
      </c>
      <c r="H84">
        <v>123</v>
      </c>
      <c r="I84">
        <v>6912</v>
      </c>
      <c r="J84">
        <v>6259</v>
      </c>
      <c r="K84">
        <v>79</v>
      </c>
      <c r="L84" t="s">
        <v>32</v>
      </c>
      <c r="M84">
        <v>0.17057291666666666</v>
      </c>
      <c r="N84" t="s">
        <v>357</v>
      </c>
      <c r="O84" t="s">
        <v>359</v>
      </c>
    </row>
    <row r="85" spans="1:15" x14ac:dyDescent="0.3">
      <c r="A85" t="s">
        <v>74</v>
      </c>
      <c r="B85" t="s">
        <v>28</v>
      </c>
      <c r="C85" s="2">
        <v>45720</v>
      </c>
      <c r="D85" t="s">
        <v>56</v>
      </c>
      <c r="E85" t="s">
        <v>63</v>
      </c>
      <c r="F85">
        <v>432</v>
      </c>
      <c r="G85">
        <v>624</v>
      </c>
      <c r="H85">
        <v>123</v>
      </c>
      <c r="I85">
        <v>6912</v>
      </c>
      <c r="J85">
        <v>6259</v>
      </c>
      <c r="K85">
        <v>79</v>
      </c>
      <c r="L85" t="s">
        <v>32</v>
      </c>
      <c r="M85">
        <v>0.17057291666666666</v>
      </c>
      <c r="N85" t="s">
        <v>358</v>
      </c>
      <c r="O85" t="s">
        <v>359</v>
      </c>
    </row>
    <row r="86" spans="1:15" x14ac:dyDescent="0.3">
      <c r="A86" t="s">
        <v>75</v>
      </c>
      <c r="B86" t="s">
        <v>28</v>
      </c>
      <c r="C86" s="2">
        <v>45688</v>
      </c>
      <c r="D86" t="s">
        <v>36</v>
      </c>
      <c r="E86" t="s">
        <v>65</v>
      </c>
      <c r="F86">
        <v>2566</v>
      </c>
      <c r="G86">
        <v>118</v>
      </c>
      <c r="H86">
        <v>37</v>
      </c>
      <c r="I86">
        <v>12830</v>
      </c>
      <c r="J86">
        <v>12264</v>
      </c>
      <c r="K86">
        <v>221</v>
      </c>
      <c r="L86" t="s">
        <v>26</v>
      </c>
      <c r="M86">
        <v>0.21208106001558846</v>
      </c>
      <c r="N86" t="s">
        <v>11</v>
      </c>
      <c r="O86" t="s">
        <v>48</v>
      </c>
    </row>
    <row r="87" spans="1:15" x14ac:dyDescent="0.3">
      <c r="A87" t="s">
        <v>75</v>
      </c>
      <c r="B87" t="s">
        <v>28</v>
      </c>
      <c r="C87" s="2">
        <v>45688</v>
      </c>
      <c r="D87" t="s">
        <v>36</v>
      </c>
      <c r="E87" t="s">
        <v>65</v>
      </c>
      <c r="F87">
        <v>2566</v>
      </c>
      <c r="G87">
        <v>118</v>
      </c>
      <c r="H87">
        <v>37</v>
      </c>
      <c r="I87">
        <v>12830</v>
      </c>
      <c r="J87">
        <v>12264</v>
      </c>
      <c r="K87">
        <v>221</v>
      </c>
      <c r="L87" t="s">
        <v>26</v>
      </c>
      <c r="M87">
        <v>0.21208106001558846</v>
      </c>
      <c r="N87" t="s">
        <v>357</v>
      </c>
      <c r="O87" t="s">
        <v>359</v>
      </c>
    </row>
    <row r="88" spans="1:15" x14ac:dyDescent="0.3">
      <c r="A88" t="s">
        <v>75</v>
      </c>
      <c r="B88" t="s">
        <v>28</v>
      </c>
      <c r="C88" s="2">
        <v>45688</v>
      </c>
      <c r="D88" t="s">
        <v>36</v>
      </c>
      <c r="E88" t="s">
        <v>65</v>
      </c>
      <c r="F88">
        <v>2566</v>
      </c>
      <c r="G88">
        <v>118</v>
      </c>
      <c r="H88">
        <v>37</v>
      </c>
      <c r="I88">
        <v>12830</v>
      </c>
      <c r="J88">
        <v>12264</v>
      </c>
      <c r="K88">
        <v>221</v>
      </c>
      <c r="L88" t="s">
        <v>26</v>
      </c>
      <c r="M88">
        <v>0.21208106001558846</v>
      </c>
      <c r="N88" t="s">
        <v>358</v>
      </c>
      <c r="O88" t="s">
        <v>359</v>
      </c>
    </row>
    <row r="89" spans="1:15" x14ac:dyDescent="0.3">
      <c r="A89" t="s">
        <v>76</v>
      </c>
      <c r="B89" t="s">
        <v>28</v>
      </c>
      <c r="C89" s="2">
        <v>45713</v>
      </c>
      <c r="D89" t="s">
        <v>56</v>
      </c>
      <c r="E89" t="s">
        <v>63</v>
      </c>
      <c r="F89">
        <v>3095</v>
      </c>
      <c r="G89">
        <v>39</v>
      </c>
      <c r="H89">
        <v>78</v>
      </c>
      <c r="I89">
        <v>55710</v>
      </c>
      <c r="J89">
        <v>54808</v>
      </c>
      <c r="K89">
        <v>93</v>
      </c>
      <c r="L89" t="s">
        <v>360</v>
      </c>
      <c r="M89">
        <v>5.7655717106444085E-2</v>
      </c>
      <c r="N89" t="s">
        <v>11</v>
      </c>
      <c r="O89" t="s">
        <v>31</v>
      </c>
    </row>
    <row r="90" spans="1:15" x14ac:dyDescent="0.3">
      <c r="A90" t="s">
        <v>76</v>
      </c>
      <c r="B90" t="s">
        <v>28</v>
      </c>
      <c r="C90" s="2">
        <v>45713</v>
      </c>
      <c r="D90" t="s">
        <v>56</v>
      </c>
      <c r="E90" t="s">
        <v>63</v>
      </c>
      <c r="F90">
        <v>3095</v>
      </c>
      <c r="G90">
        <v>39</v>
      </c>
      <c r="H90">
        <v>78</v>
      </c>
      <c r="I90">
        <v>55710</v>
      </c>
      <c r="J90">
        <v>54808</v>
      </c>
      <c r="K90">
        <v>93</v>
      </c>
      <c r="L90" t="s">
        <v>360</v>
      </c>
      <c r="M90">
        <v>5.7655717106444085E-2</v>
      </c>
      <c r="N90" t="s">
        <v>357</v>
      </c>
      <c r="O90" t="s">
        <v>359</v>
      </c>
    </row>
    <row r="91" spans="1:15" x14ac:dyDescent="0.3">
      <c r="A91" t="s">
        <v>76</v>
      </c>
      <c r="B91" t="s">
        <v>28</v>
      </c>
      <c r="C91" s="2">
        <v>45713</v>
      </c>
      <c r="D91" t="s">
        <v>56</v>
      </c>
      <c r="E91" t="s">
        <v>63</v>
      </c>
      <c r="F91">
        <v>3095</v>
      </c>
      <c r="G91">
        <v>39</v>
      </c>
      <c r="H91">
        <v>78</v>
      </c>
      <c r="I91">
        <v>55710</v>
      </c>
      <c r="J91">
        <v>54808</v>
      </c>
      <c r="K91">
        <v>93</v>
      </c>
      <c r="L91" t="s">
        <v>360</v>
      </c>
      <c r="M91">
        <v>5.7655717106444085E-2</v>
      </c>
      <c r="N91" t="s">
        <v>358</v>
      </c>
      <c r="O91" t="s">
        <v>359</v>
      </c>
    </row>
    <row r="92" spans="1:15" x14ac:dyDescent="0.3">
      <c r="A92" t="s">
        <v>77</v>
      </c>
      <c r="B92" t="s">
        <v>28</v>
      </c>
      <c r="C92" s="2">
        <v>45642</v>
      </c>
      <c r="D92" t="s">
        <v>19</v>
      </c>
      <c r="E92" t="s">
        <v>78</v>
      </c>
      <c r="F92">
        <v>438</v>
      </c>
      <c r="G92">
        <v>153</v>
      </c>
      <c r="H92">
        <v>275</v>
      </c>
      <c r="I92">
        <v>3066</v>
      </c>
      <c r="J92">
        <v>2701</v>
      </c>
      <c r="K92">
        <v>282</v>
      </c>
      <c r="L92" t="s">
        <v>21</v>
      </c>
      <c r="M92">
        <v>0.28245270711024134</v>
      </c>
      <c r="N92" t="s">
        <v>11</v>
      </c>
      <c r="O92" t="s">
        <v>25</v>
      </c>
    </row>
    <row r="93" spans="1:15" x14ac:dyDescent="0.3">
      <c r="A93" t="s">
        <v>77</v>
      </c>
      <c r="B93" t="s">
        <v>28</v>
      </c>
      <c r="C93" s="2">
        <v>45642</v>
      </c>
      <c r="D93" t="s">
        <v>19</v>
      </c>
      <c r="E93" t="s">
        <v>78</v>
      </c>
      <c r="F93">
        <v>438</v>
      </c>
      <c r="G93">
        <v>153</v>
      </c>
      <c r="H93">
        <v>275</v>
      </c>
      <c r="I93">
        <v>3066</v>
      </c>
      <c r="J93">
        <v>2701</v>
      </c>
      <c r="K93">
        <v>282</v>
      </c>
      <c r="L93" t="s">
        <v>21</v>
      </c>
      <c r="M93">
        <v>0.28245270711024134</v>
      </c>
      <c r="N93" t="s">
        <v>357</v>
      </c>
      <c r="O93" t="s">
        <v>359</v>
      </c>
    </row>
    <row r="94" spans="1:15" x14ac:dyDescent="0.3">
      <c r="A94" t="s">
        <v>77</v>
      </c>
      <c r="B94" t="s">
        <v>28</v>
      </c>
      <c r="C94" s="2">
        <v>45642</v>
      </c>
      <c r="D94" t="s">
        <v>19</v>
      </c>
      <c r="E94" t="s">
        <v>78</v>
      </c>
      <c r="F94">
        <v>438</v>
      </c>
      <c r="G94">
        <v>153</v>
      </c>
      <c r="H94">
        <v>275</v>
      </c>
      <c r="I94">
        <v>3066</v>
      </c>
      <c r="J94">
        <v>2701</v>
      </c>
      <c r="K94">
        <v>282</v>
      </c>
      <c r="L94" t="s">
        <v>21</v>
      </c>
      <c r="M94">
        <v>0.28245270711024134</v>
      </c>
      <c r="N94" t="s">
        <v>358</v>
      </c>
      <c r="O94" t="s">
        <v>359</v>
      </c>
    </row>
    <row r="95" spans="1:15" x14ac:dyDescent="0.3">
      <c r="A95" t="s">
        <v>79</v>
      </c>
      <c r="B95" t="s">
        <v>14</v>
      </c>
      <c r="C95" s="2">
        <v>45504</v>
      </c>
      <c r="D95" t="s">
        <v>36</v>
      </c>
      <c r="E95" t="s">
        <v>39</v>
      </c>
      <c r="F95">
        <v>2278</v>
      </c>
      <c r="G95">
        <v>10</v>
      </c>
      <c r="H95">
        <v>321</v>
      </c>
      <c r="I95">
        <v>13668</v>
      </c>
      <c r="J95">
        <v>12676</v>
      </c>
      <c r="K95">
        <v>275</v>
      </c>
      <c r="L95" t="s">
        <v>17</v>
      </c>
      <c r="M95">
        <v>0.19088381621305239</v>
      </c>
      <c r="N95" t="s">
        <v>11</v>
      </c>
      <c r="O95" t="s">
        <v>31</v>
      </c>
    </row>
    <row r="96" spans="1:15" x14ac:dyDescent="0.3">
      <c r="A96" t="s">
        <v>79</v>
      </c>
      <c r="B96" t="s">
        <v>14</v>
      </c>
      <c r="C96" s="2">
        <v>45504</v>
      </c>
      <c r="D96" t="s">
        <v>36</v>
      </c>
      <c r="E96" t="s">
        <v>39</v>
      </c>
      <c r="F96">
        <v>2278</v>
      </c>
      <c r="G96">
        <v>10</v>
      </c>
      <c r="H96">
        <v>321</v>
      </c>
      <c r="I96">
        <v>13668</v>
      </c>
      <c r="J96">
        <v>12676</v>
      </c>
      <c r="K96">
        <v>275</v>
      </c>
      <c r="L96" t="s">
        <v>17</v>
      </c>
      <c r="M96">
        <v>0.19088381621305239</v>
      </c>
      <c r="N96" t="s">
        <v>357</v>
      </c>
      <c r="O96" t="s">
        <v>359</v>
      </c>
    </row>
    <row r="97" spans="1:15" x14ac:dyDescent="0.3">
      <c r="A97" t="s">
        <v>79</v>
      </c>
      <c r="B97" t="s">
        <v>14</v>
      </c>
      <c r="C97" s="2">
        <v>45504</v>
      </c>
      <c r="D97" t="s">
        <v>36</v>
      </c>
      <c r="E97" t="s">
        <v>39</v>
      </c>
      <c r="F97">
        <v>2278</v>
      </c>
      <c r="G97">
        <v>10</v>
      </c>
      <c r="H97">
        <v>321</v>
      </c>
      <c r="I97">
        <v>13668</v>
      </c>
      <c r="J97">
        <v>12676</v>
      </c>
      <c r="K97">
        <v>275</v>
      </c>
      <c r="L97" t="s">
        <v>17</v>
      </c>
      <c r="M97">
        <v>0.19088381621305239</v>
      </c>
      <c r="N97" t="s">
        <v>358</v>
      </c>
      <c r="O97" t="s">
        <v>359</v>
      </c>
    </row>
    <row r="98" spans="1:15" x14ac:dyDescent="0.3">
      <c r="A98" t="s">
        <v>80</v>
      </c>
      <c r="B98" t="s">
        <v>35</v>
      </c>
      <c r="C98" s="2">
        <v>45525</v>
      </c>
      <c r="D98" t="s">
        <v>41</v>
      </c>
      <c r="E98" t="s">
        <v>46</v>
      </c>
      <c r="F98">
        <v>1407</v>
      </c>
      <c r="G98">
        <v>400</v>
      </c>
      <c r="H98">
        <v>351</v>
      </c>
      <c r="I98">
        <v>16884</v>
      </c>
      <c r="J98">
        <v>15954</v>
      </c>
      <c r="K98">
        <v>113</v>
      </c>
      <c r="L98" t="s">
        <v>17</v>
      </c>
      <c r="M98">
        <v>0.12781331438047855</v>
      </c>
      <c r="N98" t="s">
        <v>11</v>
      </c>
      <c r="O98" t="s">
        <v>25</v>
      </c>
    </row>
    <row r="99" spans="1:15" x14ac:dyDescent="0.3">
      <c r="A99" t="s">
        <v>80</v>
      </c>
      <c r="B99" t="s">
        <v>35</v>
      </c>
      <c r="C99" s="2">
        <v>45525</v>
      </c>
      <c r="D99" t="s">
        <v>41</v>
      </c>
      <c r="E99" t="s">
        <v>46</v>
      </c>
      <c r="F99">
        <v>1407</v>
      </c>
      <c r="G99">
        <v>400</v>
      </c>
      <c r="H99">
        <v>351</v>
      </c>
      <c r="I99">
        <v>16884</v>
      </c>
      <c r="J99">
        <v>15954</v>
      </c>
      <c r="K99">
        <v>113</v>
      </c>
      <c r="L99" t="s">
        <v>17</v>
      </c>
      <c r="M99">
        <v>0.12781331438047855</v>
      </c>
      <c r="N99" t="s">
        <v>357</v>
      </c>
      <c r="O99" t="s">
        <v>359</v>
      </c>
    </row>
    <row r="100" spans="1:15" x14ac:dyDescent="0.3">
      <c r="A100" t="s">
        <v>80</v>
      </c>
      <c r="B100" t="s">
        <v>35</v>
      </c>
      <c r="C100" s="2">
        <v>45525</v>
      </c>
      <c r="D100" t="s">
        <v>41</v>
      </c>
      <c r="E100" t="s">
        <v>46</v>
      </c>
      <c r="F100">
        <v>1407</v>
      </c>
      <c r="G100">
        <v>400</v>
      </c>
      <c r="H100">
        <v>351</v>
      </c>
      <c r="I100">
        <v>16884</v>
      </c>
      <c r="J100">
        <v>15954</v>
      </c>
      <c r="K100">
        <v>113</v>
      </c>
      <c r="L100" t="s">
        <v>17</v>
      </c>
      <c r="M100">
        <v>0.12781331438047855</v>
      </c>
      <c r="N100" t="s">
        <v>358</v>
      </c>
      <c r="O100" t="s">
        <v>359</v>
      </c>
    </row>
    <row r="101" spans="1:15" x14ac:dyDescent="0.3">
      <c r="A101" t="s">
        <v>81</v>
      </c>
      <c r="B101" t="s">
        <v>35</v>
      </c>
      <c r="C101" s="2">
        <v>45742</v>
      </c>
      <c r="D101" t="s">
        <v>19</v>
      </c>
      <c r="E101" t="s">
        <v>44</v>
      </c>
      <c r="F101">
        <v>1652</v>
      </c>
      <c r="G101">
        <v>89</v>
      </c>
      <c r="H101">
        <v>357</v>
      </c>
      <c r="I101">
        <v>29736</v>
      </c>
      <c r="J101">
        <v>28771</v>
      </c>
      <c r="K101">
        <v>215</v>
      </c>
      <c r="L101" t="s">
        <v>26</v>
      </c>
      <c r="M101">
        <v>7.055421038471886E-2</v>
      </c>
      <c r="N101" t="s">
        <v>11</v>
      </c>
      <c r="O101" t="s">
        <v>25</v>
      </c>
    </row>
    <row r="102" spans="1:15" x14ac:dyDescent="0.3">
      <c r="A102" t="s">
        <v>81</v>
      </c>
      <c r="B102" t="s">
        <v>35</v>
      </c>
      <c r="C102" s="2">
        <v>45742</v>
      </c>
      <c r="D102" t="s">
        <v>19</v>
      </c>
      <c r="E102" t="s">
        <v>44</v>
      </c>
      <c r="F102">
        <v>1652</v>
      </c>
      <c r="G102">
        <v>89</v>
      </c>
      <c r="H102">
        <v>357</v>
      </c>
      <c r="I102">
        <v>29736</v>
      </c>
      <c r="J102">
        <v>28771</v>
      </c>
      <c r="K102">
        <v>215</v>
      </c>
      <c r="L102" t="s">
        <v>26</v>
      </c>
      <c r="M102">
        <v>7.055421038471886E-2</v>
      </c>
      <c r="N102" t="s">
        <v>357</v>
      </c>
      <c r="O102" t="s">
        <v>359</v>
      </c>
    </row>
    <row r="103" spans="1:15" x14ac:dyDescent="0.3">
      <c r="A103" t="s">
        <v>81</v>
      </c>
      <c r="B103" t="s">
        <v>35</v>
      </c>
      <c r="C103" s="2">
        <v>45742</v>
      </c>
      <c r="D103" t="s">
        <v>19</v>
      </c>
      <c r="E103" t="s">
        <v>44</v>
      </c>
      <c r="F103">
        <v>1652</v>
      </c>
      <c r="G103">
        <v>89</v>
      </c>
      <c r="H103">
        <v>357</v>
      </c>
      <c r="I103">
        <v>29736</v>
      </c>
      <c r="J103">
        <v>28771</v>
      </c>
      <c r="K103">
        <v>215</v>
      </c>
      <c r="L103" t="s">
        <v>26</v>
      </c>
      <c r="M103">
        <v>7.055421038471886E-2</v>
      </c>
      <c r="N103" t="s">
        <v>358</v>
      </c>
      <c r="O103" t="s">
        <v>359</v>
      </c>
    </row>
    <row r="104" spans="1:15" x14ac:dyDescent="0.3">
      <c r="A104" t="s">
        <v>82</v>
      </c>
      <c r="B104" t="s">
        <v>28</v>
      </c>
      <c r="C104" s="2">
        <v>45626</v>
      </c>
      <c r="D104" t="s">
        <v>56</v>
      </c>
      <c r="E104" t="s">
        <v>63</v>
      </c>
      <c r="F104">
        <v>3775</v>
      </c>
      <c r="G104">
        <v>16</v>
      </c>
      <c r="H104">
        <v>239</v>
      </c>
      <c r="I104">
        <v>33975</v>
      </c>
      <c r="J104">
        <v>33310</v>
      </c>
      <c r="K104">
        <v>271</v>
      </c>
      <c r="L104" t="s">
        <v>21</v>
      </c>
      <c r="M104">
        <v>0.11861662987490802</v>
      </c>
      <c r="N104" t="s">
        <v>11</v>
      </c>
      <c r="O104" t="s">
        <v>48</v>
      </c>
    </row>
    <row r="105" spans="1:15" x14ac:dyDescent="0.3">
      <c r="A105" t="s">
        <v>82</v>
      </c>
      <c r="B105" t="s">
        <v>28</v>
      </c>
      <c r="C105" s="2">
        <v>45626</v>
      </c>
      <c r="D105" t="s">
        <v>56</v>
      </c>
      <c r="E105" t="s">
        <v>63</v>
      </c>
      <c r="F105">
        <v>3775</v>
      </c>
      <c r="G105">
        <v>16</v>
      </c>
      <c r="H105">
        <v>239</v>
      </c>
      <c r="I105">
        <v>33975</v>
      </c>
      <c r="J105">
        <v>33310</v>
      </c>
      <c r="K105">
        <v>271</v>
      </c>
      <c r="L105" t="s">
        <v>21</v>
      </c>
      <c r="M105">
        <v>0.11861662987490802</v>
      </c>
      <c r="N105" t="s">
        <v>357</v>
      </c>
      <c r="O105" t="s">
        <v>359</v>
      </c>
    </row>
    <row r="106" spans="1:15" x14ac:dyDescent="0.3">
      <c r="A106" t="s">
        <v>82</v>
      </c>
      <c r="B106" t="s">
        <v>28</v>
      </c>
      <c r="C106" s="2">
        <v>45626</v>
      </c>
      <c r="D106" t="s">
        <v>56</v>
      </c>
      <c r="E106" t="s">
        <v>63</v>
      </c>
      <c r="F106">
        <v>3775</v>
      </c>
      <c r="G106">
        <v>16</v>
      </c>
      <c r="H106">
        <v>239</v>
      </c>
      <c r="I106">
        <v>33975</v>
      </c>
      <c r="J106">
        <v>33310</v>
      </c>
      <c r="K106">
        <v>271</v>
      </c>
      <c r="L106" t="s">
        <v>21</v>
      </c>
      <c r="M106">
        <v>0.11861662987490802</v>
      </c>
      <c r="N106" t="s">
        <v>358</v>
      </c>
      <c r="O106" t="s">
        <v>359</v>
      </c>
    </row>
    <row r="107" spans="1:15" x14ac:dyDescent="0.3">
      <c r="A107" t="s">
        <v>83</v>
      </c>
      <c r="B107" t="s">
        <v>28</v>
      </c>
      <c r="C107" s="2">
        <v>45766</v>
      </c>
      <c r="D107" t="s">
        <v>29</v>
      </c>
      <c r="E107" t="s">
        <v>30</v>
      </c>
      <c r="F107">
        <v>4518</v>
      </c>
      <c r="G107">
        <v>285</v>
      </c>
      <c r="H107">
        <v>383</v>
      </c>
      <c r="I107">
        <v>67770</v>
      </c>
      <c r="J107">
        <v>67621</v>
      </c>
      <c r="K107">
        <v>31</v>
      </c>
      <c r="L107" t="s">
        <v>21</v>
      </c>
      <c r="M107">
        <v>7.6523535487678915E-2</v>
      </c>
      <c r="N107" t="s">
        <v>11</v>
      </c>
      <c r="O107" t="s">
        <v>31</v>
      </c>
    </row>
    <row r="108" spans="1:15" x14ac:dyDescent="0.3">
      <c r="A108" t="s">
        <v>83</v>
      </c>
      <c r="B108" t="s">
        <v>28</v>
      </c>
      <c r="C108" s="2">
        <v>45766</v>
      </c>
      <c r="D108" t="s">
        <v>29</v>
      </c>
      <c r="E108" t="s">
        <v>30</v>
      </c>
      <c r="F108">
        <v>4518</v>
      </c>
      <c r="G108">
        <v>285</v>
      </c>
      <c r="H108">
        <v>383</v>
      </c>
      <c r="I108">
        <v>67770</v>
      </c>
      <c r="J108">
        <v>67621</v>
      </c>
      <c r="K108">
        <v>31</v>
      </c>
      <c r="L108" t="s">
        <v>21</v>
      </c>
      <c r="M108">
        <v>7.6523535487678915E-2</v>
      </c>
      <c r="N108" t="s">
        <v>357</v>
      </c>
      <c r="O108" t="s">
        <v>359</v>
      </c>
    </row>
    <row r="109" spans="1:15" x14ac:dyDescent="0.3">
      <c r="A109" t="s">
        <v>83</v>
      </c>
      <c r="B109" t="s">
        <v>28</v>
      </c>
      <c r="C109" s="2">
        <v>45766</v>
      </c>
      <c r="D109" t="s">
        <v>29</v>
      </c>
      <c r="E109" t="s">
        <v>30</v>
      </c>
      <c r="F109">
        <v>4518</v>
      </c>
      <c r="G109">
        <v>285</v>
      </c>
      <c r="H109">
        <v>383</v>
      </c>
      <c r="I109">
        <v>67770</v>
      </c>
      <c r="J109">
        <v>67621</v>
      </c>
      <c r="K109">
        <v>31</v>
      </c>
      <c r="L109" t="s">
        <v>21</v>
      </c>
      <c r="M109">
        <v>7.6523535487678915E-2</v>
      </c>
      <c r="N109" t="s">
        <v>358</v>
      </c>
      <c r="O109" t="s">
        <v>359</v>
      </c>
    </row>
    <row r="110" spans="1:15" x14ac:dyDescent="0.3">
      <c r="A110" t="s">
        <v>84</v>
      </c>
      <c r="B110" t="s">
        <v>35</v>
      </c>
      <c r="C110" s="2">
        <v>45663</v>
      </c>
      <c r="D110" t="s">
        <v>36</v>
      </c>
      <c r="E110" t="s">
        <v>37</v>
      </c>
      <c r="F110">
        <v>3024</v>
      </c>
      <c r="G110">
        <v>925</v>
      </c>
      <c r="H110">
        <v>350</v>
      </c>
      <c r="I110">
        <v>24192</v>
      </c>
      <c r="J110">
        <v>23518</v>
      </c>
      <c r="K110">
        <v>36</v>
      </c>
      <c r="L110" t="s">
        <v>21</v>
      </c>
      <c r="M110">
        <v>0.17770337301587302</v>
      </c>
      <c r="N110" t="s">
        <v>11</v>
      </c>
      <c r="O110" t="s">
        <v>31</v>
      </c>
    </row>
    <row r="111" spans="1:15" x14ac:dyDescent="0.3">
      <c r="A111" t="s">
        <v>84</v>
      </c>
      <c r="B111" t="s">
        <v>35</v>
      </c>
      <c r="C111" s="2">
        <v>45663</v>
      </c>
      <c r="D111" t="s">
        <v>36</v>
      </c>
      <c r="E111" t="s">
        <v>37</v>
      </c>
      <c r="F111">
        <v>3024</v>
      </c>
      <c r="G111">
        <v>925</v>
      </c>
      <c r="H111">
        <v>350</v>
      </c>
      <c r="I111">
        <v>24192</v>
      </c>
      <c r="J111">
        <v>23518</v>
      </c>
      <c r="K111">
        <v>36</v>
      </c>
      <c r="L111" t="s">
        <v>21</v>
      </c>
      <c r="M111">
        <v>0.17770337301587302</v>
      </c>
      <c r="N111" t="s">
        <v>357</v>
      </c>
      <c r="O111" t="s">
        <v>359</v>
      </c>
    </row>
    <row r="112" spans="1:15" x14ac:dyDescent="0.3">
      <c r="A112" t="s">
        <v>84</v>
      </c>
      <c r="B112" t="s">
        <v>35</v>
      </c>
      <c r="C112" s="2">
        <v>45663</v>
      </c>
      <c r="D112" t="s">
        <v>36</v>
      </c>
      <c r="E112" t="s">
        <v>37</v>
      </c>
      <c r="F112">
        <v>3024</v>
      </c>
      <c r="G112">
        <v>925</v>
      </c>
      <c r="H112">
        <v>350</v>
      </c>
      <c r="I112">
        <v>24192</v>
      </c>
      <c r="J112">
        <v>23518</v>
      </c>
      <c r="K112">
        <v>36</v>
      </c>
      <c r="L112" t="s">
        <v>21</v>
      </c>
      <c r="M112">
        <v>0.17770337301587302</v>
      </c>
      <c r="N112" t="s">
        <v>358</v>
      </c>
      <c r="O112" t="s">
        <v>359</v>
      </c>
    </row>
    <row r="113" spans="1:15" x14ac:dyDescent="0.3">
      <c r="A113" t="s">
        <v>85</v>
      </c>
      <c r="B113" t="s">
        <v>23</v>
      </c>
      <c r="C113" s="2">
        <v>45705</v>
      </c>
      <c r="D113" t="s">
        <v>15</v>
      </c>
      <c r="E113" t="s">
        <v>24</v>
      </c>
      <c r="F113">
        <v>3138</v>
      </c>
      <c r="G113">
        <v>123</v>
      </c>
      <c r="H113">
        <v>291</v>
      </c>
      <c r="I113">
        <v>28242</v>
      </c>
      <c r="J113">
        <v>27550</v>
      </c>
      <c r="K113">
        <v>87</v>
      </c>
      <c r="L113" t="s">
        <v>32</v>
      </c>
      <c r="M113">
        <v>0.12577012959422137</v>
      </c>
      <c r="N113" t="s">
        <v>11</v>
      </c>
      <c r="O113" t="s">
        <v>25</v>
      </c>
    </row>
    <row r="114" spans="1:15" x14ac:dyDescent="0.3">
      <c r="A114" t="s">
        <v>85</v>
      </c>
      <c r="B114" t="s">
        <v>23</v>
      </c>
      <c r="C114" s="2">
        <v>45705</v>
      </c>
      <c r="D114" t="s">
        <v>15</v>
      </c>
      <c r="E114" t="s">
        <v>24</v>
      </c>
      <c r="F114">
        <v>3138</v>
      </c>
      <c r="G114">
        <v>123</v>
      </c>
      <c r="H114">
        <v>291</v>
      </c>
      <c r="I114">
        <v>28242</v>
      </c>
      <c r="J114">
        <v>27550</v>
      </c>
      <c r="K114">
        <v>87</v>
      </c>
      <c r="L114" t="s">
        <v>32</v>
      </c>
      <c r="M114">
        <v>0.12577012959422137</v>
      </c>
      <c r="N114" t="s">
        <v>357</v>
      </c>
      <c r="O114" t="s">
        <v>359</v>
      </c>
    </row>
    <row r="115" spans="1:15" x14ac:dyDescent="0.3">
      <c r="A115" t="s">
        <v>85</v>
      </c>
      <c r="B115" t="s">
        <v>23</v>
      </c>
      <c r="C115" s="2">
        <v>45705</v>
      </c>
      <c r="D115" t="s">
        <v>15</v>
      </c>
      <c r="E115" t="s">
        <v>24</v>
      </c>
      <c r="F115">
        <v>3138</v>
      </c>
      <c r="G115">
        <v>123</v>
      </c>
      <c r="H115">
        <v>291</v>
      </c>
      <c r="I115">
        <v>28242</v>
      </c>
      <c r="J115">
        <v>27550</v>
      </c>
      <c r="K115">
        <v>87</v>
      </c>
      <c r="L115" t="s">
        <v>32</v>
      </c>
      <c r="M115">
        <v>0.12577012959422137</v>
      </c>
      <c r="N115" t="s">
        <v>358</v>
      </c>
      <c r="O115" t="s">
        <v>359</v>
      </c>
    </row>
    <row r="116" spans="1:15" x14ac:dyDescent="0.3">
      <c r="A116" t="s">
        <v>86</v>
      </c>
      <c r="B116" t="s">
        <v>35</v>
      </c>
      <c r="C116" s="2">
        <v>45621</v>
      </c>
      <c r="D116" t="s">
        <v>41</v>
      </c>
      <c r="E116" t="s">
        <v>46</v>
      </c>
      <c r="F116">
        <v>3564</v>
      </c>
      <c r="G116">
        <v>629</v>
      </c>
      <c r="H116">
        <v>177</v>
      </c>
      <c r="I116">
        <v>60588</v>
      </c>
      <c r="J116">
        <v>59627</v>
      </c>
      <c r="K116">
        <v>92</v>
      </c>
      <c r="L116" t="s">
        <v>360</v>
      </c>
      <c r="M116">
        <v>7.2126493695121141E-2</v>
      </c>
      <c r="N116" t="s">
        <v>11</v>
      </c>
      <c r="O116" t="s">
        <v>25</v>
      </c>
    </row>
    <row r="117" spans="1:15" x14ac:dyDescent="0.3">
      <c r="A117" t="s">
        <v>86</v>
      </c>
      <c r="B117" t="s">
        <v>35</v>
      </c>
      <c r="C117" s="2">
        <v>45621</v>
      </c>
      <c r="D117" t="s">
        <v>41</v>
      </c>
      <c r="E117" t="s">
        <v>46</v>
      </c>
      <c r="F117">
        <v>3564</v>
      </c>
      <c r="G117">
        <v>629</v>
      </c>
      <c r="H117">
        <v>177</v>
      </c>
      <c r="I117">
        <v>60588</v>
      </c>
      <c r="J117">
        <v>59627</v>
      </c>
      <c r="K117">
        <v>92</v>
      </c>
      <c r="L117" t="s">
        <v>360</v>
      </c>
      <c r="M117">
        <v>7.2126493695121141E-2</v>
      </c>
      <c r="N117" t="s">
        <v>357</v>
      </c>
      <c r="O117" t="s">
        <v>359</v>
      </c>
    </row>
    <row r="118" spans="1:15" x14ac:dyDescent="0.3">
      <c r="A118" t="s">
        <v>86</v>
      </c>
      <c r="B118" t="s">
        <v>35</v>
      </c>
      <c r="C118" s="2">
        <v>45621</v>
      </c>
      <c r="D118" t="s">
        <v>41</v>
      </c>
      <c r="E118" t="s">
        <v>46</v>
      </c>
      <c r="F118">
        <v>3564</v>
      </c>
      <c r="G118">
        <v>629</v>
      </c>
      <c r="H118">
        <v>177</v>
      </c>
      <c r="I118">
        <v>60588</v>
      </c>
      <c r="J118">
        <v>59627</v>
      </c>
      <c r="K118">
        <v>92</v>
      </c>
      <c r="L118" t="s">
        <v>360</v>
      </c>
      <c r="M118">
        <v>7.2126493695121141E-2</v>
      </c>
      <c r="N118" t="s">
        <v>358</v>
      </c>
      <c r="O118" t="s">
        <v>359</v>
      </c>
    </row>
    <row r="119" spans="1:15" x14ac:dyDescent="0.3">
      <c r="A119" t="s">
        <v>87</v>
      </c>
      <c r="B119" t="s">
        <v>14</v>
      </c>
      <c r="C119" s="2">
        <v>45723</v>
      </c>
      <c r="D119" t="s">
        <v>41</v>
      </c>
      <c r="E119" t="s">
        <v>88</v>
      </c>
      <c r="F119">
        <v>4750</v>
      </c>
      <c r="G119">
        <v>151</v>
      </c>
      <c r="H119">
        <v>415</v>
      </c>
      <c r="I119">
        <v>38000</v>
      </c>
      <c r="J119">
        <v>37792</v>
      </c>
      <c r="K119">
        <v>299</v>
      </c>
      <c r="L119" t="s">
        <v>32</v>
      </c>
      <c r="M119">
        <v>0.13989473684210527</v>
      </c>
      <c r="N119" t="s">
        <v>11</v>
      </c>
      <c r="O119" t="s">
        <v>31</v>
      </c>
    </row>
    <row r="120" spans="1:15" x14ac:dyDescent="0.3">
      <c r="A120" t="s">
        <v>87</v>
      </c>
      <c r="B120" t="s">
        <v>14</v>
      </c>
      <c r="C120" s="2">
        <v>45723</v>
      </c>
      <c r="D120" t="s">
        <v>41</v>
      </c>
      <c r="E120" t="s">
        <v>88</v>
      </c>
      <c r="F120">
        <v>4750</v>
      </c>
      <c r="G120">
        <v>151</v>
      </c>
      <c r="H120">
        <v>415</v>
      </c>
      <c r="I120">
        <v>38000</v>
      </c>
      <c r="J120">
        <v>37792</v>
      </c>
      <c r="K120">
        <v>299</v>
      </c>
      <c r="L120" t="s">
        <v>32</v>
      </c>
      <c r="M120">
        <v>0.13989473684210527</v>
      </c>
      <c r="N120" t="s">
        <v>357</v>
      </c>
      <c r="O120" t="s">
        <v>359</v>
      </c>
    </row>
    <row r="121" spans="1:15" x14ac:dyDescent="0.3">
      <c r="A121" t="s">
        <v>87</v>
      </c>
      <c r="B121" t="s">
        <v>14</v>
      </c>
      <c r="C121" s="2">
        <v>45723</v>
      </c>
      <c r="D121" t="s">
        <v>41</v>
      </c>
      <c r="E121" t="s">
        <v>88</v>
      </c>
      <c r="F121">
        <v>4750</v>
      </c>
      <c r="G121">
        <v>151</v>
      </c>
      <c r="H121">
        <v>415</v>
      </c>
      <c r="I121">
        <v>38000</v>
      </c>
      <c r="J121">
        <v>37792</v>
      </c>
      <c r="K121">
        <v>299</v>
      </c>
      <c r="L121" t="s">
        <v>32</v>
      </c>
      <c r="M121">
        <v>0.13989473684210527</v>
      </c>
      <c r="N121" t="s">
        <v>358</v>
      </c>
      <c r="O121" t="s">
        <v>359</v>
      </c>
    </row>
    <row r="122" spans="1:15" x14ac:dyDescent="0.3">
      <c r="A122" t="s">
        <v>89</v>
      </c>
      <c r="B122" t="s">
        <v>28</v>
      </c>
      <c r="C122" s="2">
        <v>45724</v>
      </c>
      <c r="D122" t="s">
        <v>15</v>
      </c>
      <c r="E122" t="s">
        <v>61</v>
      </c>
      <c r="F122">
        <v>456</v>
      </c>
      <c r="G122">
        <v>629</v>
      </c>
      <c r="H122">
        <v>428</v>
      </c>
      <c r="I122">
        <v>8208</v>
      </c>
      <c r="J122">
        <v>7377</v>
      </c>
      <c r="K122">
        <v>205</v>
      </c>
      <c r="L122" t="s">
        <v>32</v>
      </c>
      <c r="M122">
        <v>0.18433235867446393</v>
      </c>
      <c r="N122" t="s">
        <v>11</v>
      </c>
      <c r="O122" t="s">
        <v>48</v>
      </c>
    </row>
    <row r="123" spans="1:15" x14ac:dyDescent="0.3">
      <c r="A123" t="s">
        <v>89</v>
      </c>
      <c r="B123" t="s">
        <v>28</v>
      </c>
      <c r="C123" s="2">
        <v>45724</v>
      </c>
      <c r="D123" t="s">
        <v>15</v>
      </c>
      <c r="E123" t="s">
        <v>61</v>
      </c>
      <c r="F123">
        <v>456</v>
      </c>
      <c r="G123">
        <v>629</v>
      </c>
      <c r="H123">
        <v>428</v>
      </c>
      <c r="I123">
        <v>8208</v>
      </c>
      <c r="J123">
        <v>7377</v>
      </c>
      <c r="K123">
        <v>205</v>
      </c>
      <c r="L123" t="s">
        <v>32</v>
      </c>
      <c r="M123">
        <v>0.18433235867446393</v>
      </c>
      <c r="N123" t="s">
        <v>357</v>
      </c>
      <c r="O123" t="s">
        <v>359</v>
      </c>
    </row>
    <row r="124" spans="1:15" x14ac:dyDescent="0.3">
      <c r="A124" t="s">
        <v>89</v>
      </c>
      <c r="B124" t="s">
        <v>28</v>
      </c>
      <c r="C124" s="2">
        <v>45724</v>
      </c>
      <c r="D124" t="s">
        <v>15</v>
      </c>
      <c r="E124" t="s">
        <v>61</v>
      </c>
      <c r="F124">
        <v>456</v>
      </c>
      <c r="G124">
        <v>629</v>
      </c>
      <c r="H124">
        <v>428</v>
      </c>
      <c r="I124">
        <v>8208</v>
      </c>
      <c r="J124">
        <v>7377</v>
      </c>
      <c r="K124">
        <v>205</v>
      </c>
      <c r="L124" t="s">
        <v>32</v>
      </c>
      <c r="M124">
        <v>0.18433235867446393</v>
      </c>
      <c r="N124" t="s">
        <v>358</v>
      </c>
      <c r="O124" t="s">
        <v>359</v>
      </c>
    </row>
    <row r="125" spans="1:15" x14ac:dyDescent="0.3">
      <c r="A125" t="s">
        <v>90</v>
      </c>
      <c r="B125" t="s">
        <v>23</v>
      </c>
      <c r="C125" s="2">
        <v>45721</v>
      </c>
      <c r="D125" t="s">
        <v>15</v>
      </c>
      <c r="E125" t="s">
        <v>24</v>
      </c>
      <c r="F125">
        <v>1543</v>
      </c>
      <c r="G125">
        <v>820</v>
      </c>
      <c r="H125">
        <v>333</v>
      </c>
      <c r="I125">
        <v>12344</v>
      </c>
      <c r="J125">
        <v>11496</v>
      </c>
      <c r="K125">
        <v>241</v>
      </c>
      <c r="L125" t="s">
        <v>360</v>
      </c>
      <c r="M125">
        <v>0.21840570317563188</v>
      </c>
      <c r="N125" t="s">
        <v>11</v>
      </c>
      <c r="O125" t="s">
        <v>31</v>
      </c>
    </row>
    <row r="126" spans="1:15" x14ac:dyDescent="0.3">
      <c r="A126" t="s">
        <v>90</v>
      </c>
      <c r="B126" t="s">
        <v>23</v>
      </c>
      <c r="C126" s="2">
        <v>45721</v>
      </c>
      <c r="D126" t="s">
        <v>15</v>
      </c>
      <c r="E126" t="s">
        <v>24</v>
      </c>
      <c r="F126">
        <v>1543</v>
      </c>
      <c r="G126">
        <v>820</v>
      </c>
      <c r="H126">
        <v>333</v>
      </c>
      <c r="I126">
        <v>12344</v>
      </c>
      <c r="J126">
        <v>11496</v>
      </c>
      <c r="K126">
        <v>241</v>
      </c>
      <c r="L126" t="s">
        <v>360</v>
      </c>
      <c r="M126">
        <v>0.21840570317563188</v>
      </c>
      <c r="N126" t="s">
        <v>357</v>
      </c>
      <c r="O126" t="s">
        <v>359</v>
      </c>
    </row>
    <row r="127" spans="1:15" x14ac:dyDescent="0.3">
      <c r="A127" t="s">
        <v>90</v>
      </c>
      <c r="B127" t="s">
        <v>23</v>
      </c>
      <c r="C127" s="2">
        <v>45721</v>
      </c>
      <c r="D127" t="s">
        <v>15</v>
      </c>
      <c r="E127" t="s">
        <v>24</v>
      </c>
      <c r="F127">
        <v>1543</v>
      </c>
      <c r="G127">
        <v>820</v>
      </c>
      <c r="H127">
        <v>333</v>
      </c>
      <c r="I127">
        <v>12344</v>
      </c>
      <c r="J127">
        <v>11496</v>
      </c>
      <c r="K127">
        <v>241</v>
      </c>
      <c r="L127" t="s">
        <v>360</v>
      </c>
      <c r="M127">
        <v>0.21840570317563188</v>
      </c>
      <c r="N127" t="s">
        <v>358</v>
      </c>
      <c r="O127" t="s">
        <v>359</v>
      </c>
    </row>
    <row r="128" spans="1:15" x14ac:dyDescent="0.3">
      <c r="A128" t="s">
        <v>91</v>
      </c>
      <c r="B128" t="s">
        <v>28</v>
      </c>
      <c r="C128" s="2">
        <v>45640</v>
      </c>
      <c r="D128" t="s">
        <v>36</v>
      </c>
      <c r="E128" t="s">
        <v>65</v>
      </c>
      <c r="F128">
        <v>2174</v>
      </c>
      <c r="G128">
        <v>658</v>
      </c>
      <c r="H128">
        <v>15</v>
      </c>
      <c r="I128">
        <v>13044</v>
      </c>
      <c r="J128">
        <v>12206</v>
      </c>
      <c r="K128">
        <v>137</v>
      </c>
      <c r="L128" t="s">
        <v>26</v>
      </c>
      <c r="M128">
        <v>0.21826126954921804</v>
      </c>
      <c r="N128" t="s">
        <v>11</v>
      </c>
      <c r="O128" t="s">
        <v>25</v>
      </c>
    </row>
    <row r="129" spans="1:15" x14ac:dyDescent="0.3">
      <c r="A129" t="s">
        <v>91</v>
      </c>
      <c r="B129" t="s">
        <v>28</v>
      </c>
      <c r="C129" s="2">
        <v>45640</v>
      </c>
      <c r="D129" t="s">
        <v>36</v>
      </c>
      <c r="E129" t="s">
        <v>65</v>
      </c>
      <c r="F129">
        <v>2174</v>
      </c>
      <c r="G129">
        <v>658</v>
      </c>
      <c r="H129">
        <v>15</v>
      </c>
      <c r="I129">
        <v>13044</v>
      </c>
      <c r="J129">
        <v>12206</v>
      </c>
      <c r="K129">
        <v>137</v>
      </c>
      <c r="L129" t="s">
        <v>26</v>
      </c>
      <c r="M129">
        <v>0.21826126954921804</v>
      </c>
      <c r="N129" t="s">
        <v>357</v>
      </c>
      <c r="O129" t="s">
        <v>359</v>
      </c>
    </row>
    <row r="130" spans="1:15" x14ac:dyDescent="0.3">
      <c r="A130" t="s">
        <v>91</v>
      </c>
      <c r="B130" t="s">
        <v>28</v>
      </c>
      <c r="C130" s="2">
        <v>45640</v>
      </c>
      <c r="D130" t="s">
        <v>36</v>
      </c>
      <c r="E130" t="s">
        <v>65</v>
      </c>
      <c r="F130">
        <v>2174</v>
      </c>
      <c r="G130">
        <v>658</v>
      </c>
      <c r="H130">
        <v>15</v>
      </c>
      <c r="I130">
        <v>13044</v>
      </c>
      <c r="J130">
        <v>12206</v>
      </c>
      <c r="K130">
        <v>137</v>
      </c>
      <c r="L130" t="s">
        <v>26</v>
      </c>
      <c r="M130">
        <v>0.21826126954921804</v>
      </c>
      <c r="N130" t="s">
        <v>358</v>
      </c>
      <c r="O130" t="s">
        <v>359</v>
      </c>
    </row>
    <row r="131" spans="1:15" x14ac:dyDescent="0.3">
      <c r="A131" t="s">
        <v>92</v>
      </c>
      <c r="B131" t="s">
        <v>14</v>
      </c>
      <c r="C131" s="2">
        <v>45718</v>
      </c>
      <c r="D131" t="s">
        <v>41</v>
      </c>
      <c r="E131" t="s">
        <v>88</v>
      </c>
      <c r="F131">
        <v>2358</v>
      </c>
      <c r="G131">
        <v>784</v>
      </c>
      <c r="H131">
        <v>344</v>
      </c>
      <c r="I131">
        <v>35370</v>
      </c>
      <c r="J131">
        <v>34475</v>
      </c>
      <c r="K131">
        <v>216</v>
      </c>
      <c r="L131" t="s">
        <v>360</v>
      </c>
      <c r="M131">
        <v>9.8558100084817649E-2</v>
      </c>
      <c r="N131" t="s">
        <v>11</v>
      </c>
      <c r="O131" t="s">
        <v>25</v>
      </c>
    </row>
    <row r="132" spans="1:15" x14ac:dyDescent="0.3">
      <c r="A132" t="s">
        <v>92</v>
      </c>
      <c r="B132" t="s">
        <v>14</v>
      </c>
      <c r="C132" s="2">
        <v>45718</v>
      </c>
      <c r="D132" t="s">
        <v>41</v>
      </c>
      <c r="E132" t="s">
        <v>88</v>
      </c>
      <c r="F132">
        <v>2358</v>
      </c>
      <c r="G132">
        <v>784</v>
      </c>
      <c r="H132">
        <v>344</v>
      </c>
      <c r="I132">
        <v>35370</v>
      </c>
      <c r="J132">
        <v>34475</v>
      </c>
      <c r="K132">
        <v>216</v>
      </c>
      <c r="L132" t="s">
        <v>360</v>
      </c>
      <c r="M132">
        <v>9.8558100084817649E-2</v>
      </c>
      <c r="N132" t="s">
        <v>357</v>
      </c>
      <c r="O132" t="s">
        <v>359</v>
      </c>
    </row>
    <row r="133" spans="1:15" x14ac:dyDescent="0.3">
      <c r="A133" t="s">
        <v>92</v>
      </c>
      <c r="B133" t="s">
        <v>14</v>
      </c>
      <c r="C133" s="2">
        <v>45718</v>
      </c>
      <c r="D133" t="s">
        <v>41</v>
      </c>
      <c r="E133" t="s">
        <v>88</v>
      </c>
      <c r="F133">
        <v>2358</v>
      </c>
      <c r="G133">
        <v>784</v>
      </c>
      <c r="H133">
        <v>344</v>
      </c>
      <c r="I133">
        <v>35370</v>
      </c>
      <c r="J133">
        <v>34475</v>
      </c>
      <c r="K133">
        <v>216</v>
      </c>
      <c r="L133" t="s">
        <v>360</v>
      </c>
      <c r="M133">
        <v>9.8558100084817649E-2</v>
      </c>
      <c r="N133" t="s">
        <v>358</v>
      </c>
      <c r="O133" t="s">
        <v>359</v>
      </c>
    </row>
    <row r="134" spans="1:15" x14ac:dyDescent="0.3">
      <c r="A134" t="s">
        <v>93</v>
      </c>
      <c r="B134" t="s">
        <v>35</v>
      </c>
      <c r="C134" s="2">
        <v>45597</v>
      </c>
      <c r="D134" t="s">
        <v>56</v>
      </c>
      <c r="E134" t="s">
        <v>57</v>
      </c>
      <c r="F134">
        <v>3371</v>
      </c>
      <c r="G134">
        <v>106</v>
      </c>
      <c r="H134">
        <v>327</v>
      </c>
      <c r="I134">
        <v>50565</v>
      </c>
      <c r="J134">
        <v>49816</v>
      </c>
      <c r="K134">
        <v>176</v>
      </c>
      <c r="L134" t="s">
        <v>17</v>
      </c>
      <c r="M134">
        <v>7.5229902106199939E-2</v>
      </c>
      <c r="N134" t="s">
        <v>11</v>
      </c>
      <c r="O134" t="s">
        <v>48</v>
      </c>
    </row>
    <row r="135" spans="1:15" x14ac:dyDescent="0.3">
      <c r="A135" t="s">
        <v>93</v>
      </c>
      <c r="B135" t="s">
        <v>35</v>
      </c>
      <c r="C135" s="2">
        <v>45597</v>
      </c>
      <c r="D135" t="s">
        <v>56</v>
      </c>
      <c r="E135" t="s">
        <v>57</v>
      </c>
      <c r="F135">
        <v>3371</v>
      </c>
      <c r="G135">
        <v>106</v>
      </c>
      <c r="H135">
        <v>327</v>
      </c>
      <c r="I135">
        <v>50565</v>
      </c>
      <c r="J135">
        <v>49816</v>
      </c>
      <c r="K135">
        <v>176</v>
      </c>
      <c r="L135" t="s">
        <v>17</v>
      </c>
      <c r="M135">
        <v>7.5229902106199939E-2</v>
      </c>
      <c r="N135" t="s">
        <v>357</v>
      </c>
      <c r="O135" t="s">
        <v>359</v>
      </c>
    </row>
    <row r="136" spans="1:15" x14ac:dyDescent="0.3">
      <c r="A136" t="s">
        <v>93</v>
      </c>
      <c r="B136" t="s">
        <v>35</v>
      </c>
      <c r="C136" s="2">
        <v>45597</v>
      </c>
      <c r="D136" t="s">
        <v>56</v>
      </c>
      <c r="E136" t="s">
        <v>57</v>
      </c>
      <c r="F136">
        <v>3371</v>
      </c>
      <c r="G136">
        <v>106</v>
      </c>
      <c r="H136">
        <v>327</v>
      </c>
      <c r="I136">
        <v>50565</v>
      </c>
      <c r="J136">
        <v>49816</v>
      </c>
      <c r="K136">
        <v>176</v>
      </c>
      <c r="L136" t="s">
        <v>17</v>
      </c>
      <c r="M136">
        <v>7.5229902106199939E-2</v>
      </c>
      <c r="N136" t="s">
        <v>358</v>
      </c>
      <c r="O136" t="s">
        <v>359</v>
      </c>
    </row>
    <row r="137" spans="1:15" x14ac:dyDescent="0.3">
      <c r="A137" t="s">
        <v>94</v>
      </c>
      <c r="B137" t="s">
        <v>14</v>
      </c>
      <c r="C137" s="2">
        <v>45779</v>
      </c>
      <c r="D137" t="s">
        <v>56</v>
      </c>
      <c r="E137" t="s">
        <v>95</v>
      </c>
      <c r="F137">
        <v>1108</v>
      </c>
      <c r="G137">
        <v>177</v>
      </c>
      <c r="H137">
        <v>212</v>
      </c>
      <c r="I137">
        <v>8864</v>
      </c>
      <c r="J137">
        <v>8710</v>
      </c>
      <c r="K137">
        <v>97</v>
      </c>
      <c r="L137" t="s">
        <v>32</v>
      </c>
      <c r="M137">
        <v>0.16888537906137185</v>
      </c>
      <c r="N137" t="s">
        <v>11</v>
      </c>
      <c r="O137" t="s">
        <v>25</v>
      </c>
    </row>
    <row r="138" spans="1:15" x14ac:dyDescent="0.3">
      <c r="A138" t="s">
        <v>94</v>
      </c>
      <c r="B138" t="s">
        <v>14</v>
      </c>
      <c r="C138" s="2">
        <v>45779</v>
      </c>
      <c r="D138" t="s">
        <v>56</v>
      </c>
      <c r="E138" t="s">
        <v>95</v>
      </c>
      <c r="F138">
        <v>1108</v>
      </c>
      <c r="G138">
        <v>177</v>
      </c>
      <c r="H138">
        <v>212</v>
      </c>
      <c r="I138">
        <v>8864</v>
      </c>
      <c r="J138">
        <v>8710</v>
      </c>
      <c r="K138">
        <v>97</v>
      </c>
      <c r="L138" t="s">
        <v>32</v>
      </c>
      <c r="M138">
        <v>0.16888537906137185</v>
      </c>
      <c r="N138" t="s">
        <v>357</v>
      </c>
      <c r="O138" t="s">
        <v>359</v>
      </c>
    </row>
    <row r="139" spans="1:15" x14ac:dyDescent="0.3">
      <c r="A139" t="s">
        <v>94</v>
      </c>
      <c r="B139" t="s">
        <v>14</v>
      </c>
      <c r="C139" s="2">
        <v>45779</v>
      </c>
      <c r="D139" t="s">
        <v>56</v>
      </c>
      <c r="E139" t="s">
        <v>95</v>
      </c>
      <c r="F139">
        <v>1108</v>
      </c>
      <c r="G139">
        <v>177</v>
      </c>
      <c r="H139">
        <v>212</v>
      </c>
      <c r="I139">
        <v>8864</v>
      </c>
      <c r="J139">
        <v>8710</v>
      </c>
      <c r="K139">
        <v>97</v>
      </c>
      <c r="L139" t="s">
        <v>32</v>
      </c>
      <c r="M139">
        <v>0.16888537906137185</v>
      </c>
      <c r="N139" t="s">
        <v>358</v>
      </c>
      <c r="O139" t="s">
        <v>359</v>
      </c>
    </row>
    <row r="140" spans="1:15" x14ac:dyDescent="0.3">
      <c r="A140" t="s">
        <v>96</v>
      </c>
      <c r="B140" t="s">
        <v>14</v>
      </c>
      <c r="C140" s="2">
        <v>45712</v>
      </c>
      <c r="D140" t="s">
        <v>36</v>
      </c>
      <c r="E140" t="s">
        <v>39</v>
      </c>
      <c r="F140">
        <v>2704</v>
      </c>
      <c r="G140">
        <v>752</v>
      </c>
      <c r="H140">
        <v>153</v>
      </c>
      <c r="I140">
        <v>21632</v>
      </c>
      <c r="J140">
        <v>20792</v>
      </c>
      <c r="K140">
        <v>127</v>
      </c>
      <c r="L140" t="s">
        <v>360</v>
      </c>
      <c r="M140">
        <v>0.16683616863905326</v>
      </c>
      <c r="N140" t="s">
        <v>11</v>
      </c>
      <c r="O140" t="s">
        <v>48</v>
      </c>
    </row>
    <row r="141" spans="1:15" x14ac:dyDescent="0.3">
      <c r="A141" t="s">
        <v>96</v>
      </c>
      <c r="B141" t="s">
        <v>14</v>
      </c>
      <c r="C141" s="2">
        <v>45712</v>
      </c>
      <c r="D141" t="s">
        <v>36</v>
      </c>
      <c r="E141" t="s">
        <v>39</v>
      </c>
      <c r="F141">
        <v>2704</v>
      </c>
      <c r="G141">
        <v>752</v>
      </c>
      <c r="H141">
        <v>153</v>
      </c>
      <c r="I141">
        <v>21632</v>
      </c>
      <c r="J141">
        <v>20792</v>
      </c>
      <c r="K141">
        <v>127</v>
      </c>
      <c r="L141" t="s">
        <v>360</v>
      </c>
      <c r="M141">
        <v>0.16683616863905326</v>
      </c>
      <c r="N141" t="s">
        <v>357</v>
      </c>
      <c r="O141" t="s">
        <v>359</v>
      </c>
    </row>
    <row r="142" spans="1:15" x14ac:dyDescent="0.3">
      <c r="A142" t="s">
        <v>96</v>
      </c>
      <c r="B142" t="s">
        <v>14</v>
      </c>
      <c r="C142" s="2">
        <v>45712</v>
      </c>
      <c r="D142" t="s">
        <v>36</v>
      </c>
      <c r="E142" t="s">
        <v>39</v>
      </c>
      <c r="F142">
        <v>2704</v>
      </c>
      <c r="G142">
        <v>752</v>
      </c>
      <c r="H142">
        <v>153</v>
      </c>
      <c r="I142">
        <v>21632</v>
      </c>
      <c r="J142">
        <v>20792</v>
      </c>
      <c r="K142">
        <v>127</v>
      </c>
      <c r="L142" t="s">
        <v>360</v>
      </c>
      <c r="M142">
        <v>0.16683616863905326</v>
      </c>
      <c r="N142" t="s">
        <v>358</v>
      </c>
      <c r="O142" t="s">
        <v>359</v>
      </c>
    </row>
    <row r="143" spans="1:15" x14ac:dyDescent="0.3">
      <c r="A143" t="s">
        <v>97</v>
      </c>
      <c r="B143" t="s">
        <v>14</v>
      </c>
      <c r="C143" s="2">
        <v>45727</v>
      </c>
      <c r="D143" t="s">
        <v>29</v>
      </c>
      <c r="E143" t="s">
        <v>98</v>
      </c>
      <c r="F143">
        <v>1950</v>
      </c>
      <c r="G143">
        <v>295</v>
      </c>
      <c r="H143">
        <v>478</v>
      </c>
      <c r="I143">
        <v>37050</v>
      </c>
      <c r="J143">
        <v>36272</v>
      </c>
      <c r="K143">
        <v>119</v>
      </c>
      <c r="L143" t="s">
        <v>360</v>
      </c>
      <c r="M143">
        <v>7.349527665317139E-2</v>
      </c>
      <c r="N143" t="s">
        <v>11</v>
      </c>
      <c r="O143" t="s">
        <v>25</v>
      </c>
    </row>
    <row r="144" spans="1:15" x14ac:dyDescent="0.3">
      <c r="A144" t="s">
        <v>97</v>
      </c>
      <c r="B144" t="s">
        <v>14</v>
      </c>
      <c r="C144" s="2">
        <v>45727</v>
      </c>
      <c r="D144" t="s">
        <v>29</v>
      </c>
      <c r="E144" t="s">
        <v>98</v>
      </c>
      <c r="F144">
        <v>1950</v>
      </c>
      <c r="G144">
        <v>295</v>
      </c>
      <c r="H144">
        <v>478</v>
      </c>
      <c r="I144">
        <v>37050</v>
      </c>
      <c r="J144">
        <v>36272</v>
      </c>
      <c r="K144">
        <v>119</v>
      </c>
      <c r="L144" t="s">
        <v>360</v>
      </c>
      <c r="M144">
        <v>7.349527665317139E-2</v>
      </c>
      <c r="N144" t="s">
        <v>357</v>
      </c>
      <c r="O144" t="s">
        <v>359</v>
      </c>
    </row>
    <row r="145" spans="1:15" x14ac:dyDescent="0.3">
      <c r="A145" t="s">
        <v>97</v>
      </c>
      <c r="B145" t="s">
        <v>14</v>
      </c>
      <c r="C145" s="2">
        <v>45727</v>
      </c>
      <c r="D145" t="s">
        <v>29</v>
      </c>
      <c r="E145" t="s">
        <v>98</v>
      </c>
      <c r="F145">
        <v>1950</v>
      </c>
      <c r="G145">
        <v>295</v>
      </c>
      <c r="H145">
        <v>478</v>
      </c>
      <c r="I145">
        <v>37050</v>
      </c>
      <c r="J145">
        <v>36272</v>
      </c>
      <c r="K145">
        <v>119</v>
      </c>
      <c r="L145" t="s">
        <v>360</v>
      </c>
      <c r="M145">
        <v>7.349527665317139E-2</v>
      </c>
      <c r="N145" t="s">
        <v>358</v>
      </c>
      <c r="O145" t="s">
        <v>359</v>
      </c>
    </row>
    <row r="146" spans="1:15" x14ac:dyDescent="0.3">
      <c r="A146" t="s">
        <v>99</v>
      </c>
      <c r="B146" t="s">
        <v>14</v>
      </c>
      <c r="C146" s="2">
        <v>45453</v>
      </c>
      <c r="D146" t="s">
        <v>29</v>
      </c>
      <c r="E146" t="s">
        <v>98</v>
      </c>
      <c r="F146">
        <v>2164</v>
      </c>
      <c r="G146">
        <v>549</v>
      </c>
      <c r="H146">
        <v>274</v>
      </c>
      <c r="I146">
        <v>28132</v>
      </c>
      <c r="J146">
        <v>27361</v>
      </c>
      <c r="K146">
        <v>177</v>
      </c>
      <c r="L146" t="s">
        <v>32</v>
      </c>
      <c r="M146">
        <v>0.10617801791554102</v>
      </c>
      <c r="N146" t="s">
        <v>11</v>
      </c>
      <c r="O146" t="s">
        <v>25</v>
      </c>
    </row>
    <row r="147" spans="1:15" x14ac:dyDescent="0.3">
      <c r="A147" t="s">
        <v>99</v>
      </c>
      <c r="B147" t="s">
        <v>14</v>
      </c>
      <c r="C147" s="2">
        <v>45453</v>
      </c>
      <c r="D147" t="s">
        <v>29</v>
      </c>
      <c r="E147" t="s">
        <v>98</v>
      </c>
      <c r="F147">
        <v>2164</v>
      </c>
      <c r="G147">
        <v>549</v>
      </c>
      <c r="H147">
        <v>274</v>
      </c>
      <c r="I147">
        <v>28132</v>
      </c>
      <c r="J147">
        <v>27361</v>
      </c>
      <c r="K147">
        <v>177</v>
      </c>
      <c r="L147" t="s">
        <v>32</v>
      </c>
      <c r="M147">
        <v>0.10617801791554102</v>
      </c>
      <c r="N147" t="s">
        <v>357</v>
      </c>
      <c r="O147" t="s">
        <v>359</v>
      </c>
    </row>
    <row r="148" spans="1:15" x14ac:dyDescent="0.3">
      <c r="A148" t="s">
        <v>99</v>
      </c>
      <c r="B148" t="s">
        <v>14</v>
      </c>
      <c r="C148" s="2">
        <v>45453</v>
      </c>
      <c r="D148" t="s">
        <v>29</v>
      </c>
      <c r="E148" t="s">
        <v>98</v>
      </c>
      <c r="F148">
        <v>2164</v>
      </c>
      <c r="G148">
        <v>549</v>
      </c>
      <c r="H148">
        <v>274</v>
      </c>
      <c r="I148">
        <v>28132</v>
      </c>
      <c r="J148">
        <v>27361</v>
      </c>
      <c r="K148">
        <v>177</v>
      </c>
      <c r="L148" t="s">
        <v>32</v>
      </c>
      <c r="M148">
        <v>0.10617801791554102</v>
      </c>
      <c r="N148" t="s">
        <v>358</v>
      </c>
      <c r="O148" t="s">
        <v>359</v>
      </c>
    </row>
    <row r="149" spans="1:15" x14ac:dyDescent="0.3">
      <c r="A149" t="s">
        <v>100</v>
      </c>
      <c r="B149" t="s">
        <v>23</v>
      </c>
      <c r="C149" s="2">
        <v>45476</v>
      </c>
      <c r="D149" t="s">
        <v>29</v>
      </c>
      <c r="E149" t="s">
        <v>101</v>
      </c>
      <c r="F149">
        <v>2754</v>
      </c>
      <c r="G149">
        <v>130</v>
      </c>
      <c r="H149">
        <v>90</v>
      </c>
      <c r="I149">
        <v>22032</v>
      </c>
      <c r="J149">
        <v>21288</v>
      </c>
      <c r="K149">
        <v>112</v>
      </c>
      <c r="L149" t="s">
        <v>26</v>
      </c>
      <c r="M149">
        <v>0.13498547567175018</v>
      </c>
      <c r="N149" t="s">
        <v>11</v>
      </c>
      <c r="O149" t="s">
        <v>25</v>
      </c>
    </row>
    <row r="150" spans="1:15" x14ac:dyDescent="0.3">
      <c r="A150" t="s">
        <v>100</v>
      </c>
      <c r="B150" t="s">
        <v>23</v>
      </c>
      <c r="C150" s="2">
        <v>45476</v>
      </c>
      <c r="D150" t="s">
        <v>29</v>
      </c>
      <c r="E150" t="s">
        <v>101</v>
      </c>
      <c r="F150">
        <v>2754</v>
      </c>
      <c r="G150">
        <v>130</v>
      </c>
      <c r="H150">
        <v>90</v>
      </c>
      <c r="I150">
        <v>22032</v>
      </c>
      <c r="J150">
        <v>21288</v>
      </c>
      <c r="K150">
        <v>112</v>
      </c>
      <c r="L150" t="s">
        <v>26</v>
      </c>
      <c r="M150">
        <v>0.13498547567175018</v>
      </c>
      <c r="N150" t="s">
        <v>357</v>
      </c>
      <c r="O150" t="s">
        <v>359</v>
      </c>
    </row>
    <row r="151" spans="1:15" x14ac:dyDescent="0.3">
      <c r="A151" t="s">
        <v>100</v>
      </c>
      <c r="B151" t="s">
        <v>23</v>
      </c>
      <c r="C151" s="2">
        <v>45476</v>
      </c>
      <c r="D151" t="s">
        <v>29</v>
      </c>
      <c r="E151" t="s">
        <v>101</v>
      </c>
      <c r="F151">
        <v>2754</v>
      </c>
      <c r="G151">
        <v>130</v>
      </c>
      <c r="H151">
        <v>90</v>
      </c>
      <c r="I151">
        <v>22032</v>
      </c>
      <c r="J151">
        <v>21288</v>
      </c>
      <c r="K151">
        <v>112</v>
      </c>
      <c r="L151" t="s">
        <v>26</v>
      </c>
      <c r="M151">
        <v>0.13498547567175018</v>
      </c>
      <c r="N151" t="s">
        <v>358</v>
      </c>
      <c r="O151" t="s">
        <v>359</v>
      </c>
    </row>
    <row r="152" spans="1:15" x14ac:dyDescent="0.3">
      <c r="A152" t="s">
        <v>102</v>
      </c>
      <c r="B152" t="s">
        <v>35</v>
      </c>
      <c r="C152" s="2">
        <v>45456</v>
      </c>
      <c r="D152" t="s">
        <v>36</v>
      </c>
      <c r="E152" t="s">
        <v>37</v>
      </c>
      <c r="F152">
        <v>2200</v>
      </c>
      <c r="G152">
        <v>504</v>
      </c>
      <c r="H152">
        <v>239</v>
      </c>
      <c r="I152">
        <v>37400</v>
      </c>
      <c r="J152">
        <v>36938</v>
      </c>
      <c r="K152">
        <v>225</v>
      </c>
      <c r="L152" t="s">
        <v>21</v>
      </c>
      <c r="M152">
        <v>7.8689839572192513E-2</v>
      </c>
      <c r="N152" t="s">
        <v>11</v>
      </c>
      <c r="O152" t="s">
        <v>48</v>
      </c>
    </row>
    <row r="153" spans="1:15" x14ac:dyDescent="0.3">
      <c r="A153" t="s">
        <v>102</v>
      </c>
      <c r="B153" t="s">
        <v>35</v>
      </c>
      <c r="C153" s="2">
        <v>45456</v>
      </c>
      <c r="D153" t="s">
        <v>36</v>
      </c>
      <c r="E153" t="s">
        <v>37</v>
      </c>
      <c r="F153">
        <v>2200</v>
      </c>
      <c r="G153">
        <v>504</v>
      </c>
      <c r="H153">
        <v>239</v>
      </c>
      <c r="I153">
        <v>37400</v>
      </c>
      <c r="J153">
        <v>36938</v>
      </c>
      <c r="K153">
        <v>225</v>
      </c>
      <c r="L153" t="s">
        <v>21</v>
      </c>
      <c r="M153">
        <v>7.8689839572192513E-2</v>
      </c>
      <c r="N153" t="s">
        <v>357</v>
      </c>
      <c r="O153" t="s">
        <v>359</v>
      </c>
    </row>
    <row r="154" spans="1:15" x14ac:dyDescent="0.3">
      <c r="A154" t="s">
        <v>102</v>
      </c>
      <c r="B154" t="s">
        <v>35</v>
      </c>
      <c r="C154" s="2">
        <v>45456</v>
      </c>
      <c r="D154" t="s">
        <v>36</v>
      </c>
      <c r="E154" t="s">
        <v>37</v>
      </c>
      <c r="F154">
        <v>2200</v>
      </c>
      <c r="G154">
        <v>504</v>
      </c>
      <c r="H154">
        <v>239</v>
      </c>
      <c r="I154">
        <v>37400</v>
      </c>
      <c r="J154">
        <v>36938</v>
      </c>
      <c r="K154">
        <v>225</v>
      </c>
      <c r="L154" t="s">
        <v>21</v>
      </c>
      <c r="M154">
        <v>7.8689839572192513E-2</v>
      </c>
      <c r="N154" t="s">
        <v>358</v>
      </c>
      <c r="O154" t="s">
        <v>359</v>
      </c>
    </row>
    <row r="155" spans="1:15" x14ac:dyDescent="0.3">
      <c r="A155" t="s">
        <v>103</v>
      </c>
      <c r="B155" t="s">
        <v>35</v>
      </c>
      <c r="C155" s="2">
        <v>45660</v>
      </c>
      <c r="D155" t="s">
        <v>41</v>
      </c>
      <c r="E155" t="s">
        <v>46</v>
      </c>
      <c r="F155">
        <v>947</v>
      </c>
      <c r="G155">
        <v>338</v>
      </c>
      <c r="H155">
        <v>350</v>
      </c>
      <c r="I155">
        <v>10417</v>
      </c>
      <c r="J155">
        <v>9730</v>
      </c>
      <c r="K155">
        <v>34</v>
      </c>
      <c r="L155" t="s">
        <v>32</v>
      </c>
      <c r="M155">
        <v>0.1569549774407219</v>
      </c>
      <c r="N155" t="s">
        <v>11</v>
      </c>
      <c r="O155" t="s">
        <v>25</v>
      </c>
    </row>
    <row r="156" spans="1:15" x14ac:dyDescent="0.3">
      <c r="A156" t="s">
        <v>103</v>
      </c>
      <c r="B156" t="s">
        <v>35</v>
      </c>
      <c r="C156" s="2">
        <v>45660</v>
      </c>
      <c r="D156" t="s">
        <v>41</v>
      </c>
      <c r="E156" t="s">
        <v>46</v>
      </c>
      <c r="F156">
        <v>947</v>
      </c>
      <c r="G156">
        <v>338</v>
      </c>
      <c r="H156">
        <v>350</v>
      </c>
      <c r="I156">
        <v>10417</v>
      </c>
      <c r="J156">
        <v>9730</v>
      </c>
      <c r="K156">
        <v>34</v>
      </c>
      <c r="L156" t="s">
        <v>32</v>
      </c>
      <c r="M156">
        <v>0.1569549774407219</v>
      </c>
      <c r="N156" t="s">
        <v>357</v>
      </c>
      <c r="O156" t="s">
        <v>359</v>
      </c>
    </row>
    <row r="157" spans="1:15" x14ac:dyDescent="0.3">
      <c r="A157" t="s">
        <v>103</v>
      </c>
      <c r="B157" t="s">
        <v>35</v>
      </c>
      <c r="C157" s="2">
        <v>45660</v>
      </c>
      <c r="D157" t="s">
        <v>41</v>
      </c>
      <c r="E157" t="s">
        <v>46</v>
      </c>
      <c r="F157">
        <v>947</v>
      </c>
      <c r="G157">
        <v>338</v>
      </c>
      <c r="H157">
        <v>350</v>
      </c>
      <c r="I157">
        <v>10417</v>
      </c>
      <c r="J157">
        <v>9730</v>
      </c>
      <c r="K157">
        <v>34</v>
      </c>
      <c r="L157" t="s">
        <v>32</v>
      </c>
      <c r="M157">
        <v>0.1569549774407219</v>
      </c>
      <c r="N157" t="s">
        <v>358</v>
      </c>
      <c r="O157" t="s">
        <v>359</v>
      </c>
    </row>
    <row r="158" spans="1:15" x14ac:dyDescent="0.3">
      <c r="A158" t="s">
        <v>104</v>
      </c>
      <c r="B158" t="s">
        <v>23</v>
      </c>
      <c r="C158" s="2">
        <v>45712</v>
      </c>
      <c r="D158" t="s">
        <v>36</v>
      </c>
      <c r="E158" t="s">
        <v>52</v>
      </c>
      <c r="F158">
        <v>804</v>
      </c>
      <c r="G158">
        <v>639</v>
      </c>
      <c r="H158">
        <v>43</v>
      </c>
      <c r="I158">
        <v>4020</v>
      </c>
      <c r="J158">
        <v>3144</v>
      </c>
      <c r="K158">
        <v>11</v>
      </c>
      <c r="L158" t="s">
        <v>360</v>
      </c>
      <c r="M158">
        <v>0.36965174129353234</v>
      </c>
      <c r="N158" t="s">
        <v>11</v>
      </c>
      <c r="O158" t="s">
        <v>31</v>
      </c>
    </row>
    <row r="159" spans="1:15" x14ac:dyDescent="0.3">
      <c r="A159" t="s">
        <v>104</v>
      </c>
      <c r="B159" t="s">
        <v>23</v>
      </c>
      <c r="C159" s="2">
        <v>45712</v>
      </c>
      <c r="D159" t="s">
        <v>36</v>
      </c>
      <c r="E159" t="s">
        <v>52</v>
      </c>
      <c r="F159">
        <v>804</v>
      </c>
      <c r="G159">
        <v>639</v>
      </c>
      <c r="H159">
        <v>43</v>
      </c>
      <c r="I159">
        <v>4020</v>
      </c>
      <c r="J159">
        <v>3144</v>
      </c>
      <c r="K159">
        <v>11</v>
      </c>
      <c r="L159" t="s">
        <v>360</v>
      </c>
      <c r="M159">
        <v>0.36965174129353234</v>
      </c>
      <c r="N159" t="s">
        <v>357</v>
      </c>
      <c r="O159" t="s">
        <v>355</v>
      </c>
    </row>
    <row r="160" spans="1:15" x14ac:dyDescent="0.3">
      <c r="A160" t="s">
        <v>104</v>
      </c>
      <c r="B160" t="s">
        <v>23</v>
      </c>
      <c r="C160" s="2">
        <v>45712</v>
      </c>
      <c r="D160" t="s">
        <v>36</v>
      </c>
      <c r="E160" t="s">
        <v>52</v>
      </c>
      <c r="F160">
        <v>804</v>
      </c>
      <c r="G160">
        <v>639</v>
      </c>
      <c r="H160">
        <v>43</v>
      </c>
      <c r="I160">
        <v>4020</v>
      </c>
      <c r="J160">
        <v>3144</v>
      </c>
      <c r="K160">
        <v>11</v>
      </c>
      <c r="L160" t="s">
        <v>360</v>
      </c>
      <c r="M160">
        <v>0.36965174129353234</v>
      </c>
      <c r="N160" t="s">
        <v>358</v>
      </c>
      <c r="O160" t="s">
        <v>359</v>
      </c>
    </row>
    <row r="161" spans="1:15" x14ac:dyDescent="0.3">
      <c r="A161" t="s">
        <v>105</v>
      </c>
      <c r="B161" t="s">
        <v>23</v>
      </c>
      <c r="C161" s="2">
        <v>45729</v>
      </c>
      <c r="D161" t="s">
        <v>36</v>
      </c>
      <c r="E161" t="s">
        <v>52</v>
      </c>
      <c r="F161">
        <v>1686</v>
      </c>
      <c r="G161">
        <v>904</v>
      </c>
      <c r="H161">
        <v>472</v>
      </c>
      <c r="I161">
        <v>18546</v>
      </c>
      <c r="J161">
        <v>18171</v>
      </c>
      <c r="K161">
        <v>52</v>
      </c>
      <c r="L161" t="s">
        <v>21</v>
      </c>
      <c r="M161">
        <v>0.16510298716704411</v>
      </c>
      <c r="N161" t="s">
        <v>11</v>
      </c>
      <c r="O161" t="s">
        <v>48</v>
      </c>
    </row>
    <row r="162" spans="1:15" x14ac:dyDescent="0.3">
      <c r="A162" t="s">
        <v>105</v>
      </c>
      <c r="B162" t="s">
        <v>23</v>
      </c>
      <c r="C162" s="2">
        <v>45729</v>
      </c>
      <c r="D162" t="s">
        <v>36</v>
      </c>
      <c r="E162" t="s">
        <v>52</v>
      </c>
      <c r="F162">
        <v>1686</v>
      </c>
      <c r="G162">
        <v>904</v>
      </c>
      <c r="H162">
        <v>472</v>
      </c>
      <c r="I162">
        <v>18546</v>
      </c>
      <c r="J162">
        <v>18171</v>
      </c>
      <c r="K162">
        <v>52</v>
      </c>
      <c r="L162" t="s">
        <v>21</v>
      </c>
      <c r="M162">
        <v>0.16510298716704411</v>
      </c>
      <c r="N162" t="s">
        <v>357</v>
      </c>
      <c r="O162" t="s">
        <v>359</v>
      </c>
    </row>
    <row r="163" spans="1:15" x14ac:dyDescent="0.3">
      <c r="A163" t="s">
        <v>105</v>
      </c>
      <c r="B163" t="s">
        <v>23</v>
      </c>
      <c r="C163" s="2">
        <v>45729</v>
      </c>
      <c r="D163" t="s">
        <v>36</v>
      </c>
      <c r="E163" t="s">
        <v>52</v>
      </c>
      <c r="F163">
        <v>1686</v>
      </c>
      <c r="G163">
        <v>904</v>
      </c>
      <c r="H163">
        <v>472</v>
      </c>
      <c r="I163">
        <v>18546</v>
      </c>
      <c r="J163">
        <v>18171</v>
      </c>
      <c r="K163">
        <v>52</v>
      </c>
      <c r="L163" t="s">
        <v>21</v>
      </c>
      <c r="M163">
        <v>0.16510298716704411</v>
      </c>
      <c r="N163" t="s">
        <v>358</v>
      </c>
      <c r="O163" t="s">
        <v>359</v>
      </c>
    </row>
    <row r="164" spans="1:15" x14ac:dyDescent="0.3">
      <c r="A164" t="s">
        <v>106</v>
      </c>
      <c r="B164" t="s">
        <v>35</v>
      </c>
      <c r="C164" s="2">
        <v>45460</v>
      </c>
      <c r="D164" t="s">
        <v>41</v>
      </c>
      <c r="E164" t="s">
        <v>46</v>
      </c>
      <c r="F164">
        <v>1226</v>
      </c>
      <c r="G164">
        <v>119</v>
      </c>
      <c r="H164">
        <v>7</v>
      </c>
      <c r="I164">
        <v>14712</v>
      </c>
      <c r="J164">
        <v>14049</v>
      </c>
      <c r="K164">
        <v>123</v>
      </c>
      <c r="L164" t="s">
        <v>32</v>
      </c>
      <c r="M164">
        <v>9.1897770527460579E-2</v>
      </c>
      <c r="N164" t="s">
        <v>11</v>
      </c>
      <c r="O164" t="s">
        <v>31</v>
      </c>
    </row>
    <row r="165" spans="1:15" x14ac:dyDescent="0.3">
      <c r="A165" t="s">
        <v>106</v>
      </c>
      <c r="B165" t="s">
        <v>35</v>
      </c>
      <c r="C165" s="2">
        <v>45460</v>
      </c>
      <c r="D165" t="s">
        <v>41</v>
      </c>
      <c r="E165" t="s">
        <v>46</v>
      </c>
      <c r="F165">
        <v>1226</v>
      </c>
      <c r="G165">
        <v>119</v>
      </c>
      <c r="H165">
        <v>7</v>
      </c>
      <c r="I165">
        <v>14712</v>
      </c>
      <c r="J165">
        <v>14049</v>
      </c>
      <c r="K165">
        <v>123</v>
      </c>
      <c r="L165" t="s">
        <v>32</v>
      </c>
      <c r="M165">
        <v>9.1897770527460579E-2</v>
      </c>
      <c r="N165" t="s">
        <v>357</v>
      </c>
      <c r="O165" t="s">
        <v>359</v>
      </c>
    </row>
    <row r="166" spans="1:15" x14ac:dyDescent="0.3">
      <c r="A166" t="s">
        <v>106</v>
      </c>
      <c r="B166" t="s">
        <v>35</v>
      </c>
      <c r="C166" s="2">
        <v>45460</v>
      </c>
      <c r="D166" t="s">
        <v>41</v>
      </c>
      <c r="E166" t="s">
        <v>46</v>
      </c>
      <c r="F166">
        <v>1226</v>
      </c>
      <c r="G166">
        <v>119</v>
      </c>
      <c r="H166">
        <v>7</v>
      </c>
      <c r="I166">
        <v>14712</v>
      </c>
      <c r="J166">
        <v>14049</v>
      </c>
      <c r="K166">
        <v>123</v>
      </c>
      <c r="L166" t="s">
        <v>32</v>
      </c>
      <c r="M166">
        <v>9.1897770527460579E-2</v>
      </c>
      <c r="N166" t="s">
        <v>358</v>
      </c>
      <c r="O166" t="s">
        <v>359</v>
      </c>
    </row>
    <row r="167" spans="1:15" x14ac:dyDescent="0.3">
      <c r="A167" t="s">
        <v>107</v>
      </c>
      <c r="B167" t="s">
        <v>35</v>
      </c>
      <c r="C167" s="2">
        <v>45644</v>
      </c>
      <c r="D167" t="s">
        <v>36</v>
      </c>
      <c r="E167" t="s">
        <v>37</v>
      </c>
      <c r="F167">
        <v>2946</v>
      </c>
      <c r="G167">
        <v>498</v>
      </c>
      <c r="H167">
        <v>367</v>
      </c>
      <c r="I167">
        <v>29460</v>
      </c>
      <c r="J167">
        <v>28527</v>
      </c>
      <c r="K167">
        <v>60</v>
      </c>
      <c r="L167" t="s">
        <v>26</v>
      </c>
      <c r="M167">
        <v>0.12936184657162253</v>
      </c>
      <c r="N167" t="s">
        <v>11</v>
      </c>
      <c r="O167" t="s">
        <v>48</v>
      </c>
    </row>
    <row r="168" spans="1:15" x14ac:dyDescent="0.3">
      <c r="A168" t="s">
        <v>107</v>
      </c>
      <c r="B168" t="s">
        <v>35</v>
      </c>
      <c r="C168" s="2">
        <v>45644</v>
      </c>
      <c r="D168" t="s">
        <v>36</v>
      </c>
      <c r="E168" t="s">
        <v>37</v>
      </c>
      <c r="F168">
        <v>2946</v>
      </c>
      <c r="G168">
        <v>498</v>
      </c>
      <c r="H168">
        <v>367</v>
      </c>
      <c r="I168">
        <v>29460</v>
      </c>
      <c r="J168">
        <v>28527</v>
      </c>
      <c r="K168">
        <v>60</v>
      </c>
      <c r="L168" t="s">
        <v>26</v>
      </c>
      <c r="M168">
        <v>0.12936184657162253</v>
      </c>
      <c r="N168" t="s">
        <v>357</v>
      </c>
      <c r="O168" t="s">
        <v>359</v>
      </c>
    </row>
    <row r="169" spans="1:15" x14ac:dyDescent="0.3">
      <c r="A169" t="s">
        <v>107</v>
      </c>
      <c r="B169" t="s">
        <v>35</v>
      </c>
      <c r="C169" s="2">
        <v>45644</v>
      </c>
      <c r="D169" t="s">
        <v>36</v>
      </c>
      <c r="E169" t="s">
        <v>37</v>
      </c>
      <c r="F169">
        <v>2946</v>
      </c>
      <c r="G169">
        <v>498</v>
      </c>
      <c r="H169">
        <v>367</v>
      </c>
      <c r="I169">
        <v>29460</v>
      </c>
      <c r="J169">
        <v>28527</v>
      </c>
      <c r="K169">
        <v>60</v>
      </c>
      <c r="L169" t="s">
        <v>26</v>
      </c>
      <c r="M169">
        <v>0.12936184657162253</v>
      </c>
      <c r="N169" t="s">
        <v>358</v>
      </c>
      <c r="O169" t="s">
        <v>359</v>
      </c>
    </row>
    <row r="170" spans="1:15" x14ac:dyDescent="0.3">
      <c r="A170" t="s">
        <v>108</v>
      </c>
      <c r="B170" t="s">
        <v>14</v>
      </c>
      <c r="C170" s="2">
        <v>45586</v>
      </c>
      <c r="D170" t="s">
        <v>56</v>
      </c>
      <c r="E170" t="s">
        <v>95</v>
      </c>
      <c r="F170">
        <v>2825</v>
      </c>
      <c r="G170">
        <v>535</v>
      </c>
      <c r="H170">
        <v>295</v>
      </c>
      <c r="I170">
        <v>45200</v>
      </c>
      <c r="J170">
        <v>44739</v>
      </c>
      <c r="K170">
        <v>169</v>
      </c>
      <c r="L170" t="s">
        <v>17</v>
      </c>
      <c r="M170">
        <v>8.0862831858407078E-2</v>
      </c>
      <c r="N170" t="s">
        <v>11</v>
      </c>
      <c r="O170" t="s">
        <v>25</v>
      </c>
    </row>
    <row r="171" spans="1:15" x14ac:dyDescent="0.3">
      <c r="A171" t="s">
        <v>108</v>
      </c>
      <c r="B171" t="s">
        <v>14</v>
      </c>
      <c r="C171" s="2">
        <v>45586</v>
      </c>
      <c r="D171" t="s">
        <v>56</v>
      </c>
      <c r="E171" t="s">
        <v>95</v>
      </c>
      <c r="F171">
        <v>2825</v>
      </c>
      <c r="G171">
        <v>535</v>
      </c>
      <c r="H171">
        <v>295</v>
      </c>
      <c r="I171">
        <v>45200</v>
      </c>
      <c r="J171">
        <v>44739</v>
      </c>
      <c r="K171">
        <v>169</v>
      </c>
      <c r="L171" t="s">
        <v>17</v>
      </c>
      <c r="M171">
        <v>8.0862831858407078E-2</v>
      </c>
      <c r="N171" t="s">
        <v>357</v>
      </c>
      <c r="O171" t="s">
        <v>359</v>
      </c>
    </row>
    <row r="172" spans="1:15" x14ac:dyDescent="0.3">
      <c r="A172" t="s">
        <v>108</v>
      </c>
      <c r="B172" t="s">
        <v>14</v>
      </c>
      <c r="C172" s="2">
        <v>45586</v>
      </c>
      <c r="D172" t="s">
        <v>56</v>
      </c>
      <c r="E172" t="s">
        <v>95</v>
      </c>
      <c r="F172">
        <v>2825</v>
      </c>
      <c r="G172">
        <v>535</v>
      </c>
      <c r="H172">
        <v>295</v>
      </c>
      <c r="I172">
        <v>45200</v>
      </c>
      <c r="J172">
        <v>44739</v>
      </c>
      <c r="K172">
        <v>169</v>
      </c>
      <c r="L172" t="s">
        <v>17</v>
      </c>
      <c r="M172">
        <v>8.0862831858407078E-2</v>
      </c>
      <c r="N172" t="s">
        <v>358</v>
      </c>
      <c r="O172" t="s">
        <v>359</v>
      </c>
    </row>
    <row r="173" spans="1:15" x14ac:dyDescent="0.3">
      <c r="A173" t="s">
        <v>109</v>
      </c>
      <c r="B173" t="s">
        <v>28</v>
      </c>
      <c r="C173" s="2">
        <v>45762</v>
      </c>
      <c r="D173" t="s">
        <v>15</v>
      </c>
      <c r="E173" t="s">
        <v>61</v>
      </c>
      <c r="F173">
        <v>103</v>
      </c>
      <c r="G173">
        <v>770</v>
      </c>
      <c r="H173">
        <v>19</v>
      </c>
      <c r="I173">
        <v>1030</v>
      </c>
      <c r="J173">
        <v>410</v>
      </c>
      <c r="K173">
        <v>262</v>
      </c>
      <c r="L173" t="s">
        <v>32</v>
      </c>
      <c r="M173">
        <v>0.86601941747572819</v>
      </c>
      <c r="N173" t="s">
        <v>11</v>
      </c>
      <c r="O173" t="s">
        <v>25</v>
      </c>
    </row>
    <row r="174" spans="1:15" x14ac:dyDescent="0.3">
      <c r="A174" t="s">
        <v>109</v>
      </c>
      <c r="B174" t="s">
        <v>28</v>
      </c>
      <c r="C174" s="2">
        <v>45762</v>
      </c>
      <c r="D174" t="s">
        <v>15</v>
      </c>
      <c r="E174" t="s">
        <v>61</v>
      </c>
      <c r="F174">
        <v>103</v>
      </c>
      <c r="G174">
        <v>770</v>
      </c>
      <c r="H174">
        <v>19</v>
      </c>
      <c r="I174">
        <v>1030</v>
      </c>
      <c r="J174">
        <v>410</v>
      </c>
      <c r="K174">
        <v>262</v>
      </c>
      <c r="L174" t="s">
        <v>32</v>
      </c>
      <c r="M174">
        <v>0.86601941747572819</v>
      </c>
      <c r="N174" t="s">
        <v>357</v>
      </c>
      <c r="O174" t="s">
        <v>359</v>
      </c>
    </row>
    <row r="175" spans="1:15" x14ac:dyDescent="0.3">
      <c r="A175" t="s">
        <v>109</v>
      </c>
      <c r="B175" t="s">
        <v>28</v>
      </c>
      <c r="C175" s="2">
        <v>45762</v>
      </c>
      <c r="D175" t="s">
        <v>15</v>
      </c>
      <c r="E175" t="s">
        <v>61</v>
      </c>
      <c r="F175">
        <v>103</v>
      </c>
      <c r="G175">
        <v>770</v>
      </c>
      <c r="H175">
        <v>19</v>
      </c>
      <c r="I175">
        <v>1030</v>
      </c>
      <c r="J175">
        <v>410</v>
      </c>
      <c r="K175">
        <v>262</v>
      </c>
      <c r="L175" t="s">
        <v>32</v>
      </c>
      <c r="M175">
        <v>0.86601941747572819</v>
      </c>
      <c r="N175" t="s">
        <v>358</v>
      </c>
      <c r="O175" t="s">
        <v>359</v>
      </c>
    </row>
    <row r="176" spans="1:15" x14ac:dyDescent="0.3">
      <c r="A176" t="s">
        <v>110</v>
      </c>
      <c r="B176" t="s">
        <v>28</v>
      </c>
      <c r="C176" s="2">
        <v>45465</v>
      </c>
      <c r="D176" t="s">
        <v>19</v>
      </c>
      <c r="E176" t="s">
        <v>78</v>
      </c>
      <c r="F176">
        <v>2180</v>
      </c>
      <c r="G176">
        <v>263</v>
      </c>
      <c r="H176">
        <v>387</v>
      </c>
      <c r="I176">
        <v>30520</v>
      </c>
      <c r="J176">
        <v>30059</v>
      </c>
      <c r="K176">
        <v>174</v>
      </c>
      <c r="L176" t="s">
        <v>360</v>
      </c>
      <c r="M176">
        <v>9.2726081258191345E-2</v>
      </c>
      <c r="N176" t="s">
        <v>11</v>
      </c>
      <c r="O176" t="s">
        <v>31</v>
      </c>
    </row>
    <row r="177" spans="1:15" x14ac:dyDescent="0.3">
      <c r="A177" t="s">
        <v>110</v>
      </c>
      <c r="B177" t="s">
        <v>28</v>
      </c>
      <c r="C177" s="2">
        <v>45465</v>
      </c>
      <c r="D177" t="s">
        <v>19</v>
      </c>
      <c r="E177" t="s">
        <v>78</v>
      </c>
      <c r="F177">
        <v>2180</v>
      </c>
      <c r="G177">
        <v>263</v>
      </c>
      <c r="H177">
        <v>387</v>
      </c>
      <c r="I177">
        <v>30520</v>
      </c>
      <c r="J177">
        <v>30059</v>
      </c>
      <c r="K177">
        <v>174</v>
      </c>
      <c r="L177" t="s">
        <v>360</v>
      </c>
      <c r="M177">
        <v>9.2726081258191345E-2</v>
      </c>
      <c r="N177" t="s">
        <v>357</v>
      </c>
      <c r="O177" t="s">
        <v>359</v>
      </c>
    </row>
    <row r="178" spans="1:15" x14ac:dyDescent="0.3">
      <c r="A178" t="s">
        <v>110</v>
      </c>
      <c r="B178" t="s">
        <v>28</v>
      </c>
      <c r="C178" s="2">
        <v>45465</v>
      </c>
      <c r="D178" t="s">
        <v>19</v>
      </c>
      <c r="E178" t="s">
        <v>78</v>
      </c>
      <c r="F178">
        <v>2180</v>
      </c>
      <c r="G178">
        <v>263</v>
      </c>
      <c r="H178">
        <v>387</v>
      </c>
      <c r="I178">
        <v>30520</v>
      </c>
      <c r="J178">
        <v>30059</v>
      </c>
      <c r="K178">
        <v>174</v>
      </c>
      <c r="L178" t="s">
        <v>360</v>
      </c>
      <c r="M178">
        <v>9.2726081258191345E-2</v>
      </c>
      <c r="N178" t="s">
        <v>358</v>
      </c>
      <c r="O178" t="s">
        <v>359</v>
      </c>
    </row>
    <row r="179" spans="1:15" x14ac:dyDescent="0.3">
      <c r="A179" t="s">
        <v>111</v>
      </c>
      <c r="B179" t="s">
        <v>28</v>
      </c>
      <c r="C179" s="2">
        <v>45685</v>
      </c>
      <c r="D179" t="s">
        <v>56</v>
      </c>
      <c r="E179" t="s">
        <v>63</v>
      </c>
      <c r="F179">
        <v>904</v>
      </c>
      <c r="G179">
        <v>973</v>
      </c>
      <c r="H179">
        <v>63</v>
      </c>
      <c r="I179">
        <v>11752</v>
      </c>
      <c r="J179">
        <v>11580</v>
      </c>
      <c r="K179">
        <v>84</v>
      </c>
      <c r="L179" t="s">
        <v>26</v>
      </c>
      <c r="M179">
        <v>0.1650782845473111</v>
      </c>
      <c r="N179" t="s">
        <v>11</v>
      </c>
      <c r="O179" t="s">
        <v>31</v>
      </c>
    </row>
    <row r="180" spans="1:15" x14ac:dyDescent="0.3">
      <c r="A180" t="s">
        <v>111</v>
      </c>
      <c r="B180" t="s">
        <v>28</v>
      </c>
      <c r="C180" s="2">
        <v>45685</v>
      </c>
      <c r="D180" t="s">
        <v>56</v>
      </c>
      <c r="E180" t="s">
        <v>63</v>
      </c>
      <c r="F180">
        <v>904</v>
      </c>
      <c r="G180">
        <v>973</v>
      </c>
      <c r="H180">
        <v>63</v>
      </c>
      <c r="I180">
        <v>11752</v>
      </c>
      <c r="J180">
        <v>11580</v>
      </c>
      <c r="K180">
        <v>84</v>
      </c>
      <c r="L180" t="s">
        <v>26</v>
      </c>
      <c r="M180">
        <v>0.1650782845473111</v>
      </c>
      <c r="N180" t="s">
        <v>357</v>
      </c>
      <c r="O180" t="s">
        <v>25</v>
      </c>
    </row>
    <row r="181" spans="1:15" x14ac:dyDescent="0.3">
      <c r="A181" t="s">
        <v>111</v>
      </c>
      <c r="B181" t="s">
        <v>28</v>
      </c>
      <c r="C181" s="2">
        <v>45685</v>
      </c>
      <c r="D181" t="s">
        <v>56</v>
      </c>
      <c r="E181" t="s">
        <v>63</v>
      </c>
      <c r="F181">
        <v>904</v>
      </c>
      <c r="G181">
        <v>973</v>
      </c>
      <c r="H181">
        <v>63</v>
      </c>
      <c r="I181">
        <v>11752</v>
      </c>
      <c r="J181">
        <v>11580</v>
      </c>
      <c r="K181">
        <v>84</v>
      </c>
      <c r="L181" t="s">
        <v>26</v>
      </c>
      <c r="M181">
        <v>0.1650782845473111</v>
      </c>
      <c r="N181" t="s">
        <v>358</v>
      </c>
      <c r="O181" t="s">
        <v>354</v>
      </c>
    </row>
    <row r="182" spans="1:15" x14ac:dyDescent="0.3">
      <c r="A182" t="s">
        <v>112</v>
      </c>
      <c r="B182" t="s">
        <v>14</v>
      </c>
      <c r="C182" s="2">
        <v>45540</v>
      </c>
      <c r="D182" t="s">
        <v>56</v>
      </c>
      <c r="E182" t="s">
        <v>95</v>
      </c>
      <c r="F182">
        <v>4886</v>
      </c>
      <c r="G182">
        <v>983</v>
      </c>
      <c r="H182">
        <v>409</v>
      </c>
      <c r="I182">
        <v>43974</v>
      </c>
      <c r="J182">
        <v>43239</v>
      </c>
      <c r="K182">
        <v>65</v>
      </c>
      <c r="L182" t="s">
        <v>17</v>
      </c>
      <c r="M182">
        <v>0.14276618001546368</v>
      </c>
      <c r="N182" t="s">
        <v>11</v>
      </c>
      <c r="O182" t="s">
        <v>25</v>
      </c>
    </row>
    <row r="183" spans="1:15" x14ac:dyDescent="0.3">
      <c r="A183" t="s">
        <v>112</v>
      </c>
      <c r="B183" t="s">
        <v>14</v>
      </c>
      <c r="C183" s="2">
        <v>45540</v>
      </c>
      <c r="D183" t="s">
        <v>56</v>
      </c>
      <c r="E183" t="s">
        <v>95</v>
      </c>
      <c r="F183">
        <v>4886</v>
      </c>
      <c r="G183">
        <v>983</v>
      </c>
      <c r="H183">
        <v>409</v>
      </c>
      <c r="I183">
        <v>43974</v>
      </c>
      <c r="J183">
        <v>43239</v>
      </c>
      <c r="K183">
        <v>65</v>
      </c>
      <c r="L183" t="s">
        <v>17</v>
      </c>
      <c r="M183">
        <v>0.14276618001546368</v>
      </c>
      <c r="N183" t="s">
        <v>357</v>
      </c>
      <c r="O183" t="s">
        <v>359</v>
      </c>
    </row>
    <row r="184" spans="1:15" x14ac:dyDescent="0.3">
      <c r="A184" t="s">
        <v>112</v>
      </c>
      <c r="B184" t="s">
        <v>14</v>
      </c>
      <c r="C184" s="2">
        <v>45540</v>
      </c>
      <c r="D184" t="s">
        <v>56</v>
      </c>
      <c r="E184" t="s">
        <v>95</v>
      </c>
      <c r="F184">
        <v>4886</v>
      </c>
      <c r="G184">
        <v>983</v>
      </c>
      <c r="H184">
        <v>409</v>
      </c>
      <c r="I184">
        <v>43974</v>
      </c>
      <c r="J184">
        <v>43239</v>
      </c>
      <c r="K184">
        <v>65</v>
      </c>
      <c r="L184" t="s">
        <v>17</v>
      </c>
      <c r="M184">
        <v>0.14276618001546368</v>
      </c>
      <c r="N184" t="s">
        <v>358</v>
      </c>
      <c r="O184" t="s">
        <v>359</v>
      </c>
    </row>
    <row r="185" spans="1:15" x14ac:dyDescent="0.3">
      <c r="A185" t="s">
        <v>113</v>
      </c>
      <c r="B185" t="s">
        <v>14</v>
      </c>
      <c r="C185" s="2">
        <v>45618</v>
      </c>
      <c r="D185" t="s">
        <v>36</v>
      </c>
      <c r="E185" t="s">
        <v>39</v>
      </c>
      <c r="F185">
        <v>53</v>
      </c>
      <c r="G185">
        <v>81</v>
      </c>
      <c r="H185">
        <v>379</v>
      </c>
      <c r="I185">
        <v>954</v>
      </c>
      <c r="J185">
        <v>7</v>
      </c>
      <c r="K185">
        <v>148</v>
      </c>
      <c r="L185" t="s">
        <v>26</v>
      </c>
      <c r="M185">
        <v>0.53773584905660377</v>
      </c>
      <c r="N185" t="s">
        <v>11</v>
      </c>
      <c r="O185" t="s">
        <v>25</v>
      </c>
    </row>
    <row r="186" spans="1:15" x14ac:dyDescent="0.3">
      <c r="A186" t="s">
        <v>113</v>
      </c>
      <c r="B186" t="s">
        <v>14</v>
      </c>
      <c r="C186" s="2">
        <v>45618</v>
      </c>
      <c r="D186" t="s">
        <v>36</v>
      </c>
      <c r="E186" t="s">
        <v>39</v>
      </c>
      <c r="F186">
        <v>53</v>
      </c>
      <c r="G186">
        <v>81</v>
      </c>
      <c r="H186">
        <v>379</v>
      </c>
      <c r="I186">
        <v>954</v>
      </c>
      <c r="J186">
        <v>7</v>
      </c>
      <c r="K186">
        <v>148</v>
      </c>
      <c r="L186" t="s">
        <v>26</v>
      </c>
      <c r="M186">
        <v>0.53773584905660377</v>
      </c>
      <c r="N186" t="s">
        <v>357</v>
      </c>
      <c r="O186" t="s">
        <v>359</v>
      </c>
    </row>
    <row r="187" spans="1:15" x14ac:dyDescent="0.3">
      <c r="A187" t="s">
        <v>113</v>
      </c>
      <c r="B187" t="s">
        <v>14</v>
      </c>
      <c r="C187" s="2">
        <v>45618</v>
      </c>
      <c r="D187" t="s">
        <v>36</v>
      </c>
      <c r="E187" t="s">
        <v>39</v>
      </c>
      <c r="F187">
        <v>53</v>
      </c>
      <c r="G187">
        <v>81</v>
      </c>
      <c r="H187">
        <v>379</v>
      </c>
      <c r="I187">
        <v>954</v>
      </c>
      <c r="J187">
        <v>7</v>
      </c>
      <c r="K187">
        <v>148</v>
      </c>
      <c r="L187" t="s">
        <v>26</v>
      </c>
      <c r="M187">
        <v>0.53773584905660377</v>
      </c>
      <c r="N187" t="s">
        <v>358</v>
      </c>
      <c r="O187" t="s">
        <v>359</v>
      </c>
    </row>
    <row r="188" spans="1:15" x14ac:dyDescent="0.3">
      <c r="A188" t="s">
        <v>114</v>
      </c>
      <c r="B188" t="s">
        <v>14</v>
      </c>
      <c r="C188" s="2">
        <v>45504</v>
      </c>
      <c r="D188" t="s">
        <v>36</v>
      </c>
      <c r="E188" t="s">
        <v>39</v>
      </c>
      <c r="F188">
        <v>4507</v>
      </c>
      <c r="G188">
        <v>217</v>
      </c>
      <c r="H188">
        <v>13</v>
      </c>
      <c r="I188">
        <v>90140</v>
      </c>
      <c r="J188">
        <v>89591</v>
      </c>
      <c r="K188">
        <v>125</v>
      </c>
      <c r="L188" t="s">
        <v>26</v>
      </c>
      <c r="M188">
        <v>5.2551586421122697E-2</v>
      </c>
      <c r="N188" t="s">
        <v>11</v>
      </c>
      <c r="O188" t="s">
        <v>48</v>
      </c>
    </row>
    <row r="189" spans="1:15" x14ac:dyDescent="0.3">
      <c r="A189" t="s">
        <v>114</v>
      </c>
      <c r="B189" t="s">
        <v>14</v>
      </c>
      <c r="C189" s="2">
        <v>45504</v>
      </c>
      <c r="D189" t="s">
        <v>36</v>
      </c>
      <c r="E189" t="s">
        <v>39</v>
      </c>
      <c r="F189">
        <v>4507</v>
      </c>
      <c r="G189">
        <v>217</v>
      </c>
      <c r="H189">
        <v>13</v>
      </c>
      <c r="I189">
        <v>90140</v>
      </c>
      <c r="J189">
        <v>89591</v>
      </c>
      <c r="K189">
        <v>125</v>
      </c>
      <c r="L189" t="s">
        <v>26</v>
      </c>
      <c r="M189">
        <v>5.2551586421122697E-2</v>
      </c>
      <c r="N189" t="s">
        <v>357</v>
      </c>
      <c r="O189" t="s">
        <v>359</v>
      </c>
    </row>
    <row r="190" spans="1:15" x14ac:dyDescent="0.3">
      <c r="A190" t="s">
        <v>114</v>
      </c>
      <c r="B190" t="s">
        <v>14</v>
      </c>
      <c r="C190" s="2">
        <v>45504</v>
      </c>
      <c r="D190" t="s">
        <v>36</v>
      </c>
      <c r="E190" t="s">
        <v>39</v>
      </c>
      <c r="F190">
        <v>4507</v>
      </c>
      <c r="G190">
        <v>217</v>
      </c>
      <c r="H190">
        <v>13</v>
      </c>
      <c r="I190">
        <v>90140</v>
      </c>
      <c r="J190">
        <v>89591</v>
      </c>
      <c r="K190">
        <v>125</v>
      </c>
      <c r="L190" t="s">
        <v>26</v>
      </c>
      <c r="M190">
        <v>5.2551586421122697E-2</v>
      </c>
      <c r="N190" t="s">
        <v>358</v>
      </c>
      <c r="O190" t="s">
        <v>359</v>
      </c>
    </row>
    <row r="191" spans="1:15" x14ac:dyDescent="0.3">
      <c r="A191" t="s">
        <v>115</v>
      </c>
      <c r="B191" t="s">
        <v>35</v>
      </c>
      <c r="C191" s="2">
        <v>45521</v>
      </c>
      <c r="D191" t="s">
        <v>41</v>
      </c>
      <c r="E191" t="s">
        <v>46</v>
      </c>
      <c r="F191">
        <v>2878</v>
      </c>
      <c r="G191">
        <v>248</v>
      </c>
      <c r="H191">
        <v>416</v>
      </c>
      <c r="I191">
        <v>43170</v>
      </c>
      <c r="J191">
        <v>42667</v>
      </c>
      <c r="K191">
        <v>75</v>
      </c>
      <c r="L191" t="s">
        <v>26</v>
      </c>
      <c r="M191">
        <v>8.2047718322909427E-2</v>
      </c>
      <c r="N191" t="s">
        <v>11</v>
      </c>
      <c r="O191" t="s">
        <v>48</v>
      </c>
    </row>
    <row r="192" spans="1:15" x14ac:dyDescent="0.3">
      <c r="A192" t="s">
        <v>115</v>
      </c>
      <c r="B192" t="s">
        <v>35</v>
      </c>
      <c r="C192" s="2">
        <v>45521</v>
      </c>
      <c r="D192" t="s">
        <v>41</v>
      </c>
      <c r="E192" t="s">
        <v>46</v>
      </c>
      <c r="F192">
        <v>2878</v>
      </c>
      <c r="G192">
        <v>248</v>
      </c>
      <c r="H192">
        <v>416</v>
      </c>
      <c r="I192">
        <v>43170</v>
      </c>
      <c r="J192">
        <v>42667</v>
      </c>
      <c r="K192">
        <v>75</v>
      </c>
      <c r="L192" t="s">
        <v>26</v>
      </c>
      <c r="M192">
        <v>8.2047718322909427E-2</v>
      </c>
      <c r="N192" t="s">
        <v>357</v>
      </c>
      <c r="O192" t="s">
        <v>359</v>
      </c>
    </row>
    <row r="193" spans="1:15" x14ac:dyDescent="0.3">
      <c r="A193" t="s">
        <v>115</v>
      </c>
      <c r="B193" t="s">
        <v>35</v>
      </c>
      <c r="C193" s="2">
        <v>45521</v>
      </c>
      <c r="D193" t="s">
        <v>41</v>
      </c>
      <c r="E193" t="s">
        <v>46</v>
      </c>
      <c r="F193">
        <v>2878</v>
      </c>
      <c r="G193">
        <v>248</v>
      </c>
      <c r="H193">
        <v>416</v>
      </c>
      <c r="I193">
        <v>43170</v>
      </c>
      <c r="J193">
        <v>42667</v>
      </c>
      <c r="K193">
        <v>75</v>
      </c>
      <c r="L193" t="s">
        <v>26</v>
      </c>
      <c r="M193">
        <v>8.2047718322909427E-2</v>
      </c>
      <c r="N193" t="s">
        <v>358</v>
      </c>
      <c r="O193" t="s">
        <v>359</v>
      </c>
    </row>
    <row r="194" spans="1:15" x14ac:dyDescent="0.3">
      <c r="A194" t="s">
        <v>116</v>
      </c>
      <c r="B194" t="s">
        <v>28</v>
      </c>
      <c r="C194" s="2">
        <v>45744</v>
      </c>
      <c r="D194" t="s">
        <v>29</v>
      </c>
      <c r="E194" t="s">
        <v>30</v>
      </c>
      <c r="F194">
        <v>1881</v>
      </c>
      <c r="G194">
        <v>501</v>
      </c>
      <c r="H194">
        <v>99</v>
      </c>
      <c r="I194">
        <v>20691</v>
      </c>
      <c r="J194">
        <v>19987</v>
      </c>
      <c r="K194">
        <v>289</v>
      </c>
      <c r="L194" t="s">
        <v>360</v>
      </c>
      <c r="M194">
        <v>0.11990720603160794</v>
      </c>
      <c r="N194" t="s">
        <v>11</v>
      </c>
      <c r="O194" t="s">
        <v>31</v>
      </c>
    </row>
    <row r="195" spans="1:15" x14ac:dyDescent="0.3">
      <c r="A195" t="s">
        <v>116</v>
      </c>
      <c r="B195" t="s">
        <v>28</v>
      </c>
      <c r="C195" s="2">
        <v>45744</v>
      </c>
      <c r="D195" t="s">
        <v>29</v>
      </c>
      <c r="E195" t="s">
        <v>30</v>
      </c>
      <c r="F195">
        <v>1881</v>
      </c>
      <c r="G195">
        <v>501</v>
      </c>
      <c r="H195">
        <v>99</v>
      </c>
      <c r="I195">
        <v>20691</v>
      </c>
      <c r="J195">
        <v>19987</v>
      </c>
      <c r="K195">
        <v>289</v>
      </c>
      <c r="L195" t="s">
        <v>360</v>
      </c>
      <c r="M195">
        <v>0.11990720603160794</v>
      </c>
      <c r="N195" t="s">
        <v>357</v>
      </c>
      <c r="O195" t="s">
        <v>359</v>
      </c>
    </row>
    <row r="196" spans="1:15" x14ac:dyDescent="0.3">
      <c r="A196" t="s">
        <v>116</v>
      </c>
      <c r="B196" t="s">
        <v>28</v>
      </c>
      <c r="C196" s="2">
        <v>45744</v>
      </c>
      <c r="D196" t="s">
        <v>29</v>
      </c>
      <c r="E196" t="s">
        <v>30</v>
      </c>
      <c r="F196">
        <v>1881</v>
      </c>
      <c r="G196">
        <v>501</v>
      </c>
      <c r="H196">
        <v>99</v>
      </c>
      <c r="I196">
        <v>20691</v>
      </c>
      <c r="J196">
        <v>19987</v>
      </c>
      <c r="K196">
        <v>289</v>
      </c>
      <c r="L196" t="s">
        <v>360</v>
      </c>
      <c r="M196">
        <v>0.11990720603160794</v>
      </c>
      <c r="N196" t="s">
        <v>358</v>
      </c>
      <c r="O196" t="s">
        <v>359</v>
      </c>
    </row>
    <row r="197" spans="1:15" x14ac:dyDescent="0.3">
      <c r="A197" t="s">
        <v>117</v>
      </c>
      <c r="B197" t="s">
        <v>14</v>
      </c>
      <c r="C197" s="2">
        <v>45499</v>
      </c>
      <c r="D197" t="s">
        <v>36</v>
      </c>
      <c r="E197" t="s">
        <v>39</v>
      </c>
      <c r="F197">
        <v>432</v>
      </c>
      <c r="G197">
        <v>171</v>
      </c>
      <c r="H197">
        <v>280</v>
      </c>
      <c r="I197">
        <v>3024</v>
      </c>
      <c r="J197">
        <v>2285</v>
      </c>
      <c r="K197">
        <v>184</v>
      </c>
      <c r="L197" t="s">
        <v>17</v>
      </c>
      <c r="M197">
        <v>0.29199735449735448</v>
      </c>
      <c r="N197" t="s">
        <v>11</v>
      </c>
      <c r="O197" t="s">
        <v>31</v>
      </c>
    </row>
    <row r="198" spans="1:15" x14ac:dyDescent="0.3">
      <c r="A198" t="s">
        <v>117</v>
      </c>
      <c r="B198" t="s">
        <v>14</v>
      </c>
      <c r="C198" s="2">
        <v>45499</v>
      </c>
      <c r="D198" t="s">
        <v>36</v>
      </c>
      <c r="E198" t="s">
        <v>39</v>
      </c>
      <c r="F198">
        <v>432</v>
      </c>
      <c r="G198">
        <v>171</v>
      </c>
      <c r="H198">
        <v>280</v>
      </c>
      <c r="I198">
        <v>3024</v>
      </c>
      <c r="J198">
        <v>2285</v>
      </c>
      <c r="K198">
        <v>184</v>
      </c>
      <c r="L198" t="s">
        <v>17</v>
      </c>
      <c r="M198">
        <v>0.29199735449735448</v>
      </c>
      <c r="N198" t="s">
        <v>357</v>
      </c>
      <c r="O198" t="s">
        <v>359</v>
      </c>
    </row>
    <row r="199" spans="1:15" x14ac:dyDescent="0.3">
      <c r="A199" t="s">
        <v>117</v>
      </c>
      <c r="B199" t="s">
        <v>14</v>
      </c>
      <c r="C199" s="2">
        <v>45499</v>
      </c>
      <c r="D199" t="s">
        <v>36</v>
      </c>
      <c r="E199" t="s">
        <v>39</v>
      </c>
      <c r="F199">
        <v>432</v>
      </c>
      <c r="G199">
        <v>171</v>
      </c>
      <c r="H199">
        <v>280</v>
      </c>
      <c r="I199">
        <v>3024</v>
      </c>
      <c r="J199">
        <v>2285</v>
      </c>
      <c r="K199">
        <v>184</v>
      </c>
      <c r="L199" t="s">
        <v>17</v>
      </c>
      <c r="M199">
        <v>0.29199735449735448</v>
      </c>
      <c r="N199" t="s">
        <v>358</v>
      </c>
      <c r="O199" t="s">
        <v>359</v>
      </c>
    </row>
    <row r="200" spans="1:15" x14ac:dyDescent="0.3">
      <c r="A200" t="s">
        <v>118</v>
      </c>
      <c r="B200" t="s">
        <v>35</v>
      </c>
      <c r="C200" s="2">
        <v>45745</v>
      </c>
      <c r="D200" t="s">
        <v>36</v>
      </c>
      <c r="E200" t="s">
        <v>37</v>
      </c>
      <c r="F200">
        <v>4712</v>
      </c>
      <c r="G200">
        <v>568</v>
      </c>
      <c r="H200">
        <v>127</v>
      </c>
      <c r="I200">
        <v>84816</v>
      </c>
      <c r="J200">
        <v>84691</v>
      </c>
      <c r="K200">
        <v>100</v>
      </c>
      <c r="L200" t="s">
        <v>26</v>
      </c>
      <c r="M200">
        <v>6.3749764195434822E-2</v>
      </c>
      <c r="N200" t="s">
        <v>11</v>
      </c>
      <c r="O200" t="s">
        <v>31</v>
      </c>
    </row>
    <row r="201" spans="1:15" x14ac:dyDescent="0.3">
      <c r="A201" t="s">
        <v>118</v>
      </c>
      <c r="B201" t="s">
        <v>35</v>
      </c>
      <c r="C201" s="2">
        <v>45745</v>
      </c>
      <c r="D201" t="s">
        <v>36</v>
      </c>
      <c r="E201" t="s">
        <v>37</v>
      </c>
      <c r="F201">
        <v>4712</v>
      </c>
      <c r="G201">
        <v>568</v>
      </c>
      <c r="H201">
        <v>127</v>
      </c>
      <c r="I201">
        <v>84816</v>
      </c>
      <c r="J201">
        <v>84691</v>
      </c>
      <c r="K201">
        <v>100</v>
      </c>
      <c r="L201" t="s">
        <v>26</v>
      </c>
      <c r="M201">
        <v>6.3749764195434822E-2</v>
      </c>
      <c r="N201" t="s">
        <v>357</v>
      </c>
      <c r="O201" t="s">
        <v>359</v>
      </c>
    </row>
    <row r="202" spans="1:15" x14ac:dyDescent="0.3">
      <c r="A202" t="s">
        <v>118</v>
      </c>
      <c r="B202" t="s">
        <v>35</v>
      </c>
      <c r="C202" s="2">
        <v>45745</v>
      </c>
      <c r="D202" t="s">
        <v>36</v>
      </c>
      <c r="E202" t="s">
        <v>37</v>
      </c>
      <c r="F202">
        <v>4712</v>
      </c>
      <c r="G202">
        <v>568</v>
      </c>
      <c r="H202">
        <v>127</v>
      </c>
      <c r="I202">
        <v>84816</v>
      </c>
      <c r="J202">
        <v>84691</v>
      </c>
      <c r="K202">
        <v>100</v>
      </c>
      <c r="L202" t="s">
        <v>26</v>
      </c>
      <c r="M202">
        <v>6.3749764195434822E-2</v>
      </c>
      <c r="N202" t="s">
        <v>358</v>
      </c>
      <c r="O202" t="s">
        <v>359</v>
      </c>
    </row>
    <row r="203" spans="1:15" x14ac:dyDescent="0.3">
      <c r="A203" t="s">
        <v>119</v>
      </c>
      <c r="B203" t="s">
        <v>28</v>
      </c>
      <c r="C203" s="2">
        <v>45634</v>
      </c>
      <c r="D203" t="s">
        <v>29</v>
      </c>
      <c r="E203" t="s">
        <v>30</v>
      </c>
      <c r="F203">
        <v>2610</v>
      </c>
      <c r="G203">
        <v>126</v>
      </c>
      <c r="H203">
        <v>288</v>
      </c>
      <c r="I203">
        <v>15660</v>
      </c>
      <c r="J203">
        <v>15145</v>
      </c>
      <c r="K203">
        <v>73</v>
      </c>
      <c r="L203" t="s">
        <v>360</v>
      </c>
      <c r="M203">
        <v>0.19310344827586207</v>
      </c>
      <c r="N203" t="s">
        <v>11</v>
      </c>
      <c r="O203" t="s">
        <v>31</v>
      </c>
    </row>
    <row r="204" spans="1:15" x14ac:dyDescent="0.3">
      <c r="A204" t="s">
        <v>119</v>
      </c>
      <c r="B204" t="s">
        <v>28</v>
      </c>
      <c r="C204" s="2">
        <v>45634</v>
      </c>
      <c r="D204" t="s">
        <v>29</v>
      </c>
      <c r="E204" t="s">
        <v>30</v>
      </c>
      <c r="F204">
        <v>2610</v>
      </c>
      <c r="G204">
        <v>126</v>
      </c>
      <c r="H204">
        <v>288</v>
      </c>
      <c r="I204">
        <v>15660</v>
      </c>
      <c r="J204">
        <v>15145</v>
      </c>
      <c r="K204">
        <v>73</v>
      </c>
      <c r="L204" t="s">
        <v>360</v>
      </c>
      <c r="M204">
        <v>0.19310344827586207</v>
      </c>
      <c r="N204" t="s">
        <v>357</v>
      </c>
      <c r="O204" t="s">
        <v>359</v>
      </c>
    </row>
    <row r="205" spans="1:15" x14ac:dyDescent="0.3">
      <c r="A205" t="s">
        <v>119</v>
      </c>
      <c r="B205" t="s">
        <v>28</v>
      </c>
      <c r="C205" s="2">
        <v>45634</v>
      </c>
      <c r="D205" t="s">
        <v>29</v>
      </c>
      <c r="E205" t="s">
        <v>30</v>
      </c>
      <c r="F205">
        <v>2610</v>
      </c>
      <c r="G205">
        <v>126</v>
      </c>
      <c r="H205">
        <v>288</v>
      </c>
      <c r="I205">
        <v>15660</v>
      </c>
      <c r="J205">
        <v>15145</v>
      </c>
      <c r="K205">
        <v>73</v>
      </c>
      <c r="L205" t="s">
        <v>360</v>
      </c>
      <c r="M205">
        <v>0.19310344827586207</v>
      </c>
      <c r="N205" t="s">
        <v>358</v>
      </c>
      <c r="O205" t="s">
        <v>359</v>
      </c>
    </row>
    <row r="206" spans="1:15" x14ac:dyDescent="0.3">
      <c r="A206" t="s">
        <v>120</v>
      </c>
      <c r="B206" t="s">
        <v>14</v>
      </c>
      <c r="C206" s="2">
        <v>45724</v>
      </c>
      <c r="D206" t="s">
        <v>19</v>
      </c>
      <c r="E206" t="s">
        <v>20</v>
      </c>
      <c r="F206">
        <v>1292</v>
      </c>
      <c r="G206">
        <v>626</v>
      </c>
      <c r="H206">
        <v>496</v>
      </c>
      <c r="I206">
        <v>25840</v>
      </c>
      <c r="J206">
        <v>24916</v>
      </c>
      <c r="K206">
        <v>149</v>
      </c>
      <c r="L206" t="s">
        <v>26</v>
      </c>
      <c r="M206">
        <v>9.3421052631578946E-2</v>
      </c>
      <c r="N206" t="s">
        <v>11</v>
      </c>
      <c r="O206" t="s">
        <v>48</v>
      </c>
    </row>
    <row r="207" spans="1:15" x14ac:dyDescent="0.3">
      <c r="A207" t="s">
        <v>120</v>
      </c>
      <c r="B207" t="s">
        <v>14</v>
      </c>
      <c r="C207" s="2">
        <v>45724</v>
      </c>
      <c r="D207" t="s">
        <v>19</v>
      </c>
      <c r="E207" t="s">
        <v>20</v>
      </c>
      <c r="F207">
        <v>1292</v>
      </c>
      <c r="G207">
        <v>626</v>
      </c>
      <c r="H207">
        <v>496</v>
      </c>
      <c r="I207">
        <v>25840</v>
      </c>
      <c r="J207">
        <v>24916</v>
      </c>
      <c r="K207">
        <v>149</v>
      </c>
      <c r="L207" t="s">
        <v>26</v>
      </c>
      <c r="M207">
        <v>9.3421052631578946E-2</v>
      </c>
      <c r="N207" t="s">
        <v>357</v>
      </c>
      <c r="O207" t="s">
        <v>359</v>
      </c>
    </row>
    <row r="208" spans="1:15" x14ac:dyDescent="0.3">
      <c r="A208" t="s">
        <v>120</v>
      </c>
      <c r="B208" t="s">
        <v>14</v>
      </c>
      <c r="C208" s="2">
        <v>45724</v>
      </c>
      <c r="D208" t="s">
        <v>19</v>
      </c>
      <c r="E208" t="s">
        <v>20</v>
      </c>
      <c r="F208">
        <v>1292</v>
      </c>
      <c r="G208">
        <v>626</v>
      </c>
      <c r="H208">
        <v>496</v>
      </c>
      <c r="I208">
        <v>25840</v>
      </c>
      <c r="J208">
        <v>24916</v>
      </c>
      <c r="K208">
        <v>149</v>
      </c>
      <c r="L208" t="s">
        <v>26</v>
      </c>
      <c r="M208">
        <v>9.3421052631578946E-2</v>
      </c>
      <c r="N208" t="s">
        <v>358</v>
      </c>
      <c r="O208" t="s">
        <v>359</v>
      </c>
    </row>
    <row r="209" spans="1:15" x14ac:dyDescent="0.3">
      <c r="A209" t="s">
        <v>121</v>
      </c>
      <c r="B209" t="s">
        <v>35</v>
      </c>
      <c r="C209" s="2">
        <v>45749</v>
      </c>
      <c r="D209" t="s">
        <v>56</v>
      </c>
      <c r="E209" t="s">
        <v>57</v>
      </c>
      <c r="F209">
        <v>199</v>
      </c>
      <c r="G209">
        <v>772</v>
      </c>
      <c r="H209">
        <v>400</v>
      </c>
      <c r="I209">
        <v>3582</v>
      </c>
      <c r="J209">
        <v>2988</v>
      </c>
      <c r="K209">
        <v>43</v>
      </c>
      <c r="L209" t="s">
        <v>360</v>
      </c>
      <c r="M209">
        <v>0.38274706867671693</v>
      </c>
      <c r="N209" t="s">
        <v>11</v>
      </c>
      <c r="O209" t="s">
        <v>25</v>
      </c>
    </row>
    <row r="210" spans="1:15" x14ac:dyDescent="0.3">
      <c r="A210" t="s">
        <v>121</v>
      </c>
      <c r="B210" t="s">
        <v>35</v>
      </c>
      <c r="C210" s="2">
        <v>45749</v>
      </c>
      <c r="D210" t="s">
        <v>56</v>
      </c>
      <c r="E210" t="s">
        <v>57</v>
      </c>
      <c r="F210">
        <v>199</v>
      </c>
      <c r="G210">
        <v>772</v>
      </c>
      <c r="H210">
        <v>400</v>
      </c>
      <c r="I210">
        <v>3582</v>
      </c>
      <c r="J210">
        <v>2988</v>
      </c>
      <c r="K210">
        <v>43</v>
      </c>
      <c r="L210" t="s">
        <v>360</v>
      </c>
      <c r="M210">
        <v>0.38274706867671693</v>
      </c>
      <c r="N210" t="s">
        <v>357</v>
      </c>
      <c r="O210" t="s">
        <v>359</v>
      </c>
    </row>
    <row r="211" spans="1:15" x14ac:dyDescent="0.3">
      <c r="A211" t="s">
        <v>121</v>
      </c>
      <c r="B211" t="s">
        <v>35</v>
      </c>
      <c r="C211" s="2">
        <v>45749</v>
      </c>
      <c r="D211" t="s">
        <v>56</v>
      </c>
      <c r="E211" t="s">
        <v>57</v>
      </c>
      <c r="F211">
        <v>199</v>
      </c>
      <c r="G211">
        <v>772</v>
      </c>
      <c r="H211">
        <v>400</v>
      </c>
      <c r="I211">
        <v>3582</v>
      </c>
      <c r="J211">
        <v>2988</v>
      </c>
      <c r="K211">
        <v>43</v>
      </c>
      <c r="L211" t="s">
        <v>360</v>
      </c>
      <c r="M211">
        <v>0.38274706867671693</v>
      </c>
      <c r="N211" t="s">
        <v>358</v>
      </c>
      <c r="O211" t="s">
        <v>359</v>
      </c>
    </row>
    <row r="212" spans="1:15" x14ac:dyDescent="0.3">
      <c r="A212" t="s">
        <v>122</v>
      </c>
      <c r="B212" t="s">
        <v>23</v>
      </c>
      <c r="C212" s="2">
        <v>45537</v>
      </c>
      <c r="D212" t="s">
        <v>36</v>
      </c>
      <c r="E212" t="s">
        <v>52</v>
      </c>
      <c r="F212">
        <v>2551</v>
      </c>
      <c r="G212">
        <v>915</v>
      </c>
      <c r="H212">
        <v>205</v>
      </c>
      <c r="I212">
        <v>30612</v>
      </c>
      <c r="J212">
        <v>30360</v>
      </c>
      <c r="K212">
        <v>227</v>
      </c>
      <c r="L212" t="s">
        <v>21</v>
      </c>
      <c r="M212">
        <v>0.1199202926956749</v>
      </c>
      <c r="N212" t="s">
        <v>11</v>
      </c>
      <c r="O212" t="s">
        <v>25</v>
      </c>
    </row>
    <row r="213" spans="1:15" x14ac:dyDescent="0.3">
      <c r="A213" t="s">
        <v>122</v>
      </c>
      <c r="B213" t="s">
        <v>23</v>
      </c>
      <c r="C213" s="2">
        <v>45537</v>
      </c>
      <c r="D213" t="s">
        <v>36</v>
      </c>
      <c r="E213" t="s">
        <v>52</v>
      </c>
      <c r="F213">
        <v>2551</v>
      </c>
      <c r="G213">
        <v>915</v>
      </c>
      <c r="H213">
        <v>205</v>
      </c>
      <c r="I213">
        <v>30612</v>
      </c>
      <c r="J213">
        <v>30360</v>
      </c>
      <c r="K213">
        <v>227</v>
      </c>
      <c r="L213" t="s">
        <v>21</v>
      </c>
      <c r="M213">
        <v>0.1199202926956749</v>
      </c>
      <c r="N213" t="s">
        <v>357</v>
      </c>
      <c r="O213" t="s">
        <v>359</v>
      </c>
    </row>
    <row r="214" spans="1:15" x14ac:dyDescent="0.3">
      <c r="A214" t="s">
        <v>122</v>
      </c>
      <c r="B214" t="s">
        <v>23</v>
      </c>
      <c r="C214" s="2">
        <v>45537</v>
      </c>
      <c r="D214" t="s">
        <v>36</v>
      </c>
      <c r="E214" t="s">
        <v>52</v>
      </c>
      <c r="F214">
        <v>2551</v>
      </c>
      <c r="G214">
        <v>915</v>
      </c>
      <c r="H214">
        <v>205</v>
      </c>
      <c r="I214">
        <v>30612</v>
      </c>
      <c r="J214">
        <v>30360</v>
      </c>
      <c r="K214">
        <v>227</v>
      </c>
      <c r="L214" t="s">
        <v>21</v>
      </c>
      <c r="M214">
        <v>0.1199202926956749</v>
      </c>
      <c r="N214" t="s">
        <v>358</v>
      </c>
      <c r="O214" t="s">
        <v>359</v>
      </c>
    </row>
    <row r="215" spans="1:15" x14ac:dyDescent="0.3">
      <c r="A215" t="s">
        <v>123</v>
      </c>
      <c r="B215" t="s">
        <v>23</v>
      </c>
      <c r="C215" s="2">
        <v>45719</v>
      </c>
      <c r="D215" t="s">
        <v>15</v>
      </c>
      <c r="E215" t="s">
        <v>24</v>
      </c>
      <c r="F215">
        <v>296</v>
      </c>
      <c r="G215">
        <v>60</v>
      </c>
      <c r="H215">
        <v>141</v>
      </c>
      <c r="I215">
        <v>5624</v>
      </c>
      <c r="J215">
        <v>5239</v>
      </c>
      <c r="K215">
        <v>88</v>
      </c>
      <c r="L215" t="s">
        <v>21</v>
      </c>
      <c r="M215">
        <v>8.837126600284495E-2</v>
      </c>
      <c r="N215" t="s">
        <v>11</v>
      </c>
      <c r="O215" t="s">
        <v>31</v>
      </c>
    </row>
    <row r="216" spans="1:15" x14ac:dyDescent="0.3">
      <c r="A216" t="s">
        <v>123</v>
      </c>
      <c r="B216" t="s">
        <v>23</v>
      </c>
      <c r="C216" s="2">
        <v>45719</v>
      </c>
      <c r="D216" t="s">
        <v>15</v>
      </c>
      <c r="E216" t="s">
        <v>24</v>
      </c>
      <c r="F216">
        <v>296</v>
      </c>
      <c r="G216">
        <v>60</v>
      </c>
      <c r="H216">
        <v>141</v>
      </c>
      <c r="I216">
        <v>5624</v>
      </c>
      <c r="J216">
        <v>5239</v>
      </c>
      <c r="K216">
        <v>88</v>
      </c>
      <c r="L216" t="s">
        <v>21</v>
      </c>
      <c r="M216">
        <v>8.837126600284495E-2</v>
      </c>
      <c r="N216" t="s">
        <v>357</v>
      </c>
      <c r="O216" t="s">
        <v>359</v>
      </c>
    </row>
    <row r="217" spans="1:15" x14ac:dyDescent="0.3">
      <c r="A217" t="s">
        <v>123</v>
      </c>
      <c r="B217" t="s">
        <v>23</v>
      </c>
      <c r="C217" s="2">
        <v>45719</v>
      </c>
      <c r="D217" t="s">
        <v>15</v>
      </c>
      <c r="E217" t="s">
        <v>24</v>
      </c>
      <c r="F217">
        <v>296</v>
      </c>
      <c r="G217">
        <v>60</v>
      </c>
      <c r="H217">
        <v>141</v>
      </c>
      <c r="I217">
        <v>5624</v>
      </c>
      <c r="J217">
        <v>5239</v>
      </c>
      <c r="K217">
        <v>88</v>
      </c>
      <c r="L217" t="s">
        <v>21</v>
      </c>
      <c r="M217">
        <v>8.837126600284495E-2</v>
      </c>
      <c r="N217" t="s">
        <v>358</v>
      </c>
      <c r="O217" t="s">
        <v>359</v>
      </c>
    </row>
    <row r="218" spans="1:15" x14ac:dyDescent="0.3">
      <c r="A218" t="s">
        <v>124</v>
      </c>
      <c r="B218" t="s">
        <v>35</v>
      </c>
      <c r="C218" s="2">
        <v>45583</v>
      </c>
      <c r="D218" t="s">
        <v>29</v>
      </c>
      <c r="E218" t="s">
        <v>54</v>
      </c>
      <c r="F218">
        <v>4126</v>
      </c>
      <c r="G218">
        <v>426</v>
      </c>
      <c r="H218">
        <v>486</v>
      </c>
      <c r="I218">
        <v>78394</v>
      </c>
      <c r="J218">
        <v>77798</v>
      </c>
      <c r="K218">
        <v>88</v>
      </c>
      <c r="L218" t="s">
        <v>32</v>
      </c>
      <c r="M218">
        <v>6.4265122330790625E-2</v>
      </c>
      <c r="N218" t="s">
        <v>11</v>
      </c>
      <c r="O218" t="s">
        <v>48</v>
      </c>
    </row>
    <row r="219" spans="1:15" x14ac:dyDescent="0.3">
      <c r="A219" t="s">
        <v>124</v>
      </c>
      <c r="B219" t="s">
        <v>35</v>
      </c>
      <c r="C219" s="2">
        <v>45583</v>
      </c>
      <c r="D219" t="s">
        <v>29</v>
      </c>
      <c r="E219" t="s">
        <v>54</v>
      </c>
      <c r="F219">
        <v>4126</v>
      </c>
      <c r="G219">
        <v>426</v>
      </c>
      <c r="H219">
        <v>486</v>
      </c>
      <c r="I219">
        <v>78394</v>
      </c>
      <c r="J219">
        <v>77798</v>
      </c>
      <c r="K219">
        <v>88</v>
      </c>
      <c r="L219" t="s">
        <v>32</v>
      </c>
      <c r="M219">
        <v>6.4265122330790625E-2</v>
      </c>
      <c r="N219" t="s">
        <v>357</v>
      </c>
      <c r="O219" t="s">
        <v>359</v>
      </c>
    </row>
    <row r="220" spans="1:15" x14ac:dyDescent="0.3">
      <c r="A220" t="s">
        <v>124</v>
      </c>
      <c r="B220" t="s">
        <v>35</v>
      </c>
      <c r="C220" s="2">
        <v>45583</v>
      </c>
      <c r="D220" t="s">
        <v>29</v>
      </c>
      <c r="E220" t="s">
        <v>54</v>
      </c>
      <c r="F220">
        <v>4126</v>
      </c>
      <c r="G220">
        <v>426</v>
      </c>
      <c r="H220">
        <v>486</v>
      </c>
      <c r="I220">
        <v>78394</v>
      </c>
      <c r="J220">
        <v>77798</v>
      </c>
      <c r="K220">
        <v>88</v>
      </c>
      <c r="L220" t="s">
        <v>32</v>
      </c>
      <c r="M220">
        <v>6.4265122330790625E-2</v>
      </c>
      <c r="N220" t="s">
        <v>358</v>
      </c>
      <c r="O220" t="s">
        <v>359</v>
      </c>
    </row>
    <row r="221" spans="1:15" x14ac:dyDescent="0.3">
      <c r="A221" t="s">
        <v>125</v>
      </c>
      <c r="B221" t="s">
        <v>23</v>
      </c>
      <c r="C221" s="2">
        <v>45593</v>
      </c>
      <c r="D221" t="s">
        <v>15</v>
      </c>
      <c r="E221" t="s">
        <v>24</v>
      </c>
      <c r="F221">
        <v>1855</v>
      </c>
      <c r="G221">
        <v>200</v>
      </c>
      <c r="H221">
        <v>174</v>
      </c>
      <c r="I221">
        <v>16695</v>
      </c>
      <c r="J221">
        <v>16330</v>
      </c>
      <c r="K221">
        <v>123</v>
      </c>
      <c r="L221" t="s">
        <v>26</v>
      </c>
      <c r="M221">
        <v>0.13351302785265048</v>
      </c>
      <c r="N221" t="s">
        <v>11</v>
      </c>
      <c r="O221" t="s">
        <v>25</v>
      </c>
    </row>
    <row r="222" spans="1:15" x14ac:dyDescent="0.3">
      <c r="A222" t="s">
        <v>125</v>
      </c>
      <c r="B222" t="s">
        <v>23</v>
      </c>
      <c r="C222" s="2">
        <v>45593</v>
      </c>
      <c r="D222" t="s">
        <v>15</v>
      </c>
      <c r="E222" t="s">
        <v>24</v>
      </c>
      <c r="F222">
        <v>1855</v>
      </c>
      <c r="G222">
        <v>200</v>
      </c>
      <c r="H222">
        <v>174</v>
      </c>
      <c r="I222">
        <v>16695</v>
      </c>
      <c r="J222">
        <v>16330</v>
      </c>
      <c r="K222">
        <v>123</v>
      </c>
      <c r="L222" t="s">
        <v>26</v>
      </c>
      <c r="M222">
        <v>0.13351302785265048</v>
      </c>
      <c r="N222" t="s">
        <v>357</v>
      </c>
      <c r="O222" t="s">
        <v>359</v>
      </c>
    </row>
    <row r="223" spans="1:15" x14ac:dyDescent="0.3">
      <c r="A223" t="s">
        <v>125</v>
      </c>
      <c r="B223" t="s">
        <v>23</v>
      </c>
      <c r="C223" s="2">
        <v>45593</v>
      </c>
      <c r="D223" t="s">
        <v>15</v>
      </c>
      <c r="E223" t="s">
        <v>24</v>
      </c>
      <c r="F223">
        <v>1855</v>
      </c>
      <c r="G223">
        <v>200</v>
      </c>
      <c r="H223">
        <v>174</v>
      </c>
      <c r="I223">
        <v>16695</v>
      </c>
      <c r="J223">
        <v>16330</v>
      </c>
      <c r="K223">
        <v>123</v>
      </c>
      <c r="L223" t="s">
        <v>26</v>
      </c>
      <c r="M223">
        <v>0.13351302785265048</v>
      </c>
      <c r="N223" t="s">
        <v>358</v>
      </c>
      <c r="O223" t="s">
        <v>359</v>
      </c>
    </row>
    <row r="224" spans="1:15" x14ac:dyDescent="0.3">
      <c r="A224" t="s">
        <v>126</v>
      </c>
      <c r="B224" t="s">
        <v>28</v>
      </c>
      <c r="C224" s="2">
        <v>45505</v>
      </c>
      <c r="D224" t="s">
        <v>15</v>
      </c>
      <c r="E224" t="s">
        <v>61</v>
      </c>
      <c r="F224">
        <v>1674</v>
      </c>
      <c r="G224">
        <v>929</v>
      </c>
      <c r="H224">
        <v>37</v>
      </c>
      <c r="I224">
        <v>21762</v>
      </c>
      <c r="J224">
        <v>20998</v>
      </c>
      <c r="K224">
        <v>255</v>
      </c>
      <c r="L224" t="s">
        <v>32</v>
      </c>
      <c r="M224">
        <v>0.12131237937689551</v>
      </c>
      <c r="N224" t="s">
        <v>11</v>
      </c>
      <c r="O224" t="s">
        <v>25</v>
      </c>
    </row>
    <row r="225" spans="1:15" x14ac:dyDescent="0.3">
      <c r="A225" t="s">
        <v>126</v>
      </c>
      <c r="B225" t="s">
        <v>28</v>
      </c>
      <c r="C225" s="2">
        <v>45505</v>
      </c>
      <c r="D225" t="s">
        <v>15</v>
      </c>
      <c r="E225" t="s">
        <v>61</v>
      </c>
      <c r="F225">
        <v>1674</v>
      </c>
      <c r="G225">
        <v>929</v>
      </c>
      <c r="H225">
        <v>37</v>
      </c>
      <c r="I225">
        <v>21762</v>
      </c>
      <c r="J225">
        <v>20998</v>
      </c>
      <c r="K225">
        <v>255</v>
      </c>
      <c r="L225" t="s">
        <v>32</v>
      </c>
      <c r="M225">
        <v>0.12131237937689551</v>
      </c>
      <c r="N225" t="s">
        <v>357</v>
      </c>
      <c r="O225" t="s">
        <v>359</v>
      </c>
    </row>
    <row r="226" spans="1:15" x14ac:dyDescent="0.3">
      <c r="A226" t="s">
        <v>126</v>
      </c>
      <c r="B226" t="s">
        <v>28</v>
      </c>
      <c r="C226" s="2">
        <v>45505</v>
      </c>
      <c r="D226" t="s">
        <v>15</v>
      </c>
      <c r="E226" t="s">
        <v>61</v>
      </c>
      <c r="F226">
        <v>1674</v>
      </c>
      <c r="G226">
        <v>929</v>
      </c>
      <c r="H226">
        <v>37</v>
      </c>
      <c r="I226">
        <v>21762</v>
      </c>
      <c r="J226">
        <v>20998</v>
      </c>
      <c r="K226">
        <v>255</v>
      </c>
      <c r="L226" t="s">
        <v>32</v>
      </c>
      <c r="M226">
        <v>0.12131237937689551</v>
      </c>
      <c r="N226" t="s">
        <v>358</v>
      </c>
      <c r="O226" t="s">
        <v>359</v>
      </c>
    </row>
    <row r="227" spans="1:15" x14ac:dyDescent="0.3">
      <c r="A227" t="s">
        <v>127</v>
      </c>
      <c r="B227" t="s">
        <v>14</v>
      </c>
      <c r="C227" s="2">
        <v>45603</v>
      </c>
      <c r="D227" t="s">
        <v>29</v>
      </c>
      <c r="E227" t="s">
        <v>98</v>
      </c>
      <c r="F227">
        <v>1121</v>
      </c>
      <c r="G227">
        <v>135</v>
      </c>
      <c r="H227">
        <v>18</v>
      </c>
      <c r="I227">
        <v>15694</v>
      </c>
      <c r="J227">
        <v>14957</v>
      </c>
      <c r="K227">
        <v>99</v>
      </c>
      <c r="L227" t="s">
        <v>32</v>
      </c>
      <c r="M227">
        <v>8.1177520071364848E-2</v>
      </c>
      <c r="N227" t="s">
        <v>11</v>
      </c>
      <c r="O227" t="s">
        <v>25</v>
      </c>
    </row>
    <row r="228" spans="1:15" x14ac:dyDescent="0.3">
      <c r="A228" t="s">
        <v>127</v>
      </c>
      <c r="B228" t="s">
        <v>14</v>
      </c>
      <c r="C228" s="2">
        <v>45603</v>
      </c>
      <c r="D228" t="s">
        <v>29</v>
      </c>
      <c r="E228" t="s">
        <v>98</v>
      </c>
      <c r="F228">
        <v>1121</v>
      </c>
      <c r="G228">
        <v>135</v>
      </c>
      <c r="H228">
        <v>18</v>
      </c>
      <c r="I228">
        <v>15694</v>
      </c>
      <c r="J228">
        <v>14957</v>
      </c>
      <c r="K228">
        <v>99</v>
      </c>
      <c r="L228" t="s">
        <v>32</v>
      </c>
      <c r="M228">
        <v>8.1177520071364848E-2</v>
      </c>
      <c r="N228" t="s">
        <v>357</v>
      </c>
      <c r="O228" t="s">
        <v>359</v>
      </c>
    </row>
    <row r="229" spans="1:15" x14ac:dyDescent="0.3">
      <c r="A229" t="s">
        <v>127</v>
      </c>
      <c r="B229" t="s">
        <v>14</v>
      </c>
      <c r="C229" s="2">
        <v>45603</v>
      </c>
      <c r="D229" t="s">
        <v>29</v>
      </c>
      <c r="E229" t="s">
        <v>98</v>
      </c>
      <c r="F229">
        <v>1121</v>
      </c>
      <c r="G229">
        <v>135</v>
      </c>
      <c r="H229">
        <v>18</v>
      </c>
      <c r="I229">
        <v>15694</v>
      </c>
      <c r="J229">
        <v>14957</v>
      </c>
      <c r="K229">
        <v>99</v>
      </c>
      <c r="L229" t="s">
        <v>32</v>
      </c>
      <c r="M229">
        <v>8.1177520071364848E-2</v>
      </c>
      <c r="N229" t="s">
        <v>358</v>
      </c>
      <c r="O229" t="s">
        <v>359</v>
      </c>
    </row>
    <row r="230" spans="1:15" x14ac:dyDescent="0.3">
      <c r="A230" t="s">
        <v>128</v>
      </c>
      <c r="B230" t="s">
        <v>35</v>
      </c>
      <c r="C230" s="2">
        <v>45720</v>
      </c>
      <c r="D230" t="s">
        <v>29</v>
      </c>
      <c r="E230" t="s">
        <v>54</v>
      </c>
      <c r="F230">
        <v>1249</v>
      </c>
      <c r="G230">
        <v>116</v>
      </c>
      <c r="H230">
        <v>420</v>
      </c>
      <c r="I230">
        <v>8743</v>
      </c>
      <c r="J230">
        <v>8538</v>
      </c>
      <c r="K230">
        <v>63</v>
      </c>
      <c r="L230" t="s">
        <v>360</v>
      </c>
      <c r="M230">
        <v>0.20416333066453163</v>
      </c>
      <c r="N230" t="s">
        <v>11</v>
      </c>
      <c r="O230" t="s">
        <v>25</v>
      </c>
    </row>
    <row r="231" spans="1:15" x14ac:dyDescent="0.3">
      <c r="A231" t="s">
        <v>128</v>
      </c>
      <c r="B231" t="s">
        <v>35</v>
      </c>
      <c r="C231" s="2">
        <v>45720</v>
      </c>
      <c r="D231" t="s">
        <v>29</v>
      </c>
      <c r="E231" t="s">
        <v>54</v>
      </c>
      <c r="F231">
        <v>1249</v>
      </c>
      <c r="G231">
        <v>116</v>
      </c>
      <c r="H231">
        <v>420</v>
      </c>
      <c r="I231">
        <v>8743</v>
      </c>
      <c r="J231">
        <v>8538</v>
      </c>
      <c r="K231">
        <v>63</v>
      </c>
      <c r="L231" t="s">
        <v>360</v>
      </c>
      <c r="M231">
        <v>0.20416333066453163</v>
      </c>
      <c r="N231" t="s">
        <v>357</v>
      </c>
      <c r="O231" t="s">
        <v>359</v>
      </c>
    </row>
    <row r="232" spans="1:15" x14ac:dyDescent="0.3">
      <c r="A232" t="s">
        <v>128</v>
      </c>
      <c r="B232" t="s">
        <v>35</v>
      </c>
      <c r="C232" s="2">
        <v>45720</v>
      </c>
      <c r="D232" t="s">
        <v>29</v>
      </c>
      <c r="E232" t="s">
        <v>54</v>
      </c>
      <c r="F232">
        <v>1249</v>
      </c>
      <c r="G232">
        <v>116</v>
      </c>
      <c r="H232">
        <v>420</v>
      </c>
      <c r="I232">
        <v>8743</v>
      </c>
      <c r="J232">
        <v>8538</v>
      </c>
      <c r="K232">
        <v>63</v>
      </c>
      <c r="L232" t="s">
        <v>360</v>
      </c>
      <c r="M232">
        <v>0.20416333066453163</v>
      </c>
      <c r="N232" t="s">
        <v>358</v>
      </c>
      <c r="O232" t="s">
        <v>359</v>
      </c>
    </row>
    <row r="233" spans="1:15" x14ac:dyDescent="0.3">
      <c r="A233" t="s">
        <v>129</v>
      </c>
      <c r="B233" t="s">
        <v>14</v>
      </c>
      <c r="C233" s="2">
        <v>45460</v>
      </c>
      <c r="D233" t="s">
        <v>41</v>
      </c>
      <c r="E233" t="s">
        <v>88</v>
      </c>
      <c r="F233">
        <v>954</v>
      </c>
      <c r="G233">
        <v>324</v>
      </c>
      <c r="H233">
        <v>288</v>
      </c>
      <c r="I233">
        <v>19080</v>
      </c>
      <c r="J233">
        <v>18859</v>
      </c>
      <c r="K233">
        <v>21</v>
      </c>
      <c r="L233" t="s">
        <v>32</v>
      </c>
      <c r="M233">
        <v>8.2075471698113203E-2</v>
      </c>
      <c r="N233" t="s">
        <v>11</v>
      </c>
      <c r="O233" t="s">
        <v>48</v>
      </c>
    </row>
    <row r="234" spans="1:15" x14ac:dyDescent="0.3">
      <c r="A234" t="s">
        <v>129</v>
      </c>
      <c r="B234" t="s">
        <v>14</v>
      </c>
      <c r="C234" s="2">
        <v>45460</v>
      </c>
      <c r="D234" t="s">
        <v>41</v>
      </c>
      <c r="E234" t="s">
        <v>88</v>
      </c>
      <c r="F234">
        <v>954</v>
      </c>
      <c r="G234">
        <v>324</v>
      </c>
      <c r="H234">
        <v>288</v>
      </c>
      <c r="I234">
        <v>19080</v>
      </c>
      <c r="J234">
        <v>18859</v>
      </c>
      <c r="K234">
        <v>21</v>
      </c>
      <c r="L234" t="s">
        <v>32</v>
      </c>
      <c r="M234">
        <v>8.2075471698113203E-2</v>
      </c>
      <c r="N234" t="s">
        <v>357</v>
      </c>
      <c r="O234" t="s">
        <v>359</v>
      </c>
    </row>
    <row r="235" spans="1:15" x14ac:dyDescent="0.3">
      <c r="A235" t="s">
        <v>129</v>
      </c>
      <c r="B235" t="s">
        <v>14</v>
      </c>
      <c r="C235" s="2">
        <v>45460</v>
      </c>
      <c r="D235" t="s">
        <v>41</v>
      </c>
      <c r="E235" t="s">
        <v>88</v>
      </c>
      <c r="F235">
        <v>954</v>
      </c>
      <c r="G235">
        <v>324</v>
      </c>
      <c r="H235">
        <v>288</v>
      </c>
      <c r="I235">
        <v>19080</v>
      </c>
      <c r="J235">
        <v>18859</v>
      </c>
      <c r="K235">
        <v>21</v>
      </c>
      <c r="L235" t="s">
        <v>32</v>
      </c>
      <c r="M235">
        <v>8.2075471698113203E-2</v>
      </c>
      <c r="N235" t="s">
        <v>358</v>
      </c>
      <c r="O235" t="s">
        <v>359</v>
      </c>
    </row>
    <row r="236" spans="1:15" x14ac:dyDescent="0.3">
      <c r="A236" t="s">
        <v>130</v>
      </c>
      <c r="B236" t="s">
        <v>28</v>
      </c>
      <c r="C236" s="2">
        <v>45574</v>
      </c>
      <c r="D236" t="s">
        <v>36</v>
      </c>
      <c r="E236" t="s">
        <v>65</v>
      </c>
      <c r="F236">
        <v>3068</v>
      </c>
      <c r="G236">
        <v>137</v>
      </c>
      <c r="H236">
        <v>329</v>
      </c>
      <c r="I236">
        <v>39884</v>
      </c>
      <c r="J236">
        <v>39404</v>
      </c>
      <c r="K236">
        <v>266</v>
      </c>
      <c r="L236" t="s">
        <v>21</v>
      </c>
      <c r="M236">
        <v>8.860696018453515E-2</v>
      </c>
      <c r="N236" t="s">
        <v>11</v>
      </c>
      <c r="O236" t="s">
        <v>31</v>
      </c>
    </row>
    <row r="237" spans="1:15" x14ac:dyDescent="0.3">
      <c r="A237" t="s">
        <v>130</v>
      </c>
      <c r="B237" t="s">
        <v>28</v>
      </c>
      <c r="C237" s="2">
        <v>45574</v>
      </c>
      <c r="D237" t="s">
        <v>36</v>
      </c>
      <c r="E237" t="s">
        <v>65</v>
      </c>
      <c r="F237">
        <v>3068</v>
      </c>
      <c r="G237">
        <v>137</v>
      </c>
      <c r="H237">
        <v>329</v>
      </c>
      <c r="I237">
        <v>39884</v>
      </c>
      <c r="J237">
        <v>39404</v>
      </c>
      <c r="K237">
        <v>266</v>
      </c>
      <c r="L237" t="s">
        <v>21</v>
      </c>
      <c r="M237">
        <v>8.860696018453515E-2</v>
      </c>
      <c r="N237" t="s">
        <v>357</v>
      </c>
      <c r="O237" t="s">
        <v>359</v>
      </c>
    </row>
    <row r="238" spans="1:15" x14ac:dyDescent="0.3">
      <c r="A238" t="s">
        <v>130</v>
      </c>
      <c r="B238" t="s">
        <v>28</v>
      </c>
      <c r="C238" s="2">
        <v>45574</v>
      </c>
      <c r="D238" t="s">
        <v>36</v>
      </c>
      <c r="E238" t="s">
        <v>65</v>
      </c>
      <c r="F238">
        <v>3068</v>
      </c>
      <c r="G238">
        <v>137</v>
      </c>
      <c r="H238">
        <v>329</v>
      </c>
      <c r="I238">
        <v>39884</v>
      </c>
      <c r="J238">
        <v>39404</v>
      </c>
      <c r="K238">
        <v>266</v>
      </c>
      <c r="L238" t="s">
        <v>21</v>
      </c>
      <c r="M238">
        <v>8.860696018453515E-2</v>
      </c>
      <c r="N238" t="s">
        <v>358</v>
      </c>
      <c r="O238" t="s">
        <v>359</v>
      </c>
    </row>
    <row r="239" spans="1:15" x14ac:dyDescent="0.3">
      <c r="A239" t="s">
        <v>131</v>
      </c>
      <c r="B239" t="s">
        <v>28</v>
      </c>
      <c r="C239" s="2">
        <v>45456</v>
      </c>
      <c r="D239" t="s">
        <v>29</v>
      </c>
      <c r="E239" t="s">
        <v>30</v>
      </c>
      <c r="F239">
        <v>2103</v>
      </c>
      <c r="G239">
        <v>892</v>
      </c>
      <c r="H239">
        <v>103</v>
      </c>
      <c r="I239">
        <v>39957</v>
      </c>
      <c r="J239">
        <v>39466</v>
      </c>
      <c r="K239">
        <v>28</v>
      </c>
      <c r="L239" t="s">
        <v>360</v>
      </c>
      <c r="M239">
        <v>7.7533348349475686E-2</v>
      </c>
      <c r="N239" t="s">
        <v>11</v>
      </c>
      <c r="O239" t="s">
        <v>48</v>
      </c>
    </row>
    <row r="240" spans="1:15" x14ac:dyDescent="0.3">
      <c r="A240" t="s">
        <v>131</v>
      </c>
      <c r="B240" t="s">
        <v>28</v>
      </c>
      <c r="C240" s="2">
        <v>45456</v>
      </c>
      <c r="D240" t="s">
        <v>29</v>
      </c>
      <c r="E240" t="s">
        <v>30</v>
      </c>
      <c r="F240">
        <v>2103</v>
      </c>
      <c r="G240">
        <v>892</v>
      </c>
      <c r="H240">
        <v>103</v>
      </c>
      <c r="I240">
        <v>39957</v>
      </c>
      <c r="J240">
        <v>39466</v>
      </c>
      <c r="K240">
        <v>28</v>
      </c>
      <c r="L240" t="s">
        <v>360</v>
      </c>
      <c r="M240">
        <v>7.7533348349475686E-2</v>
      </c>
      <c r="N240" t="s">
        <v>357</v>
      </c>
      <c r="O240" t="s">
        <v>359</v>
      </c>
    </row>
    <row r="241" spans="1:15" x14ac:dyDescent="0.3">
      <c r="A241" t="s">
        <v>131</v>
      </c>
      <c r="B241" t="s">
        <v>28</v>
      </c>
      <c r="C241" s="2">
        <v>45456</v>
      </c>
      <c r="D241" t="s">
        <v>29</v>
      </c>
      <c r="E241" t="s">
        <v>30</v>
      </c>
      <c r="F241">
        <v>2103</v>
      </c>
      <c r="G241">
        <v>892</v>
      </c>
      <c r="H241">
        <v>103</v>
      </c>
      <c r="I241">
        <v>39957</v>
      </c>
      <c r="J241">
        <v>39466</v>
      </c>
      <c r="K241">
        <v>28</v>
      </c>
      <c r="L241" t="s">
        <v>360</v>
      </c>
      <c r="M241">
        <v>7.7533348349475686E-2</v>
      </c>
      <c r="N241" t="s">
        <v>358</v>
      </c>
      <c r="O241" t="s">
        <v>359</v>
      </c>
    </row>
    <row r="242" spans="1:15" x14ac:dyDescent="0.3">
      <c r="A242" t="s">
        <v>132</v>
      </c>
      <c r="B242" t="s">
        <v>28</v>
      </c>
      <c r="C242" s="2">
        <v>45584</v>
      </c>
      <c r="D242" t="s">
        <v>29</v>
      </c>
      <c r="E242" t="s">
        <v>30</v>
      </c>
      <c r="F242">
        <v>1816</v>
      </c>
      <c r="G242">
        <v>29</v>
      </c>
      <c r="H242">
        <v>41</v>
      </c>
      <c r="I242">
        <v>19976</v>
      </c>
      <c r="J242">
        <v>19262</v>
      </c>
      <c r="K242">
        <v>283</v>
      </c>
      <c r="L242" t="s">
        <v>26</v>
      </c>
      <c r="M242">
        <v>9.4413295955146179E-2</v>
      </c>
      <c r="N242" t="s">
        <v>11</v>
      </c>
      <c r="O242" t="s">
        <v>25</v>
      </c>
    </row>
    <row r="243" spans="1:15" x14ac:dyDescent="0.3">
      <c r="A243" t="s">
        <v>132</v>
      </c>
      <c r="B243" t="s">
        <v>28</v>
      </c>
      <c r="C243" s="2">
        <v>45584</v>
      </c>
      <c r="D243" t="s">
        <v>29</v>
      </c>
      <c r="E243" t="s">
        <v>30</v>
      </c>
      <c r="F243">
        <v>1816</v>
      </c>
      <c r="G243">
        <v>29</v>
      </c>
      <c r="H243">
        <v>41</v>
      </c>
      <c r="I243">
        <v>19976</v>
      </c>
      <c r="J243">
        <v>19262</v>
      </c>
      <c r="K243">
        <v>283</v>
      </c>
      <c r="L243" t="s">
        <v>26</v>
      </c>
      <c r="M243">
        <v>9.4413295955146179E-2</v>
      </c>
      <c r="N243" t="s">
        <v>357</v>
      </c>
      <c r="O243" t="s">
        <v>359</v>
      </c>
    </row>
    <row r="244" spans="1:15" x14ac:dyDescent="0.3">
      <c r="A244" t="s">
        <v>132</v>
      </c>
      <c r="B244" t="s">
        <v>28</v>
      </c>
      <c r="C244" s="2">
        <v>45584</v>
      </c>
      <c r="D244" t="s">
        <v>29</v>
      </c>
      <c r="E244" t="s">
        <v>30</v>
      </c>
      <c r="F244">
        <v>1816</v>
      </c>
      <c r="G244">
        <v>29</v>
      </c>
      <c r="H244">
        <v>41</v>
      </c>
      <c r="I244">
        <v>19976</v>
      </c>
      <c r="J244">
        <v>19262</v>
      </c>
      <c r="K244">
        <v>283</v>
      </c>
      <c r="L244" t="s">
        <v>26</v>
      </c>
      <c r="M244">
        <v>9.4413295955146179E-2</v>
      </c>
      <c r="N244" t="s">
        <v>358</v>
      </c>
      <c r="O244" t="s">
        <v>359</v>
      </c>
    </row>
    <row r="245" spans="1:15" x14ac:dyDescent="0.3">
      <c r="A245" t="s">
        <v>133</v>
      </c>
      <c r="B245" t="s">
        <v>28</v>
      </c>
      <c r="C245" s="2">
        <v>45497</v>
      </c>
      <c r="D245" t="s">
        <v>41</v>
      </c>
      <c r="E245" t="s">
        <v>134</v>
      </c>
      <c r="F245">
        <v>725</v>
      </c>
      <c r="G245">
        <v>88</v>
      </c>
      <c r="H245">
        <v>428</v>
      </c>
      <c r="I245">
        <v>14500</v>
      </c>
      <c r="J245">
        <v>13637</v>
      </c>
      <c r="K245">
        <v>200</v>
      </c>
      <c r="L245" t="s">
        <v>26</v>
      </c>
      <c r="M245">
        <v>8.558620689655172E-2</v>
      </c>
      <c r="N245" t="s">
        <v>11</v>
      </c>
      <c r="O245" t="s">
        <v>48</v>
      </c>
    </row>
    <row r="246" spans="1:15" x14ac:dyDescent="0.3">
      <c r="A246" t="s">
        <v>133</v>
      </c>
      <c r="B246" t="s">
        <v>28</v>
      </c>
      <c r="C246" s="2">
        <v>45497</v>
      </c>
      <c r="D246" t="s">
        <v>41</v>
      </c>
      <c r="E246" t="s">
        <v>134</v>
      </c>
      <c r="F246">
        <v>725</v>
      </c>
      <c r="G246">
        <v>88</v>
      </c>
      <c r="H246">
        <v>428</v>
      </c>
      <c r="I246">
        <v>14500</v>
      </c>
      <c r="J246">
        <v>13637</v>
      </c>
      <c r="K246">
        <v>200</v>
      </c>
      <c r="L246" t="s">
        <v>26</v>
      </c>
      <c r="M246">
        <v>8.558620689655172E-2</v>
      </c>
      <c r="N246" t="s">
        <v>357</v>
      </c>
      <c r="O246" t="s">
        <v>25</v>
      </c>
    </row>
    <row r="247" spans="1:15" x14ac:dyDescent="0.3">
      <c r="A247" t="s">
        <v>133</v>
      </c>
      <c r="B247" t="s">
        <v>28</v>
      </c>
      <c r="C247" s="2">
        <v>45497</v>
      </c>
      <c r="D247" t="s">
        <v>41</v>
      </c>
      <c r="E247" t="s">
        <v>134</v>
      </c>
      <c r="F247">
        <v>725</v>
      </c>
      <c r="G247">
        <v>88</v>
      </c>
      <c r="H247">
        <v>428</v>
      </c>
      <c r="I247">
        <v>14500</v>
      </c>
      <c r="J247">
        <v>13637</v>
      </c>
      <c r="K247">
        <v>200</v>
      </c>
      <c r="L247" t="s">
        <v>26</v>
      </c>
      <c r="M247">
        <v>8.558620689655172E-2</v>
      </c>
      <c r="N247" t="s">
        <v>358</v>
      </c>
      <c r="O247" t="s">
        <v>354</v>
      </c>
    </row>
    <row r="248" spans="1:15" x14ac:dyDescent="0.3">
      <c r="A248" t="s">
        <v>135</v>
      </c>
      <c r="B248" t="s">
        <v>23</v>
      </c>
      <c r="C248" s="2">
        <v>45580</v>
      </c>
      <c r="D248" t="s">
        <v>56</v>
      </c>
      <c r="E248" t="s">
        <v>136</v>
      </c>
      <c r="F248">
        <v>1094</v>
      </c>
      <c r="G248">
        <v>472</v>
      </c>
      <c r="H248">
        <v>21</v>
      </c>
      <c r="I248">
        <v>9846</v>
      </c>
      <c r="J248">
        <v>9609</v>
      </c>
      <c r="K248">
        <v>112</v>
      </c>
      <c r="L248" t="s">
        <v>360</v>
      </c>
      <c r="M248">
        <v>0.16118220597196831</v>
      </c>
      <c r="N248" t="s">
        <v>11</v>
      </c>
      <c r="O248" t="s">
        <v>31</v>
      </c>
    </row>
    <row r="249" spans="1:15" x14ac:dyDescent="0.3">
      <c r="A249" t="s">
        <v>135</v>
      </c>
      <c r="B249" t="s">
        <v>23</v>
      </c>
      <c r="C249" s="2">
        <v>45580</v>
      </c>
      <c r="D249" t="s">
        <v>56</v>
      </c>
      <c r="E249" t="s">
        <v>136</v>
      </c>
      <c r="F249">
        <v>1094</v>
      </c>
      <c r="G249">
        <v>472</v>
      </c>
      <c r="H249">
        <v>21</v>
      </c>
      <c r="I249">
        <v>9846</v>
      </c>
      <c r="J249">
        <v>9609</v>
      </c>
      <c r="K249">
        <v>112</v>
      </c>
      <c r="L249" t="s">
        <v>360</v>
      </c>
      <c r="M249">
        <v>0.16118220597196831</v>
      </c>
      <c r="N249" t="s">
        <v>357</v>
      </c>
      <c r="O249" t="s">
        <v>359</v>
      </c>
    </row>
    <row r="250" spans="1:15" x14ac:dyDescent="0.3">
      <c r="A250" t="s">
        <v>135</v>
      </c>
      <c r="B250" t="s">
        <v>23</v>
      </c>
      <c r="C250" s="2">
        <v>45580</v>
      </c>
      <c r="D250" t="s">
        <v>56</v>
      </c>
      <c r="E250" t="s">
        <v>136</v>
      </c>
      <c r="F250">
        <v>1094</v>
      </c>
      <c r="G250">
        <v>472</v>
      </c>
      <c r="H250">
        <v>21</v>
      </c>
      <c r="I250">
        <v>9846</v>
      </c>
      <c r="J250">
        <v>9609</v>
      </c>
      <c r="K250">
        <v>112</v>
      </c>
      <c r="L250" t="s">
        <v>360</v>
      </c>
      <c r="M250">
        <v>0.16118220597196831</v>
      </c>
      <c r="N250" t="s">
        <v>358</v>
      </c>
      <c r="O250" t="s">
        <v>359</v>
      </c>
    </row>
    <row r="251" spans="1:15" x14ac:dyDescent="0.3">
      <c r="A251" t="s">
        <v>137</v>
      </c>
      <c r="B251" t="s">
        <v>35</v>
      </c>
      <c r="C251" s="2">
        <v>45635</v>
      </c>
      <c r="D251" t="s">
        <v>41</v>
      </c>
      <c r="E251" t="s">
        <v>46</v>
      </c>
      <c r="F251">
        <v>1841</v>
      </c>
      <c r="G251">
        <v>851</v>
      </c>
      <c r="H251">
        <v>342</v>
      </c>
      <c r="I251">
        <v>34979</v>
      </c>
      <c r="J251">
        <v>34154</v>
      </c>
      <c r="K251">
        <v>255</v>
      </c>
      <c r="L251" t="s">
        <v>32</v>
      </c>
      <c r="M251">
        <v>8.6737756939878216E-2</v>
      </c>
      <c r="N251" t="s">
        <v>11</v>
      </c>
      <c r="O251" t="s">
        <v>48</v>
      </c>
    </row>
    <row r="252" spans="1:15" x14ac:dyDescent="0.3">
      <c r="A252" t="s">
        <v>137</v>
      </c>
      <c r="B252" t="s">
        <v>35</v>
      </c>
      <c r="C252" s="2">
        <v>45635</v>
      </c>
      <c r="D252" t="s">
        <v>41</v>
      </c>
      <c r="E252" t="s">
        <v>46</v>
      </c>
      <c r="F252">
        <v>1841</v>
      </c>
      <c r="G252">
        <v>851</v>
      </c>
      <c r="H252">
        <v>342</v>
      </c>
      <c r="I252">
        <v>34979</v>
      </c>
      <c r="J252">
        <v>34154</v>
      </c>
      <c r="K252">
        <v>255</v>
      </c>
      <c r="L252" t="s">
        <v>32</v>
      </c>
      <c r="M252">
        <v>8.6737756939878216E-2</v>
      </c>
      <c r="N252" t="s">
        <v>357</v>
      </c>
      <c r="O252" t="s">
        <v>359</v>
      </c>
    </row>
    <row r="253" spans="1:15" x14ac:dyDescent="0.3">
      <c r="A253" t="s">
        <v>137</v>
      </c>
      <c r="B253" t="s">
        <v>35</v>
      </c>
      <c r="C253" s="2">
        <v>45635</v>
      </c>
      <c r="D253" t="s">
        <v>41</v>
      </c>
      <c r="E253" t="s">
        <v>46</v>
      </c>
      <c r="F253">
        <v>1841</v>
      </c>
      <c r="G253">
        <v>851</v>
      </c>
      <c r="H253">
        <v>342</v>
      </c>
      <c r="I253">
        <v>34979</v>
      </c>
      <c r="J253">
        <v>34154</v>
      </c>
      <c r="K253">
        <v>255</v>
      </c>
      <c r="L253" t="s">
        <v>32</v>
      </c>
      <c r="M253">
        <v>8.6737756939878216E-2</v>
      </c>
      <c r="N253" t="s">
        <v>358</v>
      </c>
      <c r="O253" t="s">
        <v>359</v>
      </c>
    </row>
    <row r="254" spans="1:15" x14ac:dyDescent="0.3">
      <c r="A254" t="s">
        <v>138</v>
      </c>
      <c r="B254" t="s">
        <v>28</v>
      </c>
      <c r="C254" s="2">
        <v>45766</v>
      </c>
      <c r="D254" t="s">
        <v>41</v>
      </c>
      <c r="E254" t="s">
        <v>134</v>
      </c>
      <c r="F254">
        <v>4177</v>
      </c>
      <c r="G254">
        <v>569</v>
      </c>
      <c r="H254">
        <v>55</v>
      </c>
      <c r="I254">
        <v>25062</v>
      </c>
      <c r="J254">
        <v>24847</v>
      </c>
      <c r="K254">
        <v>230</v>
      </c>
      <c r="L254" t="s">
        <v>17</v>
      </c>
      <c r="M254">
        <v>0.19156491900087783</v>
      </c>
      <c r="N254" t="s">
        <v>11</v>
      </c>
      <c r="O254" t="s">
        <v>48</v>
      </c>
    </row>
    <row r="255" spans="1:15" x14ac:dyDescent="0.3">
      <c r="A255" t="s">
        <v>138</v>
      </c>
      <c r="B255" t="s">
        <v>28</v>
      </c>
      <c r="C255" s="2">
        <v>45766</v>
      </c>
      <c r="D255" t="s">
        <v>41</v>
      </c>
      <c r="E255" t="s">
        <v>134</v>
      </c>
      <c r="F255">
        <v>4177</v>
      </c>
      <c r="G255">
        <v>569</v>
      </c>
      <c r="H255">
        <v>55</v>
      </c>
      <c r="I255">
        <v>25062</v>
      </c>
      <c r="J255">
        <v>24847</v>
      </c>
      <c r="K255">
        <v>230</v>
      </c>
      <c r="L255" t="s">
        <v>17</v>
      </c>
      <c r="M255">
        <v>0.19156491900087783</v>
      </c>
      <c r="N255" t="s">
        <v>357</v>
      </c>
      <c r="O255" t="s">
        <v>359</v>
      </c>
    </row>
    <row r="256" spans="1:15" x14ac:dyDescent="0.3">
      <c r="A256" t="s">
        <v>138</v>
      </c>
      <c r="B256" t="s">
        <v>28</v>
      </c>
      <c r="C256" s="2">
        <v>45766</v>
      </c>
      <c r="D256" t="s">
        <v>41</v>
      </c>
      <c r="E256" t="s">
        <v>134</v>
      </c>
      <c r="F256">
        <v>4177</v>
      </c>
      <c r="G256">
        <v>569</v>
      </c>
      <c r="H256">
        <v>55</v>
      </c>
      <c r="I256">
        <v>25062</v>
      </c>
      <c r="J256">
        <v>24847</v>
      </c>
      <c r="K256">
        <v>230</v>
      </c>
      <c r="L256" t="s">
        <v>17</v>
      </c>
      <c r="M256">
        <v>0.19156491900087783</v>
      </c>
      <c r="N256" t="s">
        <v>358</v>
      </c>
      <c r="O256" t="s">
        <v>359</v>
      </c>
    </row>
    <row r="257" spans="1:15" x14ac:dyDescent="0.3">
      <c r="A257" t="s">
        <v>139</v>
      </c>
      <c r="B257" t="s">
        <v>23</v>
      </c>
      <c r="C257" s="2">
        <v>45684</v>
      </c>
      <c r="D257" t="s">
        <v>19</v>
      </c>
      <c r="E257" t="s">
        <v>73</v>
      </c>
      <c r="F257">
        <v>3428</v>
      </c>
      <c r="G257">
        <v>305</v>
      </c>
      <c r="H257">
        <v>85</v>
      </c>
      <c r="I257">
        <v>58276</v>
      </c>
      <c r="J257">
        <v>58052</v>
      </c>
      <c r="K257">
        <v>242</v>
      </c>
      <c r="L257" t="s">
        <v>32</v>
      </c>
      <c r="M257">
        <v>6.5515821264328367E-2</v>
      </c>
      <c r="N257" t="s">
        <v>11</v>
      </c>
      <c r="O257" t="s">
        <v>31</v>
      </c>
    </row>
    <row r="258" spans="1:15" x14ac:dyDescent="0.3">
      <c r="A258" t="s">
        <v>139</v>
      </c>
      <c r="B258" t="s">
        <v>23</v>
      </c>
      <c r="C258" s="2">
        <v>45684</v>
      </c>
      <c r="D258" t="s">
        <v>19</v>
      </c>
      <c r="E258" t="s">
        <v>73</v>
      </c>
      <c r="F258">
        <v>3428</v>
      </c>
      <c r="G258">
        <v>305</v>
      </c>
      <c r="H258">
        <v>85</v>
      </c>
      <c r="I258">
        <v>58276</v>
      </c>
      <c r="J258">
        <v>58052</v>
      </c>
      <c r="K258">
        <v>242</v>
      </c>
      <c r="L258" t="s">
        <v>32</v>
      </c>
      <c r="M258">
        <v>6.5515821264328367E-2</v>
      </c>
      <c r="N258" t="s">
        <v>357</v>
      </c>
      <c r="O258" t="s">
        <v>355</v>
      </c>
    </row>
    <row r="259" spans="1:15" x14ac:dyDescent="0.3">
      <c r="A259" t="s">
        <v>139</v>
      </c>
      <c r="B259" t="s">
        <v>23</v>
      </c>
      <c r="C259" s="2">
        <v>45684</v>
      </c>
      <c r="D259" t="s">
        <v>19</v>
      </c>
      <c r="E259" t="s">
        <v>73</v>
      </c>
      <c r="F259">
        <v>3428</v>
      </c>
      <c r="G259">
        <v>305</v>
      </c>
      <c r="H259">
        <v>85</v>
      </c>
      <c r="I259">
        <v>58276</v>
      </c>
      <c r="J259">
        <v>58052</v>
      </c>
      <c r="K259">
        <v>242</v>
      </c>
      <c r="L259" t="s">
        <v>32</v>
      </c>
      <c r="M259">
        <v>6.5515821264328367E-2</v>
      </c>
      <c r="N259" t="s">
        <v>358</v>
      </c>
      <c r="O259" t="s">
        <v>359</v>
      </c>
    </row>
    <row r="260" spans="1:15" x14ac:dyDescent="0.3">
      <c r="A260" t="s">
        <v>140</v>
      </c>
      <c r="B260" t="s">
        <v>14</v>
      </c>
      <c r="C260" s="2">
        <v>45449</v>
      </c>
      <c r="D260" t="s">
        <v>56</v>
      </c>
      <c r="E260" t="s">
        <v>95</v>
      </c>
      <c r="F260">
        <v>1436</v>
      </c>
      <c r="G260">
        <v>765</v>
      </c>
      <c r="H260">
        <v>496</v>
      </c>
      <c r="I260">
        <v>12924</v>
      </c>
      <c r="J260">
        <v>12701</v>
      </c>
      <c r="K260">
        <v>197</v>
      </c>
      <c r="L260" t="s">
        <v>26</v>
      </c>
      <c r="M260">
        <v>0.20868152274837512</v>
      </c>
      <c r="N260" t="s">
        <v>11</v>
      </c>
      <c r="O260" t="s">
        <v>48</v>
      </c>
    </row>
    <row r="261" spans="1:15" x14ac:dyDescent="0.3">
      <c r="A261" t="s">
        <v>140</v>
      </c>
      <c r="B261" t="s">
        <v>14</v>
      </c>
      <c r="C261" s="2">
        <v>45449</v>
      </c>
      <c r="D261" t="s">
        <v>56</v>
      </c>
      <c r="E261" t="s">
        <v>95</v>
      </c>
      <c r="F261">
        <v>1436</v>
      </c>
      <c r="G261">
        <v>765</v>
      </c>
      <c r="H261">
        <v>496</v>
      </c>
      <c r="I261">
        <v>12924</v>
      </c>
      <c r="J261">
        <v>12701</v>
      </c>
      <c r="K261">
        <v>197</v>
      </c>
      <c r="L261" t="s">
        <v>26</v>
      </c>
      <c r="M261">
        <v>0.20868152274837512</v>
      </c>
      <c r="N261" t="s">
        <v>357</v>
      </c>
      <c r="O261" t="s">
        <v>359</v>
      </c>
    </row>
    <row r="262" spans="1:15" x14ac:dyDescent="0.3">
      <c r="A262" t="s">
        <v>140</v>
      </c>
      <c r="B262" t="s">
        <v>14</v>
      </c>
      <c r="C262" s="2">
        <v>45449</v>
      </c>
      <c r="D262" t="s">
        <v>56</v>
      </c>
      <c r="E262" t="s">
        <v>95</v>
      </c>
      <c r="F262">
        <v>1436</v>
      </c>
      <c r="G262">
        <v>765</v>
      </c>
      <c r="H262">
        <v>496</v>
      </c>
      <c r="I262">
        <v>12924</v>
      </c>
      <c r="J262">
        <v>12701</v>
      </c>
      <c r="K262">
        <v>197</v>
      </c>
      <c r="L262" t="s">
        <v>26</v>
      </c>
      <c r="M262">
        <v>0.20868152274837512</v>
      </c>
      <c r="N262" t="s">
        <v>358</v>
      </c>
      <c r="O262" t="s">
        <v>359</v>
      </c>
    </row>
    <row r="263" spans="1:15" x14ac:dyDescent="0.3">
      <c r="A263" t="s">
        <v>141</v>
      </c>
      <c r="B263" t="s">
        <v>35</v>
      </c>
      <c r="C263" s="2">
        <v>45480</v>
      </c>
      <c r="D263" t="s">
        <v>29</v>
      </c>
      <c r="E263" t="s">
        <v>54</v>
      </c>
      <c r="F263">
        <v>302</v>
      </c>
      <c r="G263">
        <v>47</v>
      </c>
      <c r="H263">
        <v>430</v>
      </c>
      <c r="I263">
        <v>5738</v>
      </c>
      <c r="J263">
        <v>4890</v>
      </c>
      <c r="K263">
        <v>25</v>
      </c>
      <c r="L263" t="s">
        <v>32</v>
      </c>
      <c r="M263">
        <v>0.13576158940397351</v>
      </c>
      <c r="N263" t="s">
        <v>11</v>
      </c>
      <c r="O263" t="s">
        <v>25</v>
      </c>
    </row>
    <row r="264" spans="1:15" x14ac:dyDescent="0.3">
      <c r="A264" t="s">
        <v>141</v>
      </c>
      <c r="B264" t="s">
        <v>35</v>
      </c>
      <c r="C264" s="2">
        <v>45480</v>
      </c>
      <c r="D264" t="s">
        <v>29</v>
      </c>
      <c r="E264" t="s">
        <v>54</v>
      </c>
      <c r="F264">
        <v>302</v>
      </c>
      <c r="G264">
        <v>47</v>
      </c>
      <c r="H264">
        <v>430</v>
      </c>
      <c r="I264">
        <v>5738</v>
      </c>
      <c r="J264">
        <v>4890</v>
      </c>
      <c r="K264">
        <v>25</v>
      </c>
      <c r="L264" t="s">
        <v>32</v>
      </c>
      <c r="M264">
        <v>0.13576158940397351</v>
      </c>
      <c r="N264" t="s">
        <v>357</v>
      </c>
      <c r="O264" t="s">
        <v>359</v>
      </c>
    </row>
    <row r="265" spans="1:15" x14ac:dyDescent="0.3">
      <c r="A265" t="s">
        <v>141</v>
      </c>
      <c r="B265" t="s">
        <v>35</v>
      </c>
      <c r="C265" s="2">
        <v>45480</v>
      </c>
      <c r="D265" t="s">
        <v>29</v>
      </c>
      <c r="E265" t="s">
        <v>54</v>
      </c>
      <c r="F265">
        <v>302</v>
      </c>
      <c r="G265">
        <v>47</v>
      </c>
      <c r="H265">
        <v>430</v>
      </c>
      <c r="I265">
        <v>5738</v>
      </c>
      <c r="J265">
        <v>4890</v>
      </c>
      <c r="K265">
        <v>25</v>
      </c>
      <c r="L265" t="s">
        <v>32</v>
      </c>
      <c r="M265">
        <v>0.13576158940397351</v>
      </c>
      <c r="N265" t="s">
        <v>358</v>
      </c>
      <c r="O265" t="s">
        <v>359</v>
      </c>
    </row>
    <row r="266" spans="1:15" x14ac:dyDescent="0.3">
      <c r="A266" t="s">
        <v>142</v>
      </c>
      <c r="B266" t="s">
        <v>14</v>
      </c>
      <c r="C266" s="2">
        <v>45667</v>
      </c>
      <c r="D266" t="s">
        <v>41</v>
      </c>
      <c r="E266" t="s">
        <v>88</v>
      </c>
      <c r="F266">
        <v>2214</v>
      </c>
      <c r="G266">
        <v>249</v>
      </c>
      <c r="H266">
        <v>152</v>
      </c>
      <c r="I266">
        <v>15498</v>
      </c>
      <c r="J266">
        <v>14800</v>
      </c>
      <c r="K266">
        <v>180</v>
      </c>
      <c r="L266" t="s">
        <v>360</v>
      </c>
      <c r="M266">
        <v>0.16873144921925409</v>
      </c>
      <c r="N266" t="s">
        <v>11</v>
      </c>
      <c r="O266" t="s">
        <v>31</v>
      </c>
    </row>
    <row r="267" spans="1:15" x14ac:dyDescent="0.3">
      <c r="A267" t="s">
        <v>142</v>
      </c>
      <c r="B267" t="s">
        <v>14</v>
      </c>
      <c r="C267" s="2">
        <v>45667</v>
      </c>
      <c r="D267" t="s">
        <v>41</v>
      </c>
      <c r="E267" t="s">
        <v>88</v>
      </c>
      <c r="F267">
        <v>2214</v>
      </c>
      <c r="G267">
        <v>249</v>
      </c>
      <c r="H267">
        <v>152</v>
      </c>
      <c r="I267">
        <v>15498</v>
      </c>
      <c r="J267">
        <v>14800</v>
      </c>
      <c r="K267">
        <v>180</v>
      </c>
      <c r="L267" t="s">
        <v>360</v>
      </c>
      <c r="M267">
        <v>0.16873144921925409</v>
      </c>
      <c r="N267" t="s">
        <v>357</v>
      </c>
      <c r="O267" t="s">
        <v>359</v>
      </c>
    </row>
    <row r="268" spans="1:15" x14ac:dyDescent="0.3">
      <c r="A268" t="s">
        <v>142</v>
      </c>
      <c r="B268" t="s">
        <v>14</v>
      </c>
      <c r="C268" s="2">
        <v>45667</v>
      </c>
      <c r="D268" t="s">
        <v>41</v>
      </c>
      <c r="E268" t="s">
        <v>88</v>
      </c>
      <c r="F268">
        <v>2214</v>
      </c>
      <c r="G268">
        <v>249</v>
      </c>
      <c r="H268">
        <v>152</v>
      </c>
      <c r="I268">
        <v>15498</v>
      </c>
      <c r="J268">
        <v>14800</v>
      </c>
      <c r="K268">
        <v>180</v>
      </c>
      <c r="L268" t="s">
        <v>360</v>
      </c>
      <c r="M268">
        <v>0.16873144921925409</v>
      </c>
      <c r="N268" t="s">
        <v>358</v>
      </c>
      <c r="O268" t="s">
        <v>359</v>
      </c>
    </row>
    <row r="269" spans="1:15" x14ac:dyDescent="0.3">
      <c r="A269" t="s">
        <v>143</v>
      </c>
      <c r="B269" t="s">
        <v>28</v>
      </c>
      <c r="C269" s="2">
        <v>45446</v>
      </c>
      <c r="D269" t="s">
        <v>41</v>
      </c>
      <c r="E269" t="s">
        <v>134</v>
      </c>
      <c r="F269">
        <v>3861</v>
      </c>
      <c r="G269">
        <v>960</v>
      </c>
      <c r="H269">
        <v>101</v>
      </c>
      <c r="I269">
        <v>69498</v>
      </c>
      <c r="J269">
        <v>68817</v>
      </c>
      <c r="K269">
        <v>297</v>
      </c>
      <c r="L269" t="s">
        <v>32</v>
      </c>
      <c r="M269">
        <v>7.0822181933293038E-2</v>
      </c>
      <c r="N269" t="s">
        <v>11</v>
      </c>
      <c r="O269" t="s">
        <v>25</v>
      </c>
    </row>
    <row r="270" spans="1:15" x14ac:dyDescent="0.3">
      <c r="A270" t="s">
        <v>143</v>
      </c>
      <c r="B270" t="s">
        <v>28</v>
      </c>
      <c r="C270" s="2">
        <v>45446</v>
      </c>
      <c r="D270" t="s">
        <v>41</v>
      </c>
      <c r="E270" t="s">
        <v>134</v>
      </c>
      <c r="F270">
        <v>3861</v>
      </c>
      <c r="G270">
        <v>960</v>
      </c>
      <c r="H270">
        <v>101</v>
      </c>
      <c r="I270">
        <v>69498</v>
      </c>
      <c r="J270">
        <v>68817</v>
      </c>
      <c r="K270">
        <v>297</v>
      </c>
      <c r="L270" t="s">
        <v>32</v>
      </c>
      <c r="M270">
        <v>7.0822181933293038E-2</v>
      </c>
      <c r="N270" t="s">
        <v>357</v>
      </c>
      <c r="O270" t="s">
        <v>359</v>
      </c>
    </row>
    <row r="271" spans="1:15" x14ac:dyDescent="0.3">
      <c r="A271" t="s">
        <v>143</v>
      </c>
      <c r="B271" t="s">
        <v>28</v>
      </c>
      <c r="C271" s="2">
        <v>45446</v>
      </c>
      <c r="D271" t="s">
        <v>41</v>
      </c>
      <c r="E271" t="s">
        <v>134</v>
      </c>
      <c r="F271">
        <v>3861</v>
      </c>
      <c r="G271">
        <v>960</v>
      </c>
      <c r="H271">
        <v>101</v>
      </c>
      <c r="I271">
        <v>69498</v>
      </c>
      <c r="J271">
        <v>68817</v>
      </c>
      <c r="K271">
        <v>297</v>
      </c>
      <c r="L271" t="s">
        <v>32</v>
      </c>
      <c r="M271">
        <v>7.0822181933293038E-2</v>
      </c>
      <c r="N271" t="s">
        <v>358</v>
      </c>
      <c r="O271" t="s">
        <v>359</v>
      </c>
    </row>
    <row r="272" spans="1:15" x14ac:dyDescent="0.3">
      <c r="A272" t="s">
        <v>144</v>
      </c>
      <c r="B272" t="s">
        <v>35</v>
      </c>
      <c r="C272" s="2">
        <v>45740</v>
      </c>
      <c r="D272" t="s">
        <v>41</v>
      </c>
      <c r="E272" t="s">
        <v>46</v>
      </c>
      <c r="F272">
        <v>1263</v>
      </c>
      <c r="G272">
        <v>397</v>
      </c>
      <c r="H272">
        <v>357</v>
      </c>
      <c r="I272">
        <v>25260</v>
      </c>
      <c r="J272">
        <v>24615</v>
      </c>
      <c r="K272">
        <v>137</v>
      </c>
      <c r="L272" t="s">
        <v>32</v>
      </c>
      <c r="M272">
        <v>7.984956452889945E-2</v>
      </c>
      <c r="N272" t="s">
        <v>11</v>
      </c>
      <c r="O272" t="s">
        <v>31</v>
      </c>
    </row>
    <row r="273" spans="1:15" x14ac:dyDescent="0.3">
      <c r="A273" t="s">
        <v>144</v>
      </c>
      <c r="B273" t="s">
        <v>35</v>
      </c>
      <c r="C273" s="2">
        <v>45740</v>
      </c>
      <c r="D273" t="s">
        <v>41</v>
      </c>
      <c r="E273" t="s">
        <v>46</v>
      </c>
      <c r="F273">
        <v>1263</v>
      </c>
      <c r="G273">
        <v>397</v>
      </c>
      <c r="H273">
        <v>357</v>
      </c>
      <c r="I273">
        <v>25260</v>
      </c>
      <c r="J273">
        <v>24615</v>
      </c>
      <c r="K273">
        <v>137</v>
      </c>
      <c r="L273" t="s">
        <v>32</v>
      </c>
      <c r="M273">
        <v>7.984956452889945E-2</v>
      </c>
      <c r="N273" t="s">
        <v>357</v>
      </c>
      <c r="O273" t="s">
        <v>359</v>
      </c>
    </row>
    <row r="274" spans="1:15" x14ac:dyDescent="0.3">
      <c r="A274" t="s">
        <v>144</v>
      </c>
      <c r="B274" t="s">
        <v>35</v>
      </c>
      <c r="C274" s="2">
        <v>45740</v>
      </c>
      <c r="D274" t="s">
        <v>41</v>
      </c>
      <c r="E274" t="s">
        <v>46</v>
      </c>
      <c r="F274">
        <v>1263</v>
      </c>
      <c r="G274">
        <v>397</v>
      </c>
      <c r="H274">
        <v>357</v>
      </c>
      <c r="I274">
        <v>25260</v>
      </c>
      <c r="J274">
        <v>24615</v>
      </c>
      <c r="K274">
        <v>137</v>
      </c>
      <c r="L274" t="s">
        <v>32</v>
      </c>
      <c r="M274">
        <v>7.984956452889945E-2</v>
      </c>
      <c r="N274" t="s">
        <v>358</v>
      </c>
      <c r="O274" t="s">
        <v>359</v>
      </c>
    </row>
    <row r="275" spans="1:15" x14ac:dyDescent="0.3">
      <c r="A275" t="s">
        <v>145</v>
      </c>
      <c r="B275" t="s">
        <v>14</v>
      </c>
      <c r="C275" s="2">
        <v>45586</v>
      </c>
      <c r="D275" t="s">
        <v>29</v>
      </c>
      <c r="E275" t="s">
        <v>98</v>
      </c>
      <c r="F275">
        <v>3801</v>
      </c>
      <c r="G275">
        <v>967</v>
      </c>
      <c r="H275">
        <v>401</v>
      </c>
      <c r="I275">
        <v>38010</v>
      </c>
      <c r="J275">
        <v>37625</v>
      </c>
      <c r="K275">
        <v>236</v>
      </c>
      <c r="L275" t="s">
        <v>26</v>
      </c>
      <c r="M275">
        <v>0.13599052880820836</v>
      </c>
      <c r="N275" t="s">
        <v>11</v>
      </c>
      <c r="O275" t="s">
        <v>48</v>
      </c>
    </row>
    <row r="276" spans="1:15" x14ac:dyDescent="0.3">
      <c r="A276" t="s">
        <v>145</v>
      </c>
      <c r="B276" t="s">
        <v>14</v>
      </c>
      <c r="C276" s="2">
        <v>45586</v>
      </c>
      <c r="D276" t="s">
        <v>29</v>
      </c>
      <c r="E276" t="s">
        <v>98</v>
      </c>
      <c r="F276">
        <v>3801</v>
      </c>
      <c r="G276">
        <v>967</v>
      </c>
      <c r="H276">
        <v>401</v>
      </c>
      <c r="I276">
        <v>38010</v>
      </c>
      <c r="J276">
        <v>37625</v>
      </c>
      <c r="K276">
        <v>236</v>
      </c>
      <c r="L276" t="s">
        <v>26</v>
      </c>
      <c r="M276">
        <v>0.13599052880820836</v>
      </c>
      <c r="N276" t="s">
        <v>357</v>
      </c>
      <c r="O276" t="s">
        <v>359</v>
      </c>
    </row>
    <row r="277" spans="1:15" x14ac:dyDescent="0.3">
      <c r="A277" t="s">
        <v>145</v>
      </c>
      <c r="B277" t="s">
        <v>14</v>
      </c>
      <c r="C277" s="2">
        <v>45586</v>
      </c>
      <c r="D277" t="s">
        <v>29</v>
      </c>
      <c r="E277" t="s">
        <v>98</v>
      </c>
      <c r="F277">
        <v>3801</v>
      </c>
      <c r="G277">
        <v>967</v>
      </c>
      <c r="H277">
        <v>401</v>
      </c>
      <c r="I277">
        <v>38010</v>
      </c>
      <c r="J277">
        <v>37625</v>
      </c>
      <c r="K277">
        <v>236</v>
      </c>
      <c r="L277" t="s">
        <v>26</v>
      </c>
      <c r="M277">
        <v>0.13599052880820836</v>
      </c>
      <c r="N277" t="s">
        <v>358</v>
      </c>
      <c r="O277" t="s">
        <v>359</v>
      </c>
    </row>
    <row r="278" spans="1:15" x14ac:dyDescent="0.3">
      <c r="A278" t="s">
        <v>146</v>
      </c>
      <c r="B278" t="s">
        <v>28</v>
      </c>
      <c r="C278" s="2">
        <v>45637</v>
      </c>
      <c r="D278" t="s">
        <v>56</v>
      </c>
      <c r="E278" t="s">
        <v>63</v>
      </c>
      <c r="F278">
        <v>1431</v>
      </c>
      <c r="G278">
        <v>951</v>
      </c>
      <c r="H278">
        <v>26</v>
      </c>
      <c r="I278">
        <v>8586</v>
      </c>
      <c r="J278">
        <v>8396</v>
      </c>
      <c r="K278">
        <v>150</v>
      </c>
      <c r="L278" t="s">
        <v>26</v>
      </c>
      <c r="M278">
        <v>0.28045655718611695</v>
      </c>
      <c r="N278" t="s">
        <v>11</v>
      </c>
      <c r="O278" t="s">
        <v>31</v>
      </c>
    </row>
    <row r="279" spans="1:15" x14ac:dyDescent="0.3">
      <c r="A279" t="s">
        <v>146</v>
      </c>
      <c r="B279" t="s">
        <v>28</v>
      </c>
      <c r="C279" s="2">
        <v>45637</v>
      </c>
      <c r="D279" t="s">
        <v>56</v>
      </c>
      <c r="E279" t="s">
        <v>63</v>
      </c>
      <c r="F279">
        <v>1431</v>
      </c>
      <c r="G279">
        <v>951</v>
      </c>
      <c r="H279">
        <v>26</v>
      </c>
      <c r="I279">
        <v>8586</v>
      </c>
      <c r="J279">
        <v>8396</v>
      </c>
      <c r="K279">
        <v>150</v>
      </c>
      <c r="L279" t="s">
        <v>26</v>
      </c>
      <c r="M279">
        <v>0.28045655718611695</v>
      </c>
      <c r="N279" t="s">
        <v>357</v>
      </c>
      <c r="O279" t="s">
        <v>359</v>
      </c>
    </row>
    <row r="280" spans="1:15" x14ac:dyDescent="0.3">
      <c r="A280" t="s">
        <v>146</v>
      </c>
      <c r="B280" t="s">
        <v>28</v>
      </c>
      <c r="C280" s="2">
        <v>45637</v>
      </c>
      <c r="D280" t="s">
        <v>56</v>
      </c>
      <c r="E280" t="s">
        <v>63</v>
      </c>
      <c r="F280">
        <v>1431</v>
      </c>
      <c r="G280">
        <v>951</v>
      </c>
      <c r="H280">
        <v>26</v>
      </c>
      <c r="I280">
        <v>8586</v>
      </c>
      <c r="J280">
        <v>8396</v>
      </c>
      <c r="K280">
        <v>150</v>
      </c>
      <c r="L280" t="s">
        <v>26</v>
      </c>
      <c r="M280">
        <v>0.28045655718611695</v>
      </c>
      <c r="N280" t="s">
        <v>358</v>
      </c>
      <c r="O280" t="s">
        <v>359</v>
      </c>
    </row>
    <row r="281" spans="1:15" x14ac:dyDescent="0.3">
      <c r="A281" t="s">
        <v>147</v>
      </c>
      <c r="B281" t="s">
        <v>28</v>
      </c>
      <c r="C281" s="2">
        <v>45603</v>
      </c>
      <c r="D281" t="s">
        <v>41</v>
      </c>
      <c r="E281" t="s">
        <v>134</v>
      </c>
      <c r="F281">
        <v>2647</v>
      </c>
      <c r="G281">
        <v>304</v>
      </c>
      <c r="H281">
        <v>170</v>
      </c>
      <c r="I281">
        <v>18529</v>
      </c>
      <c r="J281">
        <v>17841</v>
      </c>
      <c r="K281">
        <v>46</v>
      </c>
      <c r="L281" t="s">
        <v>26</v>
      </c>
      <c r="M281">
        <v>0.16843866371633656</v>
      </c>
      <c r="N281" t="s">
        <v>11</v>
      </c>
      <c r="O281" t="s">
        <v>48</v>
      </c>
    </row>
    <row r="282" spans="1:15" x14ac:dyDescent="0.3">
      <c r="A282" t="s">
        <v>147</v>
      </c>
      <c r="B282" t="s">
        <v>28</v>
      </c>
      <c r="C282" s="2">
        <v>45603</v>
      </c>
      <c r="D282" t="s">
        <v>41</v>
      </c>
      <c r="E282" t="s">
        <v>134</v>
      </c>
      <c r="F282">
        <v>2647</v>
      </c>
      <c r="G282">
        <v>304</v>
      </c>
      <c r="H282">
        <v>170</v>
      </c>
      <c r="I282">
        <v>18529</v>
      </c>
      <c r="J282">
        <v>17841</v>
      </c>
      <c r="K282">
        <v>46</v>
      </c>
      <c r="L282" t="s">
        <v>26</v>
      </c>
      <c r="M282">
        <v>0.16843866371633656</v>
      </c>
      <c r="N282" t="s">
        <v>357</v>
      </c>
      <c r="O282" t="s">
        <v>359</v>
      </c>
    </row>
    <row r="283" spans="1:15" x14ac:dyDescent="0.3">
      <c r="A283" t="s">
        <v>147</v>
      </c>
      <c r="B283" t="s">
        <v>28</v>
      </c>
      <c r="C283" s="2">
        <v>45603</v>
      </c>
      <c r="D283" t="s">
        <v>41</v>
      </c>
      <c r="E283" t="s">
        <v>134</v>
      </c>
      <c r="F283">
        <v>2647</v>
      </c>
      <c r="G283">
        <v>304</v>
      </c>
      <c r="H283">
        <v>170</v>
      </c>
      <c r="I283">
        <v>18529</v>
      </c>
      <c r="J283">
        <v>17841</v>
      </c>
      <c r="K283">
        <v>46</v>
      </c>
      <c r="L283" t="s">
        <v>26</v>
      </c>
      <c r="M283">
        <v>0.16843866371633656</v>
      </c>
      <c r="N283" t="s">
        <v>358</v>
      </c>
      <c r="O283" t="s">
        <v>359</v>
      </c>
    </row>
    <row r="284" spans="1:15" x14ac:dyDescent="0.3">
      <c r="A284" t="s">
        <v>148</v>
      </c>
      <c r="B284" t="s">
        <v>28</v>
      </c>
      <c r="C284" s="2">
        <v>45604</v>
      </c>
      <c r="D284" t="s">
        <v>19</v>
      </c>
      <c r="E284" t="s">
        <v>78</v>
      </c>
      <c r="F284">
        <v>3182</v>
      </c>
      <c r="G284">
        <v>559</v>
      </c>
      <c r="H284">
        <v>160</v>
      </c>
      <c r="I284">
        <v>57276</v>
      </c>
      <c r="J284">
        <v>56890</v>
      </c>
      <c r="K284">
        <v>163</v>
      </c>
      <c r="L284" t="s">
        <v>32</v>
      </c>
      <c r="M284">
        <v>6.8108806480899509E-2</v>
      </c>
      <c r="N284" t="s">
        <v>11</v>
      </c>
      <c r="O284" t="s">
        <v>48</v>
      </c>
    </row>
    <row r="285" spans="1:15" x14ac:dyDescent="0.3">
      <c r="A285" t="s">
        <v>148</v>
      </c>
      <c r="B285" t="s">
        <v>28</v>
      </c>
      <c r="C285" s="2">
        <v>45604</v>
      </c>
      <c r="D285" t="s">
        <v>19</v>
      </c>
      <c r="E285" t="s">
        <v>78</v>
      </c>
      <c r="F285">
        <v>3182</v>
      </c>
      <c r="G285">
        <v>559</v>
      </c>
      <c r="H285">
        <v>160</v>
      </c>
      <c r="I285">
        <v>57276</v>
      </c>
      <c r="J285">
        <v>56890</v>
      </c>
      <c r="K285">
        <v>163</v>
      </c>
      <c r="L285" t="s">
        <v>32</v>
      </c>
      <c r="M285">
        <v>6.8108806480899509E-2</v>
      </c>
      <c r="N285" t="s">
        <v>357</v>
      </c>
      <c r="O285" t="s">
        <v>359</v>
      </c>
    </row>
    <row r="286" spans="1:15" x14ac:dyDescent="0.3">
      <c r="A286" t="s">
        <v>148</v>
      </c>
      <c r="B286" t="s">
        <v>28</v>
      </c>
      <c r="C286" s="2">
        <v>45604</v>
      </c>
      <c r="D286" t="s">
        <v>19</v>
      </c>
      <c r="E286" t="s">
        <v>78</v>
      </c>
      <c r="F286">
        <v>3182</v>
      </c>
      <c r="G286">
        <v>559</v>
      </c>
      <c r="H286">
        <v>160</v>
      </c>
      <c r="I286">
        <v>57276</v>
      </c>
      <c r="J286">
        <v>56890</v>
      </c>
      <c r="K286">
        <v>163</v>
      </c>
      <c r="L286" t="s">
        <v>32</v>
      </c>
      <c r="M286">
        <v>6.8108806480899509E-2</v>
      </c>
      <c r="N286" t="s">
        <v>358</v>
      </c>
      <c r="O286" t="s">
        <v>359</v>
      </c>
    </row>
    <row r="287" spans="1:15" x14ac:dyDescent="0.3">
      <c r="A287" t="s">
        <v>149</v>
      </c>
      <c r="B287" t="s">
        <v>14</v>
      </c>
      <c r="C287" s="2">
        <v>45545</v>
      </c>
      <c r="D287" t="s">
        <v>41</v>
      </c>
      <c r="E287" t="s">
        <v>88</v>
      </c>
      <c r="F287">
        <v>1238</v>
      </c>
      <c r="G287">
        <v>366</v>
      </c>
      <c r="H287">
        <v>444</v>
      </c>
      <c r="I287">
        <v>19808</v>
      </c>
      <c r="J287">
        <v>19334</v>
      </c>
      <c r="K287">
        <v>123</v>
      </c>
      <c r="L287" t="s">
        <v>360</v>
      </c>
      <c r="M287">
        <v>0.10339256865912763</v>
      </c>
      <c r="N287" t="s">
        <v>11</v>
      </c>
      <c r="O287" t="s">
        <v>48</v>
      </c>
    </row>
    <row r="288" spans="1:15" x14ac:dyDescent="0.3">
      <c r="A288" t="s">
        <v>149</v>
      </c>
      <c r="B288" t="s">
        <v>14</v>
      </c>
      <c r="C288" s="2">
        <v>45545</v>
      </c>
      <c r="D288" t="s">
        <v>41</v>
      </c>
      <c r="E288" t="s">
        <v>88</v>
      </c>
      <c r="F288">
        <v>1238</v>
      </c>
      <c r="G288">
        <v>366</v>
      </c>
      <c r="H288">
        <v>444</v>
      </c>
      <c r="I288">
        <v>19808</v>
      </c>
      <c r="J288">
        <v>19334</v>
      </c>
      <c r="K288">
        <v>123</v>
      </c>
      <c r="L288" t="s">
        <v>360</v>
      </c>
      <c r="M288">
        <v>0.10339256865912763</v>
      </c>
      <c r="N288" t="s">
        <v>357</v>
      </c>
      <c r="O288" t="s">
        <v>359</v>
      </c>
    </row>
    <row r="289" spans="1:15" x14ac:dyDescent="0.3">
      <c r="A289" t="s">
        <v>149</v>
      </c>
      <c r="B289" t="s">
        <v>14</v>
      </c>
      <c r="C289" s="2">
        <v>45545</v>
      </c>
      <c r="D289" t="s">
        <v>41</v>
      </c>
      <c r="E289" t="s">
        <v>88</v>
      </c>
      <c r="F289">
        <v>1238</v>
      </c>
      <c r="G289">
        <v>366</v>
      </c>
      <c r="H289">
        <v>444</v>
      </c>
      <c r="I289">
        <v>19808</v>
      </c>
      <c r="J289">
        <v>19334</v>
      </c>
      <c r="K289">
        <v>123</v>
      </c>
      <c r="L289" t="s">
        <v>360</v>
      </c>
      <c r="M289">
        <v>0.10339256865912763</v>
      </c>
      <c r="N289" t="s">
        <v>358</v>
      </c>
      <c r="O289" t="s">
        <v>359</v>
      </c>
    </row>
    <row r="290" spans="1:15" x14ac:dyDescent="0.3">
      <c r="A290" t="s">
        <v>150</v>
      </c>
      <c r="B290" t="s">
        <v>28</v>
      </c>
      <c r="C290" s="2">
        <v>45517</v>
      </c>
      <c r="D290" t="s">
        <v>41</v>
      </c>
      <c r="E290" t="s">
        <v>134</v>
      </c>
      <c r="F290">
        <v>4739</v>
      </c>
      <c r="G290">
        <v>527</v>
      </c>
      <c r="H290">
        <v>135</v>
      </c>
      <c r="I290">
        <v>61607</v>
      </c>
      <c r="J290">
        <v>61333</v>
      </c>
      <c r="K290">
        <v>36</v>
      </c>
      <c r="L290" t="s">
        <v>21</v>
      </c>
      <c r="M290">
        <v>8.7668609086629767E-2</v>
      </c>
      <c r="N290" t="s">
        <v>11</v>
      </c>
      <c r="O290" t="s">
        <v>25</v>
      </c>
    </row>
    <row r="291" spans="1:15" x14ac:dyDescent="0.3">
      <c r="A291" t="s">
        <v>150</v>
      </c>
      <c r="B291" t="s">
        <v>28</v>
      </c>
      <c r="C291" s="2">
        <v>45517</v>
      </c>
      <c r="D291" t="s">
        <v>41</v>
      </c>
      <c r="E291" t="s">
        <v>134</v>
      </c>
      <c r="F291">
        <v>4739</v>
      </c>
      <c r="G291">
        <v>527</v>
      </c>
      <c r="H291">
        <v>135</v>
      </c>
      <c r="I291">
        <v>61607</v>
      </c>
      <c r="J291">
        <v>61333</v>
      </c>
      <c r="K291">
        <v>36</v>
      </c>
      <c r="L291" t="s">
        <v>21</v>
      </c>
      <c r="M291">
        <v>8.7668609086629767E-2</v>
      </c>
      <c r="N291" t="s">
        <v>357</v>
      </c>
      <c r="O291" t="s">
        <v>354</v>
      </c>
    </row>
    <row r="292" spans="1:15" x14ac:dyDescent="0.3">
      <c r="A292" t="s">
        <v>150</v>
      </c>
      <c r="B292" t="s">
        <v>28</v>
      </c>
      <c r="C292" s="2">
        <v>45517</v>
      </c>
      <c r="D292" t="s">
        <v>41</v>
      </c>
      <c r="E292" t="s">
        <v>134</v>
      </c>
      <c r="F292">
        <v>4739</v>
      </c>
      <c r="G292">
        <v>527</v>
      </c>
      <c r="H292">
        <v>135</v>
      </c>
      <c r="I292">
        <v>61607</v>
      </c>
      <c r="J292">
        <v>61333</v>
      </c>
      <c r="K292">
        <v>36</v>
      </c>
      <c r="L292" t="s">
        <v>21</v>
      </c>
      <c r="M292">
        <v>8.7668609086629767E-2</v>
      </c>
      <c r="N292" t="s">
        <v>358</v>
      </c>
      <c r="O292" t="s">
        <v>359</v>
      </c>
    </row>
    <row r="293" spans="1:15" x14ac:dyDescent="0.3">
      <c r="A293" t="s">
        <v>151</v>
      </c>
      <c r="B293" t="s">
        <v>14</v>
      </c>
      <c r="C293" s="2">
        <v>45453</v>
      </c>
      <c r="D293" t="s">
        <v>29</v>
      </c>
      <c r="E293" t="s">
        <v>98</v>
      </c>
      <c r="F293">
        <v>1575</v>
      </c>
      <c r="G293">
        <v>771</v>
      </c>
      <c r="H293">
        <v>486</v>
      </c>
      <c r="I293">
        <v>25200</v>
      </c>
      <c r="J293">
        <v>24826</v>
      </c>
      <c r="K293">
        <v>17</v>
      </c>
      <c r="L293" t="s">
        <v>32</v>
      </c>
      <c r="M293">
        <v>0.11238095238095239</v>
      </c>
      <c r="N293" t="s">
        <v>11</v>
      </c>
      <c r="O293" t="s">
        <v>48</v>
      </c>
    </row>
    <row r="294" spans="1:15" x14ac:dyDescent="0.3">
      <c r="A294" t="s">
        <v>151</v>
      </c>
      <c r="B294" t="s">
        <v>14</v>
      </c>
      <c r="C294" s="2">
        <v>45453</v>
      </c>
      <c r="D294" t="s">
        <v>29</v>
      </c>
      <c r="E294" t="s">
        <v>98</v>
      </c>
      <c r="F294">
        <v>1575</v>
      </c>
      <c r="G294">
        <v>771</v>
      </c>
      <c r="H294">
        <v>486</v>
      </c>
      <c r="I294">
        <v>25200</v>
      </c>
      <c r="J294">
        <v>24826</v>
      </c>
      <c r="K294">
        <v>17</v>
      </c>
      <c r="L294" t="s">
        <v>32</v>
      </c>
      <c r="M294">
        <v>0.11238095238095239</v>
      </c>
      <c r="N294" t="s">
        <v>357</v>
      </c>
      <c r="O294" t="s">
        <v>359</v>
      </c>
    </row>
    <row r="295" spans="1:15" x14ac:dyDescent="0.3">
      <c r="A295" t="s">
        <v>151</v>
      </c>
      <c r="B295" t="s">
        <v>14</v>
      </c>
      <c r="C295" s="2">
        <v>45453</v>
      </c>
      <c r="D295" t="s">
        <v>29</v>
      </c>
      <c r="E295" t="s">
        <v>98</v>
      </c>
      <c r="F295">
        <v>1575</v>
      </c>
      <c r="G295">
        <v>771</v>
      </c>
      <c r="H295">
        <v>486</v>
      </c>
      <c r="I295">
        <v>25200</v>
      </c>
      <c r="J295">
        <v>24826</v>
      </c>
      <c r="K295">
        <v>17</v>
      </c>
      <c r="L295" t="s">
        <v>32</v>
      </c>
      <c r="M295">
        <v>0.11238095238095239</v>
      </c>
      <c r="N295" t="s">
        <v>358</v>
      </c>
      <c r="O295" t="s">
        <v>359</v>
      </c>
    </row>
    <row r="296" spans="1:15" x14ac:dyDescent="0.3">
      <c r="A296" t="s">
        <v>152</v>
      </c>
      <c r="B296" t="s">
        <v>23</v>
      </c>
      <c r="C296" s="2">
        <v>45475</v>
      </c>
      <c r="D296" t="s">
        <v>36</v>
      </c>
      <c r="E296" t="s">
        <v>52</v>
      </c>
      <c r="F296">
        <v>4171</v>
      </c>
      <c r="G296">
        <v>548</v>
      </c>
      <c r="H296">
        <v>86</v>
      </c>
      <c r="I296">
        <v>66736</v>
      </c>
      <c r="J296">
        <v>66634</v>
      </c>
      <c r="K296">
        <v>173</v>
      </c>
      <c r="L296" t="s">
        <v>26</v>
      </c>
      <c r="M296">
        <v>7.2000119875329657E-2</v>
      </c>
      <c r="N296" t="s">
        <v>11</v>
      </c>
      <c r="O296" t="s">
        <v>48</v>
      </c>
    </row>
    <row r="297" spans="1:15" x14ac:dyDescent="0.3">
      <c r="A297" t="s">
        <v>152</v>
      </c>
      <c r="B297" t="s">
        <v>23</v>
      </c>
      <c r="C297" s="2">
        <v>45475</v>
      </c>
      <c r="D297" t="s">
        <v>36</v>
      </c>
      <c r="E297" t="s">
        <v>52</v>
      </c>
      <c r="F297">
        <v>4171</v>
      </c>
      <c r="G297">
        <v>548</v>
      </c>
      <c r="H297">
        <v>86</v>
      </c>
      <c r="I297">
        <v>66736</v>
      </c>
      <c r="J297">
        <v>66634</v>
      </c>
      <c r="K297">
        <v>173</v>
      </c>
      <c r="L297" t="s">
        <v>26</v>
      </c>
      <c r="M297">
        <v>7.2000119875329657E-2</v>
      </c>
      <c r="N297" t="s">
        <v>357</v>
      </c>
      <c r="O297" t="s">
        <v>359</v>
      </c>
    </row>
    <row r="298" spans="1:15" x14ac:dyDescent="0.3">
      <c r="A298" t="s">
        <v>152</v>
      </c>
      <c r="B298" t="s">
        <v>23</v>
      </c>
      <c r="C298" s="2">
        <v>45475</v>
      </c>
      <c r="D298" t="s">
        <v>36</v>
      </c>
      <c r="E298" t="s">
        <v>52</v>
      </c>
      <c r="F298">
        <v>4171</v>
      </c>
      <c r="G298">
        <v>548</v>
      </c>
      <c r="H298">
        <v>86</v>
      </c>
      <c r="I298">
        <v>66736</v>
      </c>
      <c r="J298">
        <v>66634</v>
      </c>
      <c r="K298">
        <v>173</v>
      </c>
      <c r="L298" t="s">
        <v>26</v>
      </c>
      <c r="M298">
        <v>7.2000119875329657E-2</v>
      </c>
      <c r="N298" t="s">
        <v>358</v>
      </c>
      <c r="O298" t="s">
        <v>359</v>
      </c>
    </row>
    <row r="299" spans="1:15" x14ac:dyDescent="0.3">
      <c r="A299" t="s">
        <v>153</v>
      </c>
      <c r="B299" t="s">
        <v>23</v>
      </c>
      <c r="C299" s="2">
        <v>45698</v>
      </c>
      <c r="D299" t="s">
        <v>56</v>
      </c>
      <c r="E299" t="s">
        <v>136</v>
      </c>
      <c r="F299">
        <v>1766</v>
      </c>
      <c r="G299">
        <v>92</v>
      </c>
      <c r="H299">
        <v>424</v>
      </c>
      <c r="I299">
        <v>24724</v>
      </c>
      <c r="J299">
        <v>24333</v>
      </c>
      <c r="K299">
        <v>52</v>
      </c>
      <c r="L299" t="s">
        <v>360</v>
      </c>
      <c r="M299">
        <v>9.2298980747451867E-2</v>
      </c>
      <c r="N299" t="s">
        <v>11</v>
      </c>
      <c r="O299" t="s">
        <v>31</v>
      </c>
    </row>
    <row r="300" spans="1:15" x14ac:dyDescent="0.3">
      <c r="A300" t="s">
        <v>153</v>
      </c>
      <c r="B300" t="s">
        <v>23</v>
      </c>
      <c r="C300" s="2">
        <v>45698</v>
      </c>
      <c r="D300" t="s">
        <v>56</v>
      </c>
      <c r="E300" t="s">
        <v>136</v>
      </c>
      <c r="F300">
        <v>1766</v>
      </c>
      <c r="G300">
        <v>92</v>
      </c>
      <c r="H300">
        <v>424</v>
      </c>
      <c r="I300">
        <v>24724</v>
      </c>
      <c r="J300">
        <v>24333</v>
      </c>
      <c r="K300">
        <v>52</v>
      </c>
      <c r="L300" t="s">
        <v>360</v>
      </c>
      <c r="M300">
        <v>9.2298980747451867E-2</v>
      </c>
      <c r="N300" t="s">
        <v>357</v>
      </c>
      <c r="O300" t="s">
        <v>359</v>
      </c>
    </row>
    <row r="301" spans="1:15" x14ac:dyDescent="0.3">
      <c r="A301" t="s">
        <v>153</v>
      </c>
      <c r="B301" t="s">
        <v>23</v>
      </c>
      <c r="C301" s="2">
        <v>45698</v>
      </c>
      <c r="D301" t="s">
        <v>56</v>
      </c>
      <c r="E301" t="s">
        <v>136</v>
      </c>
      <c r="F301">
        <v>1766</v>
      </c>
      <c r="G301">
        <v>92</v>
      </c>
      <c r="H301">
        <v>424</v>
      </c>
      <c r="I301">
        <v>24724</v>
      </c>
      <c r="J301">
        <v>24333</v>
      </c>
      <c r="K301">
        <v>52</v>
      </c>
      <c r="L301" t="s">
        <v>360</v>
      </c>
      <c r="M301">
        <v>9.2298980747451867E-2</v>
      </c>
      <c r="N301" t="s">
        <v>358</v>
      </c>
      <c r="O301" t="s">
        <v>359</v>
      </c>
    </row>
    <row r="302" spans="1:15" x14ac:dyDescent="0.3">
      <c r="A302" t="s">
        <v>154</v>
      </c>
      <c r="B302" t="s">
        <v>23</v>
      </c>
      <c r="C302" s="2">
        <v>45583</v>
      </c>
      <c r="D302" t="s">
        <v>56</v>
      </c>
      <c r="E302" t="s">
        <v>136</v>
      </c>
      <c r="F302">
        <v>4450</v>
      </c>
      <c r="G302">
        <v>983</v>
      </c>
      <c r="H302">
        <v>143</v>
      </c>
      <c r="I302">
        <v>75650</v>
      </c>
      <c r="J302">
        <v>75008</v>
      </c>
      <c r="K302">
        <v>12</v>
      </c>
      <c r="L302" t="s">
        <v>26</v>
      </c>
      <c r="M302">
        <v>7.3707865168539333E-2</v>
      </c>
      <c r="N302" t="s">
        <v>11</v>
      </c>
      <c r="O302" t="s">
        <v>48</v>
      </c>
    </row>
    <row r="303" spans="1:15" x14ac:dyDescent="0.3">
      <c r="A303" t="s">
        <v>154</v>
      </c>
      <c r="B303" t="s">
        <v>23</v>
      </c>
      <c r="C303" s="2">
        <v>45583</v>
      </c>
      <c r="D303" t="s">
        <v>56</v>
      </c>
      <c r="E303" t="s">
        <v>136</v>
      </c>
      <c r="F303">
        <v>4450</v>
      </c>
      <c r="G303">
        <v>983</v>
      </c>
      <c r="H303">
        <v>143</v>
      </c>
      <c r="I303">
        <v>75650</v>
      </c>
      <c r="J303">
        <v>75008</v>
      </c>
      <c r="K303">
        <v>12</v>
      </c>
      <c r="L303" t="s">
        <v>26</v>
      </c>
      <c r="M303">
        <v>7.3707865168539333E-2</v>
      </c>
      <c r="N303" t="s">
        <v>357</v>
      </c>
      <c r="O303" t="s">
        <v>359</v>
      </c>
    </row>
    <row r="304" spans="1:15" x14ac:dyDescent="0.3">
      <c r="A304" t="s">
        <v>154</v>
      </c>
      <c r="B304" t="s">
        <v>23</v>
      </c>
      <c r="C304" s="2">
        <v>45583</v>
      </c>
      <c r="D304" t="s">
        <v>56</v>
      </c>
      <c r="E304" t="s">
        <v>136</v>
      </c>
      <c r="F304">
        <v>4450</v>
      </c>
      <c r="G304">
        <v>983</v>
      </c>
      <c r="H304">
        <v>143</v>
      </c>
      <c r="I304">
        <v>75650</v>
      </c>
      <c r="J304">
        <v>75008</v>
      </c>
      <c r="K304">
        <v>12</v>
      </c>
      <c r="L304" t="s">
        <v>26</v>
      </c>
      <c r="M304">
        <v>7.3707865168539333E-2</v>
      </c>
      <c r="N304" t="s">
        <v>358</v>
      </c>
      <c r="O304" t="s">
        <v>359</v>
      </c>
    </row>
    <row r="305" spans="1:15" x14ac:dyDescent="0.3">
      <c r="A305" t="s">
        <v>155</v>
      </c>
      <c r="B305" t="s">
        <v>14</v>
      </c>
      <c r="C305" s="2">
        <v>45553</v>
      </c>
      <c r="D305" t="s">
        <v>15</v>
      </c>
      <c r="E305" t="s">
        <v>16</v>
      </c>
      <c r="F305">
        <v>1000</v>
      </c>
      <c r="G305">
        <v>978</v>
      </c>
      <c r="H305">
        <v>162</v>
      </c>
      <c r="I305">
        <v>6000</v>
      </c>
      <c r="J305">
        <v>5221</v>
      </c>
      <c r="K305">
        <v>223</v>
      </c>
      <c r="L305" t="s">
        <v>21</v>
      </c>
      <c r="M305">
        <v>0.35666666666666669</v>
      </c>
      <c r="N305" t="s">
        <v>11</v>
      </c>
      <c r="O305" t="s">
        <v>31</v>
      </c>
    </row>
    <row r="306" spans="1:15" x14ac:dyDescent="0.3">
      <c r="A306" t="s">
        <v>155</v>
      </c>
      <c r="B306" t="s">
        <v>14</v>
      </c>
      <c r="C306" s="2">
        <v>45553</v>
      </c>
      <c r="D306" t="s">
        <v>15</v>
      </c>
      <c r="E306" t="s">
        <v>16</v>
      </c>
      <c r="F306">
        <v>1000</v>
      </c>
      <c r="G306">
        <v>978</v>
      </c>
      <c r="H306">
        <v>162</v>
      </c>
      <c r="I306">
        <v>6000</v>
      </c>
      <c r="J306">
        <v>5221</v>
      </c>
      <c r="K306">
        <v>223</v>
      </c>
      <c r="L306" t="s">
        <v>21</v>
      </c>
      <c r="M306">
        <v>0.35666666666666669</v>
      </c>
      <c r="N306" t="s">
        <v>357</v>
      </c>
      <c r="O306" t="s">
        <v>359</v>
      </c>
    </row>
    <row r="307" spans="1:15" x14ac:dyDescent="0.3">
      <c r="A307" t="s">
        <v>155</v>
      </c>
      <c r="B307" t="s">
        <v>14</v>
      </c>
      <c r="C307" s="2">
        <v>45553</v>
      </c>
      <c r="D307" t="s">
        <v>15</v>
      </c>
      <c r="E307" t="s">
        <v>16</v>
      </c>
      <c r="F307">
        <v>1000</v>
      </c>
      <c r="G307">
        <v>978</v>
      </c>
      <c r="H307">
        <v>162</v>
      </c>
      <c r="I307">
        <v>6000</v>
      </c>
      <c r="J307">
        <v>5221</v>
      </c>
      <c r="K307">
        <v>223</v>
      </c>
      <c r="L307" t="s">
        <v>21</v>
      </c>
      <c r="M307">
        <v>0.35666666666666669</v>
      </c>
      <c r="N307" t="s">
        <v>358</v>
      </c>
      <c r="O307" t="s">
        <v>359</v>
      </c>
    </row>
    <row r="308" spans="1:15" x14ac:dyDescent="0.3">
      <c r="A308" t="s">
        <v>156</v>
      </c>
      <c r="B308" t="s">
        <v>35</v>
      </c>
      <c r="C308" s="2">
        <v>45454</v>
      </c>
      <c r="D308" t="s">
        <v>41</v>
      </c>
      <c r="E308" t="s">
        <v>46</v>
      </c>
      <c r="F308">
        <v>3689</v>
      </c>
      <c r="G308">
        <v>48</v>
      </c>
      <c r="H308">
        <v>306</v>
      </c>
      <c r="I308">
        <v>40579</v>
      </c>
      <c r="J308">
        <v>39588</v>
      </c>
      <c r="K308">
        <v>212</v>
      </c>
      <c r="L308" t="s">
        <v>21</v>
      </c>
      <c r="M308">
        <v>9.9632815002833983E-2</v>
      </c>
      <c r="N308" t="s">
        <v>11</v>
      </c>
      <c r="O308" t="s">
        <v>31</v>
      </c>
    </row>
    <row r="309" spans="1:15" x14ac:dyDescent="0.3">
      <c r="A309" t="s">
        <v>156</v>
      </c>
      <c r="B309" t="s">
        <v>35</v>
      </c>
      <c r="C309" s="2">
        <v>45454</v>
      </c>
      <c r="D309" t="s">
        <v>41</v>
      </c>
      <c r="E309" t="s">
        <v>46</v>
      </c>
      <c r="F309">
        <v>3689</v>
      </c>
      <c r="G309">
        <v>48</v>
      </c>
      <c r="H309">
        <v>306</v>
      </c>
      <c r="I309">
        <v>40579</v>
      </c>
      <c r="J309">
        <v>39588</v>
      </c>
      <c r="K309">
        <v>212</v>
      </c>
      <c r="L309" t="s">
        <v>21</v>
      </c>
      <c r="M309">
        <v>9.9632815002833983E-2</v>
      </c>
      <c r="N309" t="s">
        <v>357</v>
      </c>
      <c r="O309" t="s">
        <v>359</v>
      </c>
    </row>
    <row r="310" spans="1:15" x14ac:dyDescent="0.3">
      <c r="A310" t="s">
        <v>156</v>
      </c>
      <c r="B310" t="s">
        <v>35</v>
      </c>
      <c r="C310" s="2">
        <v>45454</v>
      </c>
      <c r="D310" t="s">
        <v>41</v>
      </c>
      <c r="E310" t="s">
        <v>46</v>
      </c>
      <c r="F310">
        <v>3689</v>
      </c>
      <c r="G310">
        <v>48</v>
      </c>
      <c r="H310">
        <v>306</v>
      </c>
      <c r="I310">
        <v>40579</v>
      </c>
      <c r="J310">
        <v>39588</v>
      </c>
      <c r="K310">
        <v>212</v>
      </c>
      <c r="L310" t="s">
        <v>21</v>
      </c>
      <c r="M310">
        <v>9.9632815002833983E-2</v>
      </c>
      <c r="N310" t="s">
        <v>358</v>
      </c>
      <c r="O310" t="s">
        <v>359</v>
      </c>
    </row>
    <row r="311" spans="1:15" x14ac:dyDescent="0.3">
      <c r="A311" t="s">
        <v>157</v>
      </c>
      <c r="B311" t="s">
        <v>23</v>
      </c>
      <c r="C311" s="2">
        <v>45739</v>
      </c>
      <c r="D311" t="s">
        <v>29</v>
      </c>
      <c r="E311" t="s">
        <v>101</v>
      </c>
      <c r="F311">
        <v>3655</v>
      </c>
      <c r="G311">
        <v>568</v>
      </c>
      <c r="H311">
        <v>286</v>
      </c>
      <c r="I311">
        <v>32895</v>
      </c>
      <c r="J311">
        <v>32015</v>
      </c>
      <c r="K311">
        <v>199</v>
      </c>
      <c r="L311" t="s">
        <v>26</v>
      </c>
      <c r="M311">
        <v>0.13707250341997265</v>
      </c>
      <c r="N311" t="s">
        <v>11</v>
      </c>
      <c r="O311" t="s">
        <v>25</v>
      </c>
    </row>
    <row r="312" spans="1:15" x14ac:dyDescent="0.3">
      <c r="A312" t="s">
        <v>157</v>
      </c>
      <c r="B312" t="s">
        <v>23</v>
      </c>
      <c r="C312" s="2">
        <v>45739</v>
      </c>
      <c r="D312" t="s">
        <v>29</v>
      </c>
      <c r="E312" t="s">
        <v>101</v>
      </c>
      <c r="F312">
        <v>3655</v>
      </c>
      <c r="G312">
        <v>568</v>
      </c>
      <c r="H312">
        <v>286</v>
      </c>
      <c r="I312">
        <v>32895</v>
      </c>
      <c r="J312">
        <v>32015</v>
      </c>
      <c r="K312">
        <v>199</v>
      </c>
      <c r="L312" t="s">
        <v>26</v>
      </c>
      <c r="M312">
        <v>0.13707250341997265</v>
      </c>
      <c r="N312" t="s">
        <v>357</v>
      </c>
      <c r="O312" t="s">
        <v>359</v>
      </c>
    </row>
    <row r="313" spans="1:15" x14ac:dyDescent="0.3">
      <c r="A313" t="s">
        <v>157</v>
      </c>
      <c r="B313" t="s">
        <v>23</v>
      </c>
      <c r="C313" s="2">
        <v>45739</v>
      </c>
      <c r="D313" t="s">
        <v>29</v>
      </c>
      <c r="E313" t="s">
        <v>101</v>
      </c>
      <c r="F313">
        <v>3655</v>
      </c>
      <c r="G313">
        <v>568</v>
      </c>
      <c r="H313">
        <v>286</v>
      </c>
      <c r="I313">
        <v>32895</v>
      </c>
      <c r="J313">
        <v>32015</v>
      </c>
      <c r="K313">
        <v>199</v>
      </c>
      <c r="L313" t="s">
        <v>26</v>
      </c>
      <c r="M313">
        <v>0.13707250341997265</v>
      </c>
      <c r="N313" t="s">
        <v>358</v>
      </c>
      <c r="O313" t="s">
        <v>359</v>
      </c>
    </row>
    <row r="314" spans="1:15" x14ac:dyDescent="0.3">
      <c r="A314" t="s">
        <v>158</v>
      </c>
      <c r="B314" t="s">
        <v>28</v>
      </c>
      <c r="C314" s="2">
        <v>45457</v>
      </c>
      <c r="D314" t="s">
        <v>36</v>
      </c>
      <c r="E314" t="s">
        <v>65</v>
      </c>
      <c r="F314">
        <v>498</v>
      </c>
      <c r="G314">
        <v>38</v>
      </c>
      <c r="H314">
        <v>42</v>
      </c>
      <c r="I314">
        <v>4482</v>
      </c>
      <c r="J314">
        <v>3647</v>
      </c>
      <c r="K314">
        <v>32</v>
      </c>
      <c r="L314" t="s">
        <v>17</v>
      </c>
      <c r="M314">
        <v>0.12896028558679162</v>
      </c>
      <c r="N314" t="s">
        <v>11</v>
      </c>
      <c r="O314" t="s">
        <v>48</v>
      </c>
    </row>
    <row r="315" spans="1:15" x14ac:dyDescent="0.3">
      <c r="A315" t="s">
        <v>158</v>
      </c>
      <c r="B315" t="s">
        <v>28</v>
      </c>
      <c r="C315" s="2">
        <v>45457</v>
      </c>
      <c r="D315" t="s">
        <v>36</v>
      </c>
      <c r="E315" t="s">
        <v>65</v>
      </c>
      <c r="F315">
        <v>498</v>
      </c>
      <c r="G315">
        <v>38</v>
      </c>
      <c r="H315">
        <v>42</v>
      </c>
      <c r="I315">
        <v>4482</v>
      </c>
      <c r="J315">
        <v>3647</v>
      </c>
      <c r="K315">
        <v>32</v>
      </c>
      <c r="L315" t="s">
        <v>17</v>
      </c>
      <c r="M315">
        <v>0.12896028558679162</v>
      </c>
      <c r="N315" t="s">
        <v>357</v>
      </c>
      <c r="O315" t="s">
        <v>359</v>
      </c>
    </row>
    <row r="316" spans="1:15" x14ac:dyDescent="0.3">
      <c r="A316" t="s">
        <v>158</v>
      </c>
      <c r="B316" t="s">
        <v>28</v>
      </c>
      <c r="C316" s="2">
        <v>45457</v>
      </c>
      <c r="D316" t="s">
        <v>36</v>
      </c>
      <c r="E316" t="s">
        <v>65</v>
      </c>
      <c r="F316">
        <v>498</v>
      </c>
      <c r="G316">
        <v>38</v>
      </c>
      <c r="H316">
        <v>42</v>
      </c>
      <c r="I316">
        <v>4482</v>
      </c>
      <c r="J316">
        <v>3647</v>
      </c>
      <c r="K316">
        <v>32</v>
      </c>
      <c r="L316" t="s">
        <v>17</v>
      </c>
      <c r="M316">
        <v>0.12896028558679162</v>
      </c>
      <c r="N316" t="s">
        <v>358</v>
      </c>
      <c r="O316" t="s">
        <v>359</v>
      </c>
    </row>
    <row r="317" spans="1:15" x14ac:dyDescent="0.3">
      <c r="A317" t="s">
        <v>159</v>
      </c>
      <c r="B317" t="s">
        <v>28</v>
      </c>
      <c r="C317" s="2">
        <v>45692</v>
      </c>
      <c r="D317" t="s">
        <v>41</v>
      </c>
      <c r="E317" t="s">
        <v>134</v>
      </c>
      <c r="F317">
        <v>4619</v>
      </c>
      <c r="G317">
        <v>821</v>
      </c>
      <c r="H317">
        <v>499</v>
      </c>
      <c r="I317">
        <v>69285</v>
      </c>
      <c r="J317">
        <v>69141</v>
      </c>
      <c r="K317">
        <v>298</v>
      </c>
      <c r="L317" t="s">
        <v>32</v>
      </c>
      <c r="M317">
        <v>8.5718409468138843E-2</v>
      </c>
      <c r="N317" t="s">
        <v>11</v>
      </c>
      <c r="O317" t="s">
        <v>25</v>
      </c>
    </row>
    <row r="318" spans="1:15" x14ac:dyDescent="0.3">
      <c r="A318" t="s">
        <v>159</v>
      </c>
      <c r="B318" t="s">
        <v>28</v>
      </c>
      <c r="C318" s="2">
        <v>45692</v>
      </c>
      <c r="D318" t="s">
        <v>41</v>
      </c>
      <c r="E318" t="s">
        <v>134</v>
      </c>
      <c r="F318">
        <v>4619</v>
      </c>
      <c r="G318">
        <v>821</v>
      </c>
      <c r="H318">
        <v>499</v>
      </c>
      <c r="I318">
        <v>69285</v>
      </c>
      <c r="J318">
        <v>69141</v>
      </c>
      <c r="K318">
        <v>298</v>
      </c>
      <c r="L318" t="s">
        <v>32</v>
      </c>
      <c r="M318">
        <v>8.5718409468138843E-2</v>
      </c>
      <c r="N318" t="s">
        <v>357</v>
      </c>
      <c r="O318" t="s">
        <v>359</v>
      </c>
    </row>
    <row r="319" spans="1:15" x14ac:dyDescent="0.3">
      <c r="A319" t="s">
        <v>159</v>
      </c>
      <c r="B319" t="s">
        <v>28</v>
      </c>
      <c r="C319" s="2">
        <v>45692</v>
      </c>
      <c r="D319" t="s">
        <v>41</v>
      </c>
      <c r="E319" t="s">
        <v>134</v>
      </c>
      <c r="F319">
        <v>4619</v>
      </c>
      <c r="G319">
        <v>821</v>
      </c>
      <c r="H319">
        <v>499</v>
      </c>
      <c r="I319">
        <v>69285</v>
      </c>
      <c r="J319">
        <v>69141</v>
      </c>
      <c r="K319">
        <v>298</v>
      </c>
      <c r="L319" t="s">
        <v>32</v>
      </c>
      <c r="M319">
        <v>8.5718409468138843E-2</v>
      </c>
      <c r="N319" t="s">
        <v>358</v>
      </c>
      <c r="O319" t="s">
        <v>359</v>
      </c>
    </row>
    <row r="320" spans="1:15" x14ac:dyDescent="0.3">
      <c r="A320" t="s">
        <v>160</v>
      </c>
      <c r="B320" t="s">
        <v>23</v>
      </c>
      <c r="C320" s="2">
        <v>45464</v>
      </c>
      <c r="D320" t="s">
        <v>41</v>
      </c>
      <c r="E320" t="s">
        <v>42</v>
      </c>
      <c r="F320">
        <v>4832</v>
      </c>
      <c r="G320">
        <v>893</v>
      </c>
      <c r="H320">
        <v>10</v>
      </c>
      <c r="I320">
        <v>91808</v>
      </c>
      <c r="J320">
        <v>91296</v>
      </c>
      <c r="K320">
        <v>182</v>
      </c>
      <c r="L320" t="s">
        <v>360</v>
      </c>
      <c r="M320">
        <v>6.2467323109097243E-2</v>
      </c>
      <c r="N320" t="s">
        <v>11</v>
      </c>
      <c r="O320" t="s">
        <v>25</v>
      </c>
    </row>
    <row r="321" spans="1:15" x14ac:dyDescent="0.3">
      <c r="A321" t="s">
        <v>160</v>
      </c>
      <c r="B321" t="s">
        <v>23</v>
      </c>
      <c r="C321" s="2">
        <v>45464</v>
      </c>
      <c r="D321" t="s">
        <v>41</v>
      </c>
      <c r="E321" t="s">
        <v>42</v>
      </c>
      <c r="F321">
        <v>4832</v>
      </c>
      <c r="G321">
        <v>893</v>
      </c>
      <c r="H321">
        <v>10</v>
      </c>
      <c r="I321">
        <v>91808</v>
      </c>
      <c r="J321">
        <v>91296</v>
      </c>
      <c r="K321">
        <v>182</v>
      </c>
      <c r="L321" t="s">
        <v>360</v>
      </c>
      <c r="M321">
        <v>6.2467323109097243E-2</v>
      </c>
      <c r="N321" t="s">
        <v>357</v>
      </c>
      <c r="O321" t="s">
        <v>359</v>
      </c>
    </row>
    <row r="322" spans="1:15" x14ac:dyDescent="0.3">
      <c r="A322" t="s">
        <v>160</v>
      </c>
      <c r="B322" t="s">
        <v>23</v>
      </c>
      <c r="C322" s="2">
        <v>45464</v>
      </c>
      <c r="D322" t="s">
        <v>41</v>
      </c>
      <c r="E322" t="s">
        <v>42</v>
      </c>
      <c r="F322">
        <v>4832</v>
      </c>
      <c r="G322">
        <v>893</v>
      </c>
      <c r="H322">
        <v>10</v>
      </c>
      <c r="I322">
        <v>91808</v>
      </c>
      <c r="J322">
        <v>91296</v>
      </c>
      <c r="K322">
        <v>182</v>
      </c>
      <c r="L322" t="s">
        <v>360</v>
      </c>
      <c r="M322">
        <v>6.2467323109097243E-2</v>
      </c>
      <c r="N322" t="s">
        <v>358</v>
      </c>
      <c r="O322" t="s">
        <v>359</v>
      </c>
    </row>
    <row r="323" spans="1:15" x14ac:dyDescent="0.3">
      <c r="A323" t="s">
        <v>161</v>
      </c>
      <c r="B323" t="s">
        <v>14</v>
      </c>
      <c r="C323" s="2">
        <v>45741</v>
      </c>
      <c r="D323" t="s">
        <v>56</v>
      </c>
      <c r="E323" t="s">
        <v>95</v>
      </c>
      <c r="F323">
        <v>4050</v>
      </c>
      <c r="G323">
        <v>871</v>
      </c>
      <c r="H323">
        <v>347</v>
      </c>
      <c r="I323">
        <v>52650</v>
      </c>
      <c r="J323">
        <v>51755</v>
      </c>
      <c r="K323">
        <v>209</v>
      </c>
      <c r="L323" t="s">
        <v>21</v>
      </c>
      <c r="M323">
        <v>0.10005698005698006</v>
      </c>
      <c r="N323" t="s">
        <v>11</v>
      </c>
      <c r="O323" t="s">
        <v>25</v>
      </c>
    </row>
    <row r="324" spans="1:15" x14ac:dyDescent="0.3">
      <c r="A324" t="s">
        <v>161</v>
      </c>
      <c r="B324" t="s">
        <v>14</v>
      </c>
      <c r="C324" s="2">
        <v>45741</v>
      </c>
      <c r="D324" t="s">
        <v>56</v>
      </c>
      <c r="E324" t="s">
        <v>95</v>
      </c>
      <c r="F324">
        <v>4050</v>
      </c>
      <c r="G324">
        <v>871</v>
      </c>
      <c r="H324">
        <v>347</v>
      </c>
      <c r="I324">
        <v>52650</v>
      </c>
      <c r="J324">
        <v>51755</v>
      </c>
      <c r="K324">
        <v>209</v>
      </c>
      <c r="L324" t="s">
        <v>21</v>
      </c>
      <c r="M324">
        <v>0.10005698005698006</v>
      </c>
      <c r="N324" t="s">
        <v>357</v>
      </c>
      <c r="O324" t="s">
        <v>359</v>
      </c>
    </row>
    <row r="325" spans="1:15" x14ac:dyDescent="0.3">
      <c r="A325" t="s">
        <v>161</v>
      </c>
      <c r="B325" t="s">
        <v>14</v>
      </c>
      <c r="C325" s="2">
        <v>45741</v>
      </c>
      <c r="D325" t="s">
        <v>56</v>
      </c>
      <c r="E325" t="s">
        <v>95</v>
      </c>
      <c r="F325">
        <v>4050</v>
      </c>
      <c r="G325">
        <v>871</v>
      </c>
      <c r="H325">
        <v>347</v>
      </c>
      <c r="I325">
        <v>52650</v>
      </c>
      <c r="J325">
        <v>51755</v>
      </c>
      <c r="K325">
        <v>209</v>
      </c>
      <c r="L325" t="s">
        <v>21</v>
      </c>
      <c r="M325">
        <v>0.10005698005698006</v>
      </c>
      <c r="N325" t="s">
        <v>358</v>
      </c>
      <c r="O325" t="s">
        <v>359</v>
      </c>
    </row>
    <row r="326" spans="1:15" x14ac:dyDescent="0.3">
      <c r="A326" t="s">
        <v>162</v>
      </c>
      <c r="B326" t="s">
        <v>14</v>
      </c>
      <c r="C326" s="2">
        <v>45512</v>
      </c>
      <c r="D326" t="s">
        <v>29</v>
      </c>
      <c r="E326" t="s">
        <v>98</v>
      </c>
      <c r="F326">
        <v>3649</v>
      </c>
      <c r="G326">
        <v>215</v>
      </c>
      <c r="H326">
        <v>413</v>
      </c>
      <c r="I326">
        <v>25543</v>
      </c>
      <c r="J326">
        <v>24963</v>
      </c>
      <c r="K326">
        <v>167</v>
      </c>
      <c r="L326" t="s">
        <v>26</v>
      </c>
      <c r="M326">
        <v>0.16744313510550835</v>
      </c>
      <c r="N326" t="s">
        <v>11</v>
      </c>
      <c r="O326" t="s">
        <v>48</v>
      </c>
    </row>
    <row r="327" spans="1:15" x14ac:dyDescent="0.3">
      <c r="A327" t="s">
        <v>162</v>
      </c>
      <c r="B327" t="s">
        <v>14</v>
      </c>
      <c r="C327" s="2">
        <v>45512</v>
      </c>
      <c r="D327" t="s">
        <v>29</v>
      </c>
      <c r="E327" t="s">
        <v>98</v>
      </c>
      <c r="F327">
        <v>3649</v>
      </c>
      <c r="G327">
        <v>215</v>
      </c>
      <c r="H327">
        <v>413</v>
      </c>
      <c r="I327">
        <v>25543</v>
      </c>
      <c r="J327">
        <v>24963</v>
      </c>
      <c r="K327">
        <v>167</v>
      </c>
      <c r="L327" t="s">
        <v>26</v>
      </c>
      <c r="M327">
        <v>0.16744313510550835</v>
      </c>
      <c r="N327" t="s">
        <v>357</v>
      </c>
      <c r="O327" t="s">
        <v>359</v>
      </c>
    </row>
    <row r="328" spans="1:15" x14ac:dyDescent="0.3">
      <c r="A328" t="s">
        <v>162</v>
      </c>
      <c r="B328" t="s">
        <v>14</v>
      </c>
      <c r="C328" s="2">
        <v>45512</v>
      </c>
      <c r="D328" t="s">
        <v>29</v>
      </c>
      <c r="E328" t="s">
        <v>98</v>
      </c>
      <c r="F328">
        <v>3649</v>
      </c>
      <c r="G328">
        <v>215</v>
      </c>
      <c r="H328">
        <v>413</v>
      </c>
      <c r="I328">
        <v>25543</v>
      </c>
      <c r="J328">
        <v>24963</v>
      </c>
      <c r="K328">
        <v>167</v>
      </c>
      <c r="L328" t="s">
        <v>26</v>
      </c>
      <c r="M328">
        <v>0.16744313510550835</v>
      </c>
      <c r="N328" t="s">
        <v>358</v>
      </c>
      <c r="O328" t="s">
        <v>359</v>
      </c>
    </row>
    <row r="329" spans="1:15" x14ac:dyDescent="0.3">
      <c r="A329" t="s">
        <v>163</v>
      </c>
      <c r="B329" t="s">
        <v>28</v>
      </c>
      <c r="C329" s="2">
        <v>45502</v>
      </c>
      <c r="D329" t="s">
        <v>15</v>
      </c>
      <c r="E329" t="s">
        <v>61</v>
      </c>
      <c r="F329">
        <v>3523</v>
      </c>
      <c r="G329">
        <v>753</v>
      </c>
      <c r="H329">
        <v>482</v>
      </c>
      <c r="I329">
        <v>38753</v>
      </c>
      <c r="J329">
        <v>38579</v>
      </c>
      <c r="K329">
        <v>270</v>
      </c>
      <c r="L329" t="s">
        <v>21</v>
      </c>
      <c r="M329">
        <v>0.12277759141227776</v>
      </c>
      <c r="N329" t="s">
        <v>11</v>
      </c>
      <c r="O329" t="s">
        <v>31</v>
      </c>
    </row>
    <row r="330" spans="1:15" x14ac:dyDescent="0.3">
      <c r="A330" t="s">
        <v>163</v>
      </c>
      <c r="B330" t="s">
        <v>28</v>
      </c>
      <c r="C330" s="2">
        <v>45502</v>
      </c>
      <c r="D330" t="s">
        <v>15</v>
      </c>
      <c r="E330" t="s">
        <v>61</v>
      </c>
      <c r="F330">
        <v>3523</v>
      </c>
      <c r="G330">
        <v>753</v>
      </c>
      <c r="H330">
        <v>482</v>
      </c>
      <c r="I330">
        <v>38753</v>
      </c>
      <c r="J330">
        <v>38579</v>
      </c>
      <c r="K330">
        <v>270</v>
      </c>
      <c r="L330" t="s">
        <v>21</v>
      </c>
      <c r="M330">
        <v>0.12277759141227776</v>
      </c>
      <c r="N330" t="s">
        <v>357</v>
      </c>
      <c r="O330" t="s">
        <v>359</v>
      </c>
    </row>
    <row r="331" spans="1:15" x14ac:dyDescent="0.3">
      <c r="A331" t="s">
        <v>163</v>
      </c>
      <c r="B331" t="s">
        <v>28</v>
      </c>
      <c r="C331" s="2">
        <v>45502</v>
      </c>
      <c r="D331" t="s">
        <v>15</v>
      </c>
      <c r="E331" t="s">
        <v>61</v>
      </c>
      <c r="F331">
        <v>3523</v>
      </c>
      <c r="G331">
        <v>753</v>
      </c>
      <c r="H331">
        <v>482</v>
      </c>
      <c r="I331">
        <v>38753</v>
      </c>
      <c r="J331">
        <v>38579</v>
      </c>
      <c r="K331">
        <v>270</v>
      </c>
      <c r="L331" t="s">
        <v>21</v>
      </c>
      <c r="M331">
        <v>0.12277759141227776</v>
      </c>
      <c r="N331" t="s">
        <v>358</v>
      </c>
      <c r="O331" t="s">
        <v>359</v>
      </c>
    </row>
    <row r="332" spans="1:15" x14ac:dyDescent="0.3">
      <c r="A332" t="s">
        <v>164</v>
      </c>
      <c r="B332" t="s">
        <v>23</v>
      </c>
      <c r="C332" s="2">
        <v>45619</v>
      </c>
      <c r="D332" t="s">
        <v>41</v>
      </c>
      <c r="E332" t="s">
        <v>42</v>
      </c>
      <c r="F332">
        <v>2719</v>
      </c>
      <c r="G332">
        <v>17</v>
      </c>
      <c r="H332">
        <v>285</v>
      </c>
      <c r="I332">
        <v>40785</v>
      </c>
      <c r="J332">
        <v>40281</v>
      </c>
      <c r="K332">
        <v>40</v>
      </c>
      <c r="L332" t="s">
        <v>21</v>
      </c>
      <c r="M332">
        <v>7.4071349760941527E-2</v>
      </c>
      <c r="N332" t="s">
        <v>11</v>
      </c>
      <c r="O332" t="s">
        <v>25</v>
      </c>
    </row>
    <row r="333" spans="1:15" x14ac:dyDescent="0.3">
      <c r="A333" t="s">
        <v>164</v>
      </c>
      <c r="B333" t="s">
        <v>23</v>
      </c>
      <c r="C333" s="2">
        <v>45619</v>
      </c>
      <c r="D333" t="s">
        <v>41</v>
      </c>
      <c r="E333" t="s">
        <v>42</v>
      </c>
      <c r="F333">
        <v>2719</v>
      </c>
      <c r="G333">
        <v>17</v>
      </c>
      <c r="H333">
        <v>285</v>
      </c>
      <c r="I333">
        <v>40785</v>
      </c>
      <c r="J333">
        <v>40281</v>
      </c>
      <c r="K333">
        <v>40</v>
      </c>
      <c r="L333" t="s">
        <v>21</v>
      </c>
      <c r="M333">
        <v>7.4071349760941527E-2</v>
      </c>
      <c r="N333" t="s">
        <v>357</v>
      </c>
      <c r="O333" t="s">
        <v>359</v>
      </c>
    </row>
    <row r="334" spans="1:15" x14ac:dyDescent="0.3">
      <c r="A334" t="s">
        <v>164</v>
      </c>
      <c r="B334" t="s">
        <v>23</v>
      </c>
      <c r="C334" s="2">
        <v>45619</v>
      </c>
      <c r="D334" t="s">
        <v>41</v>
      </c>
      <c r="E334" t="s">
        <v>42</v>
      </c>
      <c r="F334">
        <v>2719</v>
      </c>
      <c r="G334">
        <v>17</v>
      </c>
      <c r="H334">
        <v>285</v>
      </c>
      <c r="I334">
        <v>40785</v>
      </c>
      <c r="J334">
        <v>40281</v>
      </c>
      <c r="K334">
        <v>40</v>
      </c>
      <c r="L334" t="s">
        <v>21</v>
      </c>
      <c r="M334">
        <v>7.4071349760941527E-2</v>
      </c>
      <c r="N334" t="s">
        <v>358</v>
      </c>
      <c r="O334" t="s">
        <v>359</v>
      </c>
    </row>
    <row r="335" spans="1:15" x14ac:dyDescent="0.3">
      <c r="A335" t="s">
        <v>165</v>
      </c>
      <c r="B335" t="s">
        <v>14</v>
      </c>
      <c r="C335" s="2">
        <v>45570</v>
      </c>
      <c r="D335" t="s">
        <v>29</v>
      </c>
      <c r="E335" t="s">
        <v>98</v>
      </c>
      <c r="F335">
        <v>1957</v>
      </c>
      <c r="G335">
        <v>877</v>
      </c>
      <c r="H335">
        <v>238</v>
      </c>
      <c r="I335">
        <v>17613</v>
      </c>
      <c r="J335">
        <v>16865</v>
      </c>
      <c r="K335">
        <v>297</v>
      </c>
      <c r="L335" t="s">
        <v>26</v>
      </c>
      <c r="M335">
        <v>0.17441662408448305</v>
      </c>
      <c r="N335" t="s">
        <v>11</v>
      </c>
      <c r="O335" t="s">
        <v>48</v>
      </c>
    </row>
    <row r="336" spans="1:15" x14ac:dyDescent="0.3">
      <c r="A336" t="s">
        <v>165</v>
      </c>
      <c r="B336" t="s">
        <v>14</v>
      </c>
      <c r="C336" s="2">
        <v>45570</v>
      </c>
      <c r="D336" t="s">
        <v>29</v>
      </c>
      <c r="E336" t="s">
        <v>98</v>
      </c>
      <c r="F336">
        <v>1957</v>
      </c>
      <c r="G336">
        <v>877</v>
      </c>
      <c r="H336">
        <v>238</v>
      </c>
      <c r="I336">
        <v>17613</v>
      </c>
      <c r="J336">
        <v>16865</v>
      </c>
      <c r="K336">
        <v>297</v>
      </c>
      <c r="L336" t="s">
        <v>26</v>
      </c>
      <c r="M336">
        <v>0.17441662408448305</v>
      </c>
      <c r="N336" t="s">
        <v>357</v>
      </c>
      <c r="O336" t="s">
        <v>359</v>
      </c>
    </row>
    <row r="337" spans="1:15" x14ac:dyDescent="0.3">
      <c r="A337" t="s">
        <v>165</v>
      </c>
      <c r="B337" t="s">
        <v>14</v>
      </c>
      <c r="C337" s="2">
        <v>45570</v>
      </c>
      <c r="D337" t="s">
        <v>29</v>
      </c>
      <c r="E337" t="s">
        <v>98</v>
      </c>
      <c r="F337">
        <v>1957</v>
      </c>
      <c r="G337">
        <v>877</v>
      </c>
      <c r="H337">
        <v>238</v>
      </c>
      <c r="I337">
        <v>17613</v>
      </c>
      <c r="J337">
        <v>16865</v>
      </c>
      <c r="K337">
        <v>297</v>
      </c>
      <c r="L337" t="s">
        <v>26</v>
      </c>
      <c r="M337">
        <v>0.17441662408448305</v>
      </c>
      <c r="N337" t="s">
        <v>358</v>
      </c>
      <c r="O337" t="s">
        <v>359</v>
      </c>
    </row>
    <row r="338" spans="1:15" x14ac:dyDescent="0.3">
      <c r="A338" t="s">
        <v>166</v>
      </c>
      <c r="B338" t="s">
        <v>14</v>
      </c>
      <c r="C338" s="2">
        <v>45567</v>
      </c>
      <c r="D338" t="s">
        <v>36</v>
      </c>
      <c r="E338" t="s">
        <v>39</v>
      </c>
      <c r="F338">
        <v>4419</v>
      </c>
      <c r="G338">
        <v>236</v>
      </c>
      <c r="H338">
        <v>369</v>
      </c>
      <c r="I338">
        <v>44190</v>
      </c>
      <c r="J338">
        <v>43582</v>
      </c>
      <c r="K338">
        <v>10</v>
      </c>
      <c r="L338" t="s">
        <v>17</v>
      </c>
      <c r="M338">
        <v>0.11369088028965829</v>
      </c>
      <c r="N338" t="s">
        <v>11</v>
      </c>
      <c r="O338" t="s">
        <v>31</v>
      </c>
    </row>
    <row r="339" spans="1:15" x14ac:dyDescent="0.3">
      <c r="A339" t="s">
        <v>166</v>
      </c>
      <c r="B339" t="s">
        <v>14</v>
      </c>
      <c r="C339" s="2">
        <v>45567</v>
      </c>
      <c r="D339" t="s">
        <v>36</v>
      </c>
      <c r="E339" t="s">
        <v>39</v>
      </c>
      <c r="F339">
        <v>4419</v>
      </c>
      <c r="G339">
        <v>236</v>
      </c>
      <c r="H339">
        <v>369</v>
      </c>
      <c r="I339">
        <v>44190</v>
      </c>
      <c r="J339">
        <v>43582</v>
      </c>
      <c r="K339">
        <v>10</v>
      </c>
      <c r="L339" t="s">
        <v>17</v>
      </c>
      <c r="M339">
        <v>0.11369088028965829</v>
      </c>
      <c r="N339" t="s">
        <v>357</v>
      </c>
      <c r="O339" t="s">
        <v>359</v>
      </c>
    </row>
    <row r="340" spans="1:15" x14ac:dyDescent="0.3">
      <c r="A340" t="s">
        <v>166</v>
      </c>
      <c r="B340" t="s">
        <v>14</v>
      </c>
      <c r="C340" s="2">
        <v>45567</v>
      </c>
      <c r="D340" t="s">
        <v>36</v>
      </c>
      <c r="E340" t="s">
        <v>39</v>
      </c>
      <c r="F340">
        <v>4419</v>
      </c>
      <c r="G340">
        <v>236</v>
      </c>
      <c r="H340">
        <v>369</v>
      </c>
      <c r="I340">
        <v>44190</v>
      </c>
      <c r="J340">
        <v>43582</v>
      </c>
      <c r="K340">
        <v>10</v>
      </c>
      <c r="L340" t="s">
        <v>17</v>
      </c>
      <c r="M340">
        <v>0.11369088028965829</v>
      </c>
      <c r="N340" t="s">
        <v>358</v>
      </c>
      <c r="O340" t="s">
        <v>359</v>
      </c>
    </row>
    <row r="341" spans="1:15" x14ac:dyDescent="0.3">
      <c r="A341" t="s">
        <v>167</v>
      </c>
      <c r="B341" t="s">
        <v>14</v>
      </c>
      <c r="C341" s="2">
        <v>45610</v>
      </c>
      <c r="D341" t="s">
        <v>29</v>
      </c>
      <c r="E341" t="s">
        <v>98</v>
      </c>
      <c r="F341">
        <v>4000</v>
      </c>
      <c r="G341">
        <v>689</v>
      </c>
      <c r="H341">
        <v>488</v>
      </c>
      <c r="I341">
        <v>40000</v>
      </c>
      <c r="J341">
        <v>39569</v>
      </c>
      <c r="K341">
        <v>44</v>
      </c>
      <c r="L341" t="s">
        <v>17</v>
      </c>
      <c r="M341">
        <v>0.12942500000000001</v>
      </c>
      <c r="N341" t="s">
        <v>11</v>
      </c>
      <c r="O341" t="s">
        <v>48</v>
      </c>
    </row>
    <row r="342" spans="1:15" x14ac:dyDescent="0.3">
      <c r="A342" t="s">
        <v>167</v>
      </c>
      <c r="B342" t="s">
        <v>14</v>
      </c>
      <c r="C342" s="2">
        <v>45610</v>
      </c>
      <c r="D342" t="s">
        <v>29</v>
      </c>
      <c r="E342" t="s">
        <v>98</v>
      </c>
      <c r="F342">
        <v>4000</v>
      </c>
      <c r="G342">
        <v>689</v>
      </c>
      <c r="H342">
        <v>488</v>
      </c>
      <c r="I342">
        <v>40000</v>
      </c>
      <c r="J342">
        <v>39569</v>
      </c>
      <c r="K342">
        <v>44</v>
      </c>
      <c r="L342" t="s">
        <v>17</v>
      </c>
      <c r="M342">
        <v>0.12942500000000001</v>
      </c>
      <c r="N342" t="s">
        <v>357</v>
      </c>
      <c r="O342" t="s">
        <v>359</v>
      </c>
    </row>
    <row r="343" spans="1:15" x14ac:dyDescent="0.3">
      <c r="A343" t="s">
        <v>167</v>
      </c>
      <c r="B343" t="s">
        <v>14</v>
      </c>
      <c r="C343" s="2">
        <v>45610</v>
      </c>
      <c r="D343" t="s">
        <v>29</v>
      </c>
      <c r="E343" t="s">
        <v>98</v>
      </c>
      <c r="F343">
        <v>4000</v>
      </c>
      <c r="G343">
        <v>689</v>
      </c>
      <c r="H343">
        <v>488</v>
      </c>
      <c r="I343">
        <v>40000</v>
      </c>
      <c r="J343">
        <v>39569</v>
      </c>
      <c r="K343">
        <v>44</v>
      </c>
      <c r="L343" t="s">
        <v>17</v>
      </c>
      <c r="M343">
        <v>0.12942500000000001</v>
      </c>
      <c r="N343" t="s">
        <v>358</v>
      </c>
      <c r="O343" t="s">
        <v>359</v>
      </c>
    </row>
    <row r="344" spans="1:15" x14ac:dyDescent="0.3">
      <c r="A344" t="s">
        <v>168</v>
      </c>
      <c r="B344" t="s">
        <v>14</v>
      </c>
      <c r="C344" s="2">
        <v>45788</v>
      </c>
      <c r="D344" t="s">
        <v>41</v>
      </c>
      <c r="E344" t="s">
        <v>88</v>
      </c>
      <c r="F344">
        <v>2493</v>
      </c>
      <c r="G344">
        <v>97</v>
      </c>
      <c r="H344">
        <v>44</v>
      </c>
      <c r="I344">
        <v>42381</v>
      </c>
      <c r="J344">
        <v>41991</v>
      </c>
      <c r="K344">
        <v>242</v>
      </c>
      <c r="L344" t="s">
        <v>32</v>
      </c>
      <c r="M344">
        <v>6.2150491965739366E-2</v>
      </c>
      <c r="N344" t="s">
        <v>11</v>
      </c>
      <c r="O344" t="s">
        <v>25</v>
      </c>
    </row>
    <row r="345" spans="1:15" x14ac:dyDescent="0.3">
      <c r="A345" t="s">
        <v>168</v>
      </c>
      <c r="B345" t="s">
        <v>14</v>
      </c>
      <c r="C345" s="2">
        <v>45788</v>
      </c>
      <c r="D345" t="s">
        <v>41</v>
      </c>
      <c r="E345" t="s">
        <v>88</v>
      </c>
      <c r="F345">
        <v>2493</v>
      </c>
      <c r="G345">
        <v>97</v>
      </c>
      <c r="H345">
        <v>44</v>
      </c>
      <c r="I345">
        <v>42381</v>
      </c>
      <c r="J345">
        <v>41991</v>
      </c>
      <c r="K345">
        <v>242</v>
      </c>
      <c r="L345" t="s">
        <v>32</v>
      </c>
      <c r="M345">
        <v>6.2150491965739366E-2</v>
      </c>
      <c r="N345" t="s">
        <v>357</v>
      </c>
      <c r="O345" t="s">
        <v>354</v>
      </c>
    </row>
    <row r="346" spans="1:15" x14ac:dyDescent="0.3">
      <c r="A346" t="s">
        <v>168</v>
      </c>
      <c r="B346" t="s">
        <v>14</v>
      </c>
      <c r="C346" s="2">
        <v>45788</v>
      </c>
      <c r="D346" t="s">
        <v>41</v>
      </c>
      <c r="E346" t="s">
        <v>88</v>
      </c>
      <c r="F346">
        <v>2493</v>
      </c>
      <c r="G346">
        <v>97</v>
      </c>
      <c r="H346">
        <v>44</v>
      </c>
      <c r="I346">
        <v>42381</v>
      </c>
      <c r="J346">
        <v>41991</v>
      </c>
      <c r="K346">
        <v>242</v>
      </c>
      <c r="L346" t="s">
        <v>32</v>
      </c>
      <c r="M346">
        <v>6.2150491965739366E-2</v>
      </c>
      <c r="N346" t="s">
        <v>358</v>
      </c>
      <c r="O346" t="s">
        <v>359</v>
      </c>
    </row>
    <row r="347" spans="1:15" x14ac:dyDescent="0.3">
      <c r="A347" t="s">
        <v>169</v>
      </c>
      <c r="B347" t="s">
        <v>23</v>
      </c>
      <c r="C347" s="2">
        <v>45734</v>
      </c>
      <c r="D347" t="s">
        <v>15</v>
      </c>
      <c r="E347" t="s">
        <v>24</v>
      </c>
      <c r="F347">
        <v>3704</v>
      </c>
      <c r="G347">
        <v>186</v>
      </c>
      <c r="H347">
        <v>458</v>
      </c>
      <c r="I347">
        <v>25928</v>
      </c>
      <c r="J347">
        <v>25081</v>
      </c>
      <c r="K347">
        <v>131</v>
      </c>
      <c r="L347" t="s">
        <v>360</v>
      </c>
      <c r="M347">
        <v>0.16769515581610614</v>
      </c>
      <c r="N347" t="s">
        <v>11</v>
      </c>
      <c r="O347" t="s">
        <v>25</v>
      </c>
    </row>
    <row r="348" spans="1:15" x14ac:dyDescent="0.3">
      <c r="A348" t="s">
        <v>169</v>
      </c>
      <c r="B348" t="s">
        <v>23</v>
      </c>
      <c r="C348" s="2">
        <v>45734</v>
      </c>
      <c r="D348" t="s">
        <v>15</v>
      </c>
      <c r="E348" t="s">
        <v>24</v>
      </c>
      <c r="F348">
        <v>3704</v>
      </c>
      <c r="G348">
        <v>186</v>
      </c>
      <c r="H348">
        <v>458</v>
      </c>
      <c r="I348">
        <v>25928</v>
      </c>
      <c r="J348">
        <v>25081</v>
      </c>
      <c r="K348">
        <v>131</v>
      </c>
      <c r="L348" t="s">
        <v>360</v>
      </c>
      <c r="M348">
        <v>0.16769515581610614</v>
      </c>
      <c r="N348" t="s">
        <v>357</v>
      </c>
      <c r="O348" t="s">
        <v>359</v>
      </c>
    </row>
    <row r="349" spans="1:15" x14ac:dyDescent="0.3">
      <c r="A349" t="s">
        <v>169</v>
      </c>
      <c r="B349" t="s">
        <v>23</v>
      </c>
      <c r="C349" s="2">
        <v>45734</v>
      </c>
      <c r="D349" t="s">
        <v>15</v>
      </c>
      <c r="E349" t="s">
        <v>24</v>
      </c>
      <c r="F349">
        <v>3704</v>
      </c>
      <c r="G349">
        <v>186</v>
      </c>
      <c r="H349">
        <v>458</v>
      </c>
      <c r="I349">
        <v>25928</v>
      </c>
      <c r="J349">
        <v>25081</v>
      </c>
      <c r="K349">
        <v>131</v>
      </c>
      <c r="L349" t="s">
        <v>360</v>
      </c>
      <c r="M349">
        <v>0.16769515581610614</v>
      </c>
      <c r="N349" t="s">
        <v>358</v>
      </c>
      <c r="O349" t="s">
        <v>359</v>
      </c>
    </row>
    <row r="350" spans="1:15" x14ac:dyDescent="0.3">
      <c r="A350" t="s">
        <v>170</v>
      </c>
      <c r="B350" t="s">
        <v>14</v>
      </c>
      <c r="C350" s="2">
        <v>45600</v>
      </c>
      <c r="D350" t="s">
        <v>41</v>
      </c>
      <c r="E350" t="s">
        <v>88</v>
      </c>
      <c r="F350">
        <v>1606</v>
      </c>
      <c r="G350">
        <v>451</v>
      </c>
      <c r="H350">
        <v>405</v>
      </c>
      <c r="I350">
        <v>20878</v>
      </c>
      <c r="J350">
        <v>20190</v>
      </c>
      <c r="K350">
        <v>219</v>
      </c>
      <c r="L350" t="s">
        <v>32</v>
      </c>
      <c r="M350">
        <v>0.11792317271769326</v>
      </c>
      <c r="N350" t="s">
        <v>11</v>
      </c>
      <c r="O350" t="s">
        <v>31</v>
      </c>
    </row>
    <row r="351" spans="1:15" x14ac:dyDescent="0.3">
      <c r="A351" t="s">
        <v>170</v>
      </c>
      <c r="B351" t="s">
        <v>14</v>
      </c>
      <c r="C351" s="2">
        <v>45600</v>
      </c>
      <c r="D351" t="s">
        <v>41</v>
      </c>
      <c r="E351" t="s">
        <v>88</v>
      </c>
      <c r="F351">
        <v>1606</v>
      </c>
      <c r="G351">
        <v>451</v>
      </c>
      <c r="H351">
        <v>405</v>
      </c>
      <c r="I351">
        <v>20878</v>
      </c>
      <c r="J351">
        <v>20190</v>
      </c>
      <c r="K351">
        <v>219</v>
      </c>
      <c r="L351" t="s">
        <v>32</v>
      </c>
      <c r="M351">
        <v>0.11792317271769326</v>
      </c>
      <c r="N351" t="s">
        <v>357</v>
      </c>
      <c r="O351" t="s">
        <v>359</v>
      </c>
    </row>
    <row r="352" spans="1:15" x14ac:dyDescent="0.3">
      <c r="A352" t="s">
        <v>170</v>
      </c>
      <c r="B352" t="s">
        <v>14</v>
      </c>
      <c r="C352" s="2">
        <v>45600</v>
      </c>
      <c r="D352" t="s">
        <v>41</v>
      </c>
      <c r="E352" t="s">
        <v>88</v>
      </c>
      <c r="F352">
        <v>1606</v>
      </c>
      <c r="G352">
        <v>451</v>
      </c>
      <c r="H352">
        <v>405</v>
      </c>
      <c r="I352">
        <v>20878</v>
      </c>
      <c r="J352">
        <v>20190</v>
      </c>
      <c r="K352">
        <v>219</v>
      </c>
      <c r="L352" t="s">
        <v>32</v>
      </c>
      <c r="M352">
        <v>0.11792317271769326</v>
      </c>
      <c r="N352" t="s">
        <v>358</v>
      </c>
      <c r="O352" t="s">
        <v>359</v>
      </c>
    </row>
    <row r="353" spans="1:15" x14ac:dyDescent="0.3">
      <c r="A353" t="s">
        <v>171</v>
      </c>
      <c r="B353" t="s">
        <v>35</v>
      </c>
      <c r="C353" s="2">
        <v>45600</v>
      </c>
      <c r="D353" t="s">
        <v>41</v>
      </c>
      <c r="E353" t="s">
        <v>46</v>
      </c>
      <c r="F353">
        <v>4551</v>
      </c>
      <c r="G353">
        <v>714</v>
      </c>
      <c r="H353">
        <v>207</v>
      </c>
      <c r="I353">
        <v>68265</v>
      </c>
      <c r="J353">
        <v>67754</v>
      </c>
      <c r="K353">
        <v>57</v>
      </c>
      <c r="L353" t="s">
        <v>26</v>
      </c>
      <c r="M353">
        <v>8.0158206987475278E-2</v>
      </c>
      <c r="N353" t="s">
        <v>11</v>
      </c>
      <c r="O353" t="s">
        <v>48</v>
      </c>
    </row>
    <row r="354" spans="1:15" x14ac:dyDescent="0.3">
      <c r="A354" t="s">
        <v>171</v>
      </c>
      <c r="B354" t="s">
        <v>35</v>
      </c>
      <c r="C354" s="2">
        <v>45600</v>
      </c>
      <c r="D354" t="s">
        <v>41</v>
      </c>
      <c r="E354" t="s">
        <v>46</v>
      </c>
      <c r="F354">
        <v>4551</v>
      </c>
      <c r="G354">
        <v>714</v>
      </c>
      <c r="H354">
        <v>207</v>
      </c>
      <c r="I354">
        <v>68265</v>
      </c>
      <c r="J354">
        <v>67754</v>
      </c>
      <c r="K354">
        <v>57</v>
      </c>
      <c r="L354" t="s">
        <v>26</v>
      </c>
      <c r="M354">
        <v>8.0158206987475278E-2</v>
      </c>
      <c r="N354" t="s">
        <v>357</v>
      </c>
      <c r="O354" t="s">
        <v>359</v>
      </c>
    </row>
    <row r="355" spans="1:15" x14ac:dyDescent="0.3">
      <c r="A355" t="s">
        <v>171</v>
      </c>
      <c r="B355" t="s">
        <v>35</v>
      </c>
      <c r="C355" s="2">
        <v>45600</v>
      </c>
      <c r="D355" t="s">
        <v>41</v>
      </c>
      <c r="E355" t="s">
        <v>46</v>
      </c>
      <c r="F355">
        <v>4551</v>
      </c>
      <c r="G355">
        <v>714</v>
      </c>
      <c r="H355">
        <v>207</v>
      </c>
      <c r="I355">
        <v>68265</v>
      </c>
      <c r="J355">
        <v>67754</v>
      </c>
      <c r="K355">
        <v>57</v>
      </c>
      <c r="L355" t="s">
        <v>26</v>
      </c>
      <c r="M355">
        <v>8.0158206987475278E-2</v>
      </c>
      <c r="N355" t="s">
        <v>358</v>
      </c>
      <c r="O355" t="s">
        <v>359</v>
      </c>
    </row>
    <row r="356" spans="1:15" x14ac:dyDescent="0.3">
      <c r="A356" t="s">
        <v>172</v>
      </c>
      <c r="B356" t="s">
        <v>28</v>
      </c>
      <c r="C356" s="2">
        <v>45695</v>
      </c>
      <c r="D356" t="s">
        <v>15</v>
      </c>
      <c r="E356" t="s">
        <v>61</v>
      </c>
      <c r="F356">
        <v>1970</v>
      </c>
      <c r="G356">
        <v>675</v>
      </c>
      <c r="H356">
        <v>478</v>
      </c>
      <c r="I356">
        <v>9850</v>
      </c>
      <c r="J356">
        <v>8924</v>
      </c>
      <c r="K356">
        <v>117</v>
      </c>
      <c r="L356" t="s">
        <v>360</v>
      </c>
      <c r="M356">
        <v>0.31705583756345179</v>
      </c>
      <c r="N356" t="s">
        <v>11</v>
      </c>
      <c r="O356" t="s">
        <v>48</v>
      </c>
    </row>
    <row r="357" spans="1:15" x14ac:dyDescent="0.3">
      <c r="A357" t="s">
        <v>172</v>
      </c>
      <c r="B357" t="s">
        <v>28</v>
      </c>
      <c r="C357" s="2">
        <v>45695</v>
      </c>
      <c r="D357" t="s">
        <v>15</v>
      </c>
      <c r="E357" t="s">
        <v>61</v>
      </c>
      <c r="F357">
        <v>1970</v>
      </c>
      <c r="G357">
        <v>675</v>
      </c>
      <c r="H357">
        <v>478</v>
      </c>
      <c r="I357">
        <v>9850</v>
      </c>
      <c r="J357">
        <v>8924</v>
      </c>
      <c r="K357">
        <v>117</v>
      </c>
      <c r="L357" t="s">
        <v>360</v>
      </c>
      <c r="M357">
        <v>0.31705583756345179</v>
      </c>
      <c r="N357" t="s">
        <v>357</v>
      </c>
      <c r="O357" t="s">
        <v>359</v>
      </c>
    </row>
    <row r="358" spans="1:15" x14ac:dyDescent="0.3">
      <c r="A358" t="s">
        <v>172</v>
      </c>
      <c r="B358" t="s">
        <v>28</v>
      </c>
      <c r="C358" s="2">
        <v>45695</v>
      </c>
      <c r="D358" t="s">
        <v>15</v>
      </c>
      <c r="E358" t="s">
        <v>61</v>
      </c>
      <c r="F358">
        <v>1970</v>
      </c>
      <c r="G358">
        <v>675</v>
      </c>
      <c r="H358">
        <v>478</v>
      </c>
      <c r="I358">
        <v>9850</v>
      </c>
      <c r="J358">
        <v>8924</v>
      </c>
      <c r="K358">
        <v>117</v>
      </c>
      <c r="L358" t="s">
        <v>360</v>
      </c>
      <c r="M358">
        <v>0.31705583756345179</v>
      </c>
      <c r="N358" t="s">
        <v>358</v>
      </c>
      <c r="O358" t="s">
        <v>359</v>
      </c>
    </row>
    <row r="359" spans="1:15" x14ac:dyDescent="0.3">
      <c r="A359" t="s">
        <v>173</v>
      </c>
      <c r="B359" t="s">
        <v>35</v>
      </c>
      <c r="C359" s="2">
        <v>45586</v>
      </c>
      <c r="D359" t="s">
        <v>29</v>
      </c>
      <c r="E359" t="s">
        <v>54</v>
      </c>
      <c r="F359">
        <v>780</v>
      </c>
      <c r="G359">
        <v>928</v>
      </c>
      <c r="H359">
        <v>301</v>
      </c>
      <c r="I359">
        <v>8580</v>
      </c>
      <c r="J359">
        <v>8081</v>
      </c>
      <c r="K359">
        <v>91</v>
      </c>
      <c r="L359" t="s">
        <v>26</v>
      </c>
      <c r="M359">
        <v>0.23414918414918415</v>
      </c>
      <c r="N359" t="s">
        <v>11</v>
      </c>
      <c r="O359" t="s">
        <v>31</v>
      </c>
    </row>
    <row r="360" spans="1:15" x14ac:dyDescent="0.3">
      <c r="A360" t="s">
        <v>173</v>
      </c>
      <c r="B360" t="s">
        <v>35</v>
      </c>
      <c r="C360" s="2">
        <v>45586</v>
      </c>
      <c r="D360" t="s">
        <v>29</v>
      </c>
      <c r="E360" t="s">
        <v>54</v>
      </c>
      <c r="F360">
        <v>780</v>
      </c>
      <c r="G360">
        <v>928</v>
      </c>
      <c r="H360">
        <v>301</v>
      </c>
      <c r="I360">
        <v>8580</v>
      </c>
      <c r="J360">
        <v>8081</v>
      </c>
      <c r="K360">
        <v>91</v>
      </c>
      <c r="L360" t="s">
        <v>26</v>
      </c>
      <c r="M360">
        <v>0.23414918414918415</v>
      </c>
      <c r="N360" t="s">
        <v>357</v>
      </c>
      <c r="O360" t="s">
        <v>359</v>
      </c>
    </row>
    <row r="361" spans="1:15" x14ac:dyDescent="0.3">
      <c r="A361" t="s">
        <v>173</v>
      </c>
      <c r="B361" t="s">
        <v>35</v>
      </c>
      <c r="C361" s="2">
        <v>45586</v>
      </c>
      <c r="D361" t="s">
        <v>29</v>
      </c>
      <c r="E361" t="s">
        <v>54</v>
      </c>
      <c r="F361">
        <v>780</v>
      </c>
      <c r="G361">
        <v>928</v>
      </c>
      <c r="H361">
        <v>301</v>
      </c>
      <c r="I361">
        <v>8580</v>
      </c>
      <c r="J361">
        <v>8081</v>
      </c>
      <c r="K361">
        <v>91</v>
      </c>
      <c r="L361" t="s">
        <v>26</v>
      </c>
      <c r="M361">
        <v>0.23414918414918415</v>
      </c>
      <c r="N361" t="s">
        <v>358</v>
      </c>
      <c r="O361" t="s">
        <v>359</v>
      </c>
    </row>
    <row r="362" spans="1:15" x14ac:dyDescent="0.3">
      <c r="A362" t="s">
        <v>174</v>
      </c>
      <c r="B362" t="s">
        <v>28</v>
      </c>
      <c r="C362" s="2">
        <v>45502</v>
      </c>
      <c r="D362" t="s">
        <v>29</v>
      </c>
      <c r="E362" t="s">
        <v>30</v>
      </c>
      <c r="F362">
        <v>498</v>
      </c>
      <c r="G362">
        <v>701</v>
      </c>
      <c r="H362">
        <v>412</v>
      </c>
      <c r="I362">
        <v>4980</v>
      </c>
      <c r="J362">
        <v>4185</v>
      </c>
      <c r="K362">
        <v>185</v>
      </c>
      <c r="L362" t="s">
        <v>360</v>
      </c>
      <c r="M362">
        <v>0.32349397590361445</v>
      </c>
      <c r="N362" t="s">
        <v>11</v>
      </c>
      <c r="O362" t="s">
        <v>48</v>
      </c>
    </row>
    <row r="363" spans="1:15" x14ac:dyDescent="0.3">
      <c r="A363" t="s">
        <v>174</v>
      </c>
      <c r="B363" t="s">
        <v>28</v>
      </c>
      <c r="C363" s="2">
        <v>45502</v>
      </c>
      <c r="D363" t="s">
        <v>29</v>
      </c>
      <c r="E363" t="s">
        <v>30</v>
      </c>
      <c r="F363">
        <v>498</v>
      </c>
      <c r="G363">
        <v>701</v>
      </c>
      <c r="H363">
        <v>412</v>
      </c>
      <c r="I363">
        <v>4980</v>
      </c>
      <c r="J363">
        <v>4185</v>
      </c>
      <c r="K363">
        <v>185</v>
      </c>
      <c r="L363" t="s">
        <v>360</v>
      </c>
      <c r="M363">
        <v>0.32349397590361445</v>
      </c>
      <c r="N363" t="s">
        <v>357</v>
      </c>
      <c r="O363" t="s">
        <v>359</v>
      </c>
    </row>
    <row r="364" spans="1:15" x14ac:dyDescent="0.3">
      <c r="A364" t="s">
        <v>174</v>
      </c>
      <c r="B364" t="s">
        <v>28</v>
      </c>
      <c r="C364" s="2">
        <v>45502</v>
      </c>
      <c r="D364" t="s">
        <v>29</v>
      </c>
      <c r="E364" t="s">
        <v>30</v>
      </c>
      <c r="F364">
        <v>498</v>
      </c>
      <c r="G364">
        <v>701</v>
      </c>
      <c r="H364">
        <v>412</v>
      </c>
      <c r="I364">
        <v>4980</v>
      </c>
      <c r="J364">
        <v>4185</v>
      </c>
      <c r="K364">
        <v>185</v>
      </c>
      <c r="L364" t="s">
        <v>360</v>
      </c>
      <c r="M364">
        <v>0.32349397590361445</v>
      </c>
      <c r="N364" t="s">
        <v>358</v>
      </c>
      <c r="O364" t="s">
        <v>359</v>
      </c>
    </row>
    <row r="365" spans="1:15" x14ac:dyDescent="0.3">
      <c r="A365" t="s">
        <v>175</v>
      </c>
      <c r="B365" t="s">
        <v>28</v>
      </c>
      <c r="C365" s="2">
        <v>45567</v>
      </c>
      <c r="D365" t="s">
        <v>19</v>
      </c>
      <c r="E365" t="s">
        <v>78</v>
      </c>
      <c r="F365">
        <v>3432</v>
      </c>
      <c r="G365">
        <v>869</v>
      </c>
      <c r="H365">
        <v>123</v>
      </c>
      <c r="I365">
        <v>54912</v>
      </c>
      <c r="J365">
        <v>53916</v>
      </c>
      <c r="K365">
        <v>264</v>
      </c>
      <c r="L365" t="s">
        <v>21</v>
      </c>
      <c r="M365">
        <v>8.0565268065268064E-2</v>
      </c>
      <c r="N365" t="s">
        <v>11</v>
      </c>
      <c r="O365" t="s">
        <v>31</v>
      </c>
    </row>
    <row r="366" spans="1:15" x14ac:dyDescent="0.3">
      <c r="A366" t="s">
        <v>175</v>
      </c>
      <c r="B366" t="s">
        <v>28</v>
      </c>
      <c r="C366" s="2">
        <v>45567</v>
      </c>
      <c r="D366" t="s">
        <v>19</v>
      </c>
      <c r="E366" t="s">
        <v>78</v>
      </c>
      <c r="F366">
        <v>3432</v>
      </c>
      <c r="G366">
        <v>869</v>
      </c>
      <c r="H366">
        <v>123</v>
      </c>
      <c r="I366">
        <v>54912</v>
      </c>
      <c r="J366">
        <v>53916</v>
      </c>
      <c r="K366">
        <v>264</v>
      </c>
      <c r="L366" t="s">
        <v>21</v>
      </c>
      <c r="M366">
        <v>8.0565268065268064E-2</v>
      </c>
      <c r="N366" t="s">
        <v>357</v>
      </c>
      <c r="O366" t="s">
        <v>359</v>
      </c>
    </row>
    <row r="367" spans="1:15" x14ac:dyDescent="0.3">
      <c r="A367" t="s">
        <v>175</v>
      </c>
      <c r="B367" t="s">
        <v>28</v>
      </c>
      <c r="C367" s="2">
        <v>45567</v>
      </c>
      <c r="D367" t="s">
        <v>19</v>
      </c>
      <c r="E367" t="s">
        <v>78</v>
      </c>
      <c r="F367">
        <v>3432</v>
      </c>
      <c r="G367">
        <v>869</v>
      </c>
      <c r="H367">
        <v>123</v>
      </c>
      <c r="I367">
        <v>54912</v>
      </c>
      <c r="J367">
        <v>53916</v>
      </c>
      <c r="K367">
        <v>264</v>
      </c>
      <c r="L367" t="s">
        <v>21</v>
      </c>
      <c r="M367">
        <v>8.0565268065268064E-2</v>
      </c>
      <c r="N367" t="s">
        <v>358</v>
      </c>
      <c r="O367" t="s">
        <v>359</v>
      </c>
    </row>
    <row r="368" spans="1:15" x14ac:dyDescent="0.3">
      <c r="A368" t="s">
        <v>176</v>
      </c>
      <c r="B368" t="s">
        <v>28</v>
      </c>
      <c r="C368" s="2">
        <v>45457</v>
      </c>
      <c r="D368" t="s">
        <v>29</v>
      </c>
      <c r="E368" t="s">
        <v>30</v>
      </c>
      <c r="F368">
        <v>4363</v>
      </c>
      <c r="G368">
        <v>649</v>
      </c>
      <c r="H368">
        <v>140</v>
      </c>
      <c r="I368">
        <v>21815</v>
      </c>
      <c r="J368">
        <v>21481</v>
      </c>
      <c r="K368">
        <v>157</v>
      </c>
      <c r="L368" t="s">
        <v>17</v>
      </c>
      <c r="M368">
        <v>0.23616777446710979</v>
      </c>
      <c r="N368" t="s">
        <v>11</v>
      </c>
      <c r="O368" t="s">
        <v>31</v>
      </c>
    </row>
    <row r="369" spans="1:15" x14ac:dyDescent="0.3">
      <c r="A369" t="s">
        <v>176</v>
      </c>
      <c r="B369" t="s">
        <v>28</v>
      </c>
      <c r="C369" s="2">
        <v>45457</v>
      </c>
      <c r="D369" t="s">
        <v>29</v>
      </c>
      <c r="E369" t="s">
        <v>30</v>
      </c>
      <c r="F369">
        <v>4363</v>
      </c>
      <c r="G369">
        <v>649</v>
      </c>
      <c r="H369">
        <v>140</v>
      </c>
      <c r="I369">
        <v>21815</v>
      </c>
      <c r="J369">
        <v>21481</v>
      </c>
      <c r="K369">
        <v>157</v>
      </c>
      <c r="L369" t="s">
        <v>17</v>
      </c>
      <c r="M369">
        <v>0.23616777446710979</v>
      </c>
      <c r="N369" t="s">
        <v>357</v>
      </c>
      <c r="O369" t="s">
        <v>359</v>
      </c>
    </row>
    <row r="370" spans="1:15" x14ac:dyDescent="0.3">
      <c r="A370" t="s">
        <v>176</v>
      </c>
      <c r="B370" t="s">
        <v>28</v>
      </c>
      <c r="C370" s="2">
        <v>45457</v>
      </c>
      <c r="D370" t="s">
        <v>29</v>
      </c>
      <c r="E370" t="s">
        <v>30</v>
      </c>
      <c r="F370">
        <v>4363</v>
      </c>
      <c r="G370">
        <v>649</v>
      </c>
      <c r="H370">
        <v>140</v>
      </c>
      <c r="I370">
        <v>21815</v>
      </c>
      <c r="J370">
        <v>21481</v>
      </c>
      <c r="K370">
        <v>157</v>
      </c>
      <c r="L370" t="s">
        <v>17</v>
      </c>
      <c r="M370">
        <v>0.23616777446710979</v>
      </c>
      <c r="N370" t="s">
        <v>358</v>
      </c>
      <c r="O370" t="s">
        <v>359</v>
      </c>
    </row>
    <row r="371" spans="1:15" x14ac:dyDescent="0.3">
      <c r="A371" t="s">
        <v>177</v>
      </c>
      <c r="B371" t="s">
        <v>23</v>
      </c>
      <c r="C371" s="2">
        <v>45753</v>
      </c>
      <c r="D371" t="s">
        <v>36</v>
      </c>
      <c r="E371" t="s">
        <v>52</v>
      </c>
      <c r="F371">
        <v>736</v>
      </c>
      <c r="G371">
        <v>771</v>
      </c>
      <c r="H371">
        <v>225</v>
      </c>
      <c r="I371">
        <v>5152</v>
      </c>
      <c r="J371">
        <v>4706</v>
      </c>
      <c r="K371">
        <v>19</v>
      </c>
      <c r="L371" t="s">
        <v>17</v>
      </c>
      <c r="M371">
        <v>0.33618012422360249</v>
      </c>
      <c r="N371" t="s">
        <v>11</v>
      </c>
      <c r="O371" t="s">
        <v>31</v>
      </c>
    </row>
    <row r="372" spans="1:15" x14ac:dyDescent="0.3">
      <c r="A372" t="s">
        <v>177</v>
      </c>
      <c r="B372" t="s">
        <v>23</v>
      </c>
      <c r="C372" s="2">
        <v>45753</v>
      </c>
      <c r="D372" t="s">
        <v>36</v>
      </c>
      <c r="E372" t="s">
        <v>52</v>
      </c>
      <c r="F372">
        <v>736</v>
      </c>
      <c r="G372">
        <v>771</v>
      </c>
      <c r="H372">
        <v>225</v>
      </c>
      <c r="I372">
        <v>5152</v>
      </c>
      <c r="J372">
        <v>4706</v>
      </c>
      <c r="K372">
        <v>19</v>
      </c>
      <c r="L372" t="s">
        <v>17</v>
      </c>
      <c r="M372">
        <v>0.33618012422360249</v>
      </c>
      <c r="N372" t="s">
        <v>357</v>
      </c>
      <c r="O372" t="s">
        <v>359</v>
      </c>
    </row>
    <row r="373" spans="1:15" x14ac:dyDescent="0.3">
      <c r="A373" t="s">
        <v>177</v>
      </c>
      <c r="B373" t="s">
        <v>23</v>
      </c>
      <c r="C373" s="2">
        <v>45753</v>
      </c>
      <c r="D373" t="s">
        <v>36</v>
      </c>
      <c r="E373" t="s">
        <v>52</v>
      </c>
      <c r="F373">
        <v>736</v>
      </c>
      <c r="G373">
        <v>771</v>
      </c>
      <c r="H373">
        <v>225</v>
      </c>
      <c r="I373">
        <v>5152</v>
      </c>
      <c r="J373">
        <v>4706</v>
      </c>
      <c r="K373">
        <v>19</v>
      </c>
      <c r="L373" t="s">
        <v>17</v>
      </c>
      <c r="M373">
        <v>0.33618012422360249</v>
      </c>
      <c r="N373" t="s">
        <v>358</v>
      </c>
      <c r="O373" t="s">
        <v>359</v>
      </c>
    </row>
    <row r="374" spans="1:15" x14ac:dyDescent="0.3">
      <c r="A374" t="s">
        <v>178</v>
      </c>
      <c r="B374" t="s">
        <v>14</v>
      </c>
      <c r="C374" s="2">
        <v>45543</v>
      </c>
      <c r="D374" t="s">
        <v>36</v>
      </c>
      <c r="E374" t="s">
        <v>39</v>
      </c>
      <c r="F374">
        <v>3811</v>
      </c>
      <c r="G374">
        <v>866</v>
      </c>
      <c r="H374">
        <v>216</v>
      </c>
      <c r="I374">
        <v>34299</v>
      </c>
      <c r="J374">
        <v>34088</v>
      </c>
      <c r="K374">
        <v>233</v>
      </c>
      <c r="L374" t="s">
        <v>32</v>
      </c>
      <c r="M374">
        <v>0.14265722032712325</v>
      </c>
      <c r="N374" t="s">
        <v>11</v>
      </c>
      <c r="O374" t="s">
        <v>25</v>
      </c>
    </row>
    <row r="375" spans="1:15" x14ac:dyDescent="0.3">
      <c r="A375" t="s">
        <v>178</v>
      </c>
      <c r="B375" t="s">
        <v>14</v>
      </c>
      <c r="C375" s="2">
        <v>45543</v>
      </c>
      <c r="D375" t="s">
        <v>36</v>
      </c>
      <c r="E375" t="s">
        <v>39</v>
      </c>
      <c r="F375">
        <v>3811</v>
      </c>
      <c r="G375">
        <v>866</v>
      </c>
      <c r="H375">
        <v>216</v>
      </c>
      <c r="I375">
        <v>34299</v>
      </c>
      <c r="J375">
        <v>34088</v>
      </c>
      <c r="K375">
        <v>233</v>
      </c>
      <c r="L375" t="s">
        <v>32</v>
      </c>
      <c r="M375">
        <v>0.14265722032712325</v>
      </c>
      <c r="N375" t="s">
        <v>357</v>
      </c>
      <c r="O375" t="s">
        <v>359</v>
      </c>
    </row>
    <row r="376" spans="1:15" x14ac:dyDescent="0.3">
      <c r="A376" t="s">
        <v>178</v>
      </c>
      <c r="B376" t="s">
        <v>14</v>
      </c>
      <c r="C376" s="2">
        <v>45543</v>
      </c>
      <c r="D376" t="s">
        <v>36</v>
      </c>
      <c r="E376" t="s">
        <v>39</v>
      </c>
      <c r="F376">
        <v>3811</v>
      </c>
      <c r="G376">
        <v>866</v>
      </c>
      <c r="H376">
        <v>216</v>
      </c>
      <c r="I376">
        <v>34299</v>
      </c>
      <c r="J376">
        <v>34088</v>
      </c>
      <c r="K376">
        <v>233</v>
      </c>
      <c r="L376" t="s">
        <v>32</v>
      </c>
      <c r="M376">
        <v>0.14265722032712325</v>
      </c>
      <c r="N376" t="s">
        <v>358</v>
      </c>
      <c r="O376" t="s">
        <v>359</v>
      </c>
    </row>
    <row r="377" spans="1:15" x14ac:dyDescent="0.3">
      <c r="A377" t="s">
        <v>179</v>
      </c>
      <c r="B377" t="s">
        <v>28</v>
      </c>
      <c r="C377" s="2">
        <v>45744</v>
      </c>
      <c r="D377" t="s">
        <v>36</v>
      </c>
      <c r="E377" t="s">
        <v>65</v>
      </c>
      <c r="F377">
        <v>4158</v>
      </c>
      <c r="G377">
        <v>167</v>
      </c>
      <c r="H377">
        <v>241</v>
      </c>
      <c r="I377">
        <v>45738</v>
      </c>
      <c r="J377">
        <v>45183</v>
      </c>
      <c r="K377">
        <v>142</v>
      </c>
      <c r="L377" t="s">
        <v>360</v>
      </c>
      <c r="M377">
        <v>9.9829463465827106E-2</v>
      </c>
      <c r="N377" t="s">
        <v>11</v>
      </c>
      <c r="O377" t="s">
        <v>48</v>
      </c>
    </row>
    <row r="378" spans="1:15" x14ac:dyDescent="0.3">
      <c r="A378" t="s">
        <v>179</v>
      </c>
      <c r="B378" t="s">
        <v>28</v>
      </c>
      <c r="C378" s="2">
        <v>45744</v>
      </c>
      <c r="D378" t="s">
        <v>36</v>
      </c>
      <c r="E378" t="s">
        <v>65</v>
      </c>
      <c r="F378">
        <v>4158</v>
      </c>
      <c r="G378">
        <v>167</v>
      </c>
      <c r="H378">
        <v>241</v>
      </c>
      <c r="I378">
        <v>45738</v>
      </c>
      <c r="J378">
        <v>45183</v>
      </c>
      <c r="K378">
        <v>142</v>
      </c>
      <c r="L378" t="s">
        <v>360</v>
      </c>
      <c r="M378">
        <v>9.9829463465827106E-2</v>
      </c>
      <c r="N378" t="s">
        <v>357</v>
      </c>
      <c r="O378" t="s">
        <v>359</v>
      </c>
    </row>
    <row r="379" spans="1:15" x14ac:dyDescent="0.3">
      <c r="A379" t="s">
        <v>179</v>
      </c>
      <c r="B379" t="s">
        <v>28</v>
      </c>
      <c r="C379" s="2">
        <v>45744</v>
      </c>
      <c r="D379" t="s">
        <v>36</v>
      </c>
      <c r="E379" t="s">
        <v>65</v>
      </c>
      <c r="F379">
        <v>4158</v>
      </c>
      <c r="G379">
        <v>167</v>
      </c>
      <c r="H379">
        <v>241</v>
      </c>
      <c r="I379">
        <v>45738</v>
      </c>
      <c r="J379">
        <v>45183</v>
      </c>
      <c r="K379">
        <v>142</v>
      </c>
      <c r="L379" t="s">
        <v>360</v>
      </c>
      <c r="M379">
        <v>9.9829463465827106E-2</v>
      </c>
      <c r="N379" t="s">
        <v>358</v>
      </c>
      <c r="O379" t="s">
        <v>359</v>
      </c>
    </row>
    <row r="380" spans="1:15" x14ac:dyDescent="0.3">
      <c r="A380" t="s">
        <v>180</v>
      </c>
      <c r="B380" t="s">
        <v>35</v>
      </c>
      <c r="C380" s="2">
        <v>45684</v>
      </c>
      <c r="D380" t="s">
        <v>15</v>
      </c>
      <c r="E380" t="s">
        <v>50</v>
      </c>
      <c r="F380">
        <v>3452</v>
      </c>
      <c r="G380">
        <v>652</v>
      </c>
      <c r="H380">
        <v>442</v>
      </c>
      <c r="I380">
        <v>65588</v>
      </c>
      <c r="J380">
        <v>65049</v>
      </c>
      <c r="K380">
        <v>158</v>
      </c>
      <c r="L380" t="s">
        <v>26</v>
      </c>
      <c r="M380">
        <v>6.9311459413307311E-2</v>
      </c>
      <c r="N380" t="s">
        <v>11</v>
      </c>
      <c r="O380" t="s">
        <v>48</v>
      </c>
    </row>
    <row r="381" spans="1:15" x14ac:dyDescent="0.3">
      <c r="A381" t="s">
        <v>180</v>
      </c>
      <c r="B381" t="s">
        <v>35</v>
      </c>
      <c r="C381" s="2">
        <v>45684</v>
      </c>
      <c r="D381" t="s">
        <v>15</v>
      </c>
      <c r="E381" t="s">
        <v>50</v>
      </c>
      <c r="F381">
        <v>3452</v>
      </c>
      <c r="G381">
        <v>652</v>
      </c>
      <c r="H381">
        <v>442</v>
      </c>
      <c r="I381">
        <v>65588</v>
      </c>
      <c r="J381">
        <v>65049</v>
      </c>
      <c r="K381">
        <v>158</v>
      </c>
      <c r="L381" t="s">
        <v>26</v>
      </c>
      <c r="M381">
        <v>6.9311459413307311E-2</v>
      </c>
      <c r="N381" t="s">
        <v>357</v>
      </c>
      <c r="O381" t="s">
        <v>359</v>
      </c>
    </row>
    <row r="382" spans="1:15" x14ac:dyDescent="0.3">
      <c r="A382" t="s">
        <v>180</v>
      </c>
      <c r="B382" t="s">
        <v>35</v>
      </c>
      <c r="C382" s="2">
        <v>45684</v>
      </c>
      <c r="D382" t="s">
        <v>15</v>
      </c>
      <c r="E382" t="s">
        <v>50</v>
      </c>
      <c r="F382">
        <v>3452</v>
      </c>
      <c r="G382">
        <v>652</v>
      </c>
      <c r="H382">
        <v>442</v>
      </c>
      <c r="I382">
        <v>65588</v>
      </c>
      <c r="J382">
        <v>65049</v>
      </c>
      <c r="K382">
        <v>158</v>
      </c>
      <c r="L382" t="s">
        <v>26</v>
      </c>
      <c r="M382">
        <v>6.9311459413307311E-2</v>
      </c>
      <c r="N382" t="s">
        <v>358</v>
      </c>
      <c r="O382" t="s">
        <v>359</v>
      </c>
    </row>
    <row r="383" spans="1:15" x14ac:dyDescent="0.3">
      <c r="A383" t="s">
        <v>181</v>
      </c>
      <c r="B383" t="s">
        <v>14</v>
      </c>
      <c r="C383" s="2">
        <v>45667</v>
      </c>
      <c r="D383" t="s">
        <v>41</v>
      </c>
      <c r="E383" t="s">
        <v>88</v>
      </c>
      <c r="F383">
        <v>3092</v>
      </c>
      <c r="G383">
        <v>106</v>
      </c>
      <c r="H383">
        <v>291</v>
      </c>
      <c r="I383">
        <v>27828</v>
      </c>
      <c r="J383">
        <v>27217</v>
      </c>
      <c r="K383">
        <v>102</v>
      </c>
      <c r="L383" t="s">
        <v>360</v>
      </c>
      <c r="M383">
        <v>0.12537731780940059</v>
      </c>
      <c r="N383" t="s">
        <v>11</v>
      </c>
      <c r="O383" t="s">
        <v>48</v>
      </c>
    </row>
    <row r="384" spans="1:15" x14ac:dyDescent="0.3">
      <c r="A384" t="s">
        <v>181</v>
      </c>
      <c r="B384" t="s">
        <v>14</v>
      </c>
      <c r="C384" s="2">
        <v>45667</v>
      </c>
      <c r="D384" t="s">
        <v>41</v>
      </c>
      <c r="E384" t="s">
        <v>88</v>
      </c>
      <c r="F384">
        <v>3092</v>
      </c>
      <c r="G384">
        <v>106</v>
      </c>
      <c r="H384">
        <v>291</v>
      </c>
      <c r="I384">
        <v>27828</v>
      </c>
      <c r="J384">
        <v>27217</v>
      </c>
      <c r="K384">
        <v>102</v>
      </c>
      <c r="L384" t="s">
        <v>360</v>
      </c>
      <c r="M384">
        <v>0.12537731780940059</v>
      </c>
      <c r="N384" t="s">
        <v>357</v>
      </c>
      <c r="O384" t="s">
        <v>359</v>
      </c>
    </row>
    <row r="385" spans="1:15" x14ac:dyDescent="0.3">
      <c r="A385" t="s">
        <v>181</v>
      </c>
      <c r="B385" t="s">
        <v>14</v>
      </c>
      <c r="C385" s="2">
        <v>45667</v>
      </c>
      <c r="D385" t="s">
        <v>41</v>
      </c>
      <c r="E385" t="s">
        <v>88</v>
      </c>
      <c r="F385">
        <v>3092</v>
      </c>
      <c r="G385">
        <v>106</v>
      </c>
      <c r="H385">
        <v>291</v>
      </c>
      <c r="I385">
        <v>27828</v>
      </c>
      <c r="J385">
        <v>27217</v>
      </c>
      <c r="K385">
        <v>102</v>
      </c>
      <c r="L385" t="s">
        <v>360</v>
      </c>
      <c r="M385">
        <v>0.12537731780940059</v>
      </c>
      <c r="N385" t="s">
        <v>358</v>
      </c>
      <c r="O385" t="s">
        <v>359</v>
      </c>
    </row>
    <row r="386" spans="1:15" x14ac:dyDescent="0.3">
      <c r="A386" t="s">
        <v>182</v>
      </c>
      <c r="B386" t="s">
        <v>14</v>
      </c>
      <c r="C386" s="2">
        <v>45494</v>
      </c>
      <c r="D386" t="s">
        <v>19</v>
      </c>
      <c r="E386" t="s">
        <v>20</v>
      </c>
      <c r="F386">
        <v>2147</v>
      </c>
      <c r="G386">
        <v>430</v>
      </c>
      <c r="H386">
        <v>393</v>
      </c>
      <c r="I386">
        <v>17176</v>
      </c>
      <c r="J386">
        <v>16483</v>
      </c>
      <c r="K386">
        <v>170</v>
      </c>
      <c r="L386" t="s">
        <v>360</v>
      </c>
      <c r="M386">
        <v>0.17291569632044715</v>
      </c>
      <c r="N386" t="s">
        <v>11</v>
      </c>
      <c r="O386" t="s">
        <v>25</v>
      </c>
    </row>
    <row r="387" spans="1:15" x14ac:dyDescent="0.3">
      <c r="A387" t="s">
        <v>182</v>
      </c>
      <c r="B387" t="s">
        <v>14</v>
      </c>
      <c r="C387" s="2">
        <v>45494</v>
      </c>
      <c r="D387" t="s">
        <v>19</v>
      </c>
      <c r="E387" t="s">
        <v>20</v>
      </c>
      <c r="F387">
        <v>2147</v>
      </c>
      <c r="G387">
        <v>430</v>
      </c>
      <c r="H387">
        <v>393</v>
      </c>
      <c r="I387">
        <v>17176</v>
      </c>
      <c r="J387">
        <v>16483</v>
      </c>
      <c r="K387">
        <v>170</v>
      </c>
      <c r="L387" t="s">
        <v>360</v>
      </c>
      <c r="M387">
        <v>0.17291569632044715</v>
      </c>
      <c r="N387" t="s">
        <v>357</v>
      </c>
      <c r="O387" t="s">
        <v>359</v>
      </c>
    </row>
    <row r="388" spans="1:15" x14ac:dyDescent="0.3">
      <c r="A388" t="s">
        <v>182</v>
      </c>
      <c r="B388" t="s">
        <v>14</v>
      </c>
      <c r="C388" s="2">
        <v>45494</v>
      </c>
      <c r="D388" t="s">
        <v>19</v>
      </c>
      <c r="E388" t="s">
        <v>20</v>
      </c>
      <c r="F388">
        <v>2147</v>
      </c>
      <c r="G388">
        <v>430</v>
      </c>
      <c r="H388">
        <v>393</v>
      </c>
      <c r="I388">
        <v>17176</v>
      </c>
      <c r="J388">
        <v>16483</v>
      </c>
      <c r="K388">
        <v>170</v>
      </c>
      <c r="L388" t="s">
        <v>360</v>
      </c>
      <c r="M388">
        <v>0.17291569632044715</v>
      </c>
      <c r="N388" t="s">
        <v>358</v>
      </c>
      <c r="O388" t="s">
        <v>359</v>
      </c>
    </row>
    <row r="389" spans="1:15" x14ac:dyDescent="0.3">
      <c r="A389" t="s">
        <v>183</v>
      </c>
      <c r="B389" t="s">
        <v>23</v>
      </c>
      <c r="C389" s="2">
        <v>45564</v>
      </c>
      <c r="D389" t="s">
        <v>15</v>
      </c>
      <c r="E389" t="s">
        <v>24</v>
      </c>
      <c r="F389">
        <v>2936</v>
      </c>
      <c r="G389">
        <v>439</v>
      </c>
      <c r="H389">
        <v>44</v>
      </c>
      <c r="I389">
        <v>38168</v>
      </c>
      <c r="J389">
        <v>37571</v>
      </c>
      <c r="K389">
        <v>22</v>
      </c>
      <c r="L389" t="s">
        <v>32</v>
      </c>
      <c r="M389">
        <v>8.9577656675749323E-2</v>
      </c>
      <c r="N389" t="s">
        <v>11</v>
      </c>
      <c r="O389" t="s">
        <v>31</v>
      </c>
    </row>
    <row r="390" spans="1:15" x14ac:dyDescent="0.3">
      <c r="A390" t="s">
        <v>183</v>
      </c>
      <c r="B390" t="s">
        <v>23</v>
      </c>
      <c r="C390" s="2">
        <v>45564</v>
      </c>
      <c r="D390" t="s">
        <v>15</v>
      </c>
      <c r="E390" t="s">
        <v>24</v>
      </c>
      <c r="F390">
        <v>2936</v>
      </c>
      <c r="G390">
        <v>439</v>
      </c>
      <c r="H390">
        <v>44</v>
      </c>
      <c r="I390">
        <v>38168</v>
      </c>
      <c r="J390">
        <v>37571</v>
      </c>
      <c r="K390">
        <v>22</v>
      </c>
      <c r="L390" t="s">
        <v>32</v>
      </c>
      <c r="M390">
        <v>8.9577656675749323E-2</v>
      </c>
      <c r="N390" t="s">
        <v>357</v>
      </c>
      <c r="O390" t="s">
        <v>359</v>
      </c>
    </row>
    <row r="391" spans="1:15" x14ac:dyDescent="0.3">
      <c r="A391" t="s">
        <v>183</v>
      </c>
      <c r="B391" t="s">
        <v>23</v>
      </c>
      <c r="C391" s="2">
        <v>45564</v>
      </c>
      <c r="D391" t="s">
        <v>15</v>
      </c>
      <c r="E391" t="s">
        <v>24</v>
      </c>
      <c r="F391">
        <v>2936</v>
      </c>
      <c r="G391">
        <v>439</v>
      </c>
      <c r="H391">
        <v>44</v>
      </c>
      <c r="I391">
        <v>38168</v>
      </c>
      <c r="J391">
        <v>37571</v>
      </c>
      <c r="K391">
        <v>22</v>
      </c>
      <c r="L391" t="s">
        <v>32</v>
      </c>
      <c r="M391">
        <v>8.9577656675749323E-2</v>
      </c>
      <c r="N391" t="s">
        <v>358</v>
      </c>
      <c r="O391" t="s">
        <v>359</v>
      </c>
    </row>
    <row r="392" spans="1:15" x14ac:dyDescent="0.3">
      <c r="A392" t="s">
        <v>184</v>
      </c>
      <c r="B392" t="s">
        <v>28</v>
      </c>
      <c r="C392" s="2">
        <v>45586</v>
      </c>
      <c r="D392" t="s">
        <v>15</v>
      </c>
      <c r="E392" t="s">
        <v>61</v>
      </c>
      <c r="F392">
        <v>4840</v>
      </c>
      <c r="G392">
        <v>658</v>
      </c>
      <c r="H392">
        <v>211</v>
      </c>
      <c r="I392">
        <v>43560</v>
      </c>
      <c r="J392">
        <v>43225</v>
      </c>
      <c r="K392">
        <v>57</v>
      </c>
      <c r="L392" t="s">
        <v>26</v>
      </c>
      <c r="M392">
        <v>0.13106060606060607</v>
      </c>
      <c r="N392" t="s">
        <v>11</v>
      </c>
      <c r="O392" t="s">
        <v>48</v>
      </c>
    </row>
    <row r="393" spans="1:15" x14ac:dyDescent="0.3">
      <c r="A393" t="s">
        <v>184</v>
      </c>
      <c r="B393" t="s">
        <v>28</v>
      </c>
      <c r="C393" s="2">
        <v>45586</v>
      </c>
      <c r="D393" t="s">
        <v>15</v>
      </c>
      <c r="E393" t="s">
        <v>61</v>
      </c>
      <c r="F393">
        <v>4840</v>
      </c>
      <c r="G393">
        <v>658</v>
      </c>
      <c r="H393">
        <v>211</v>
      </c>
      <c r="I393">
        <v>43560</v>
      </c>
      <c r="J393">
        <v>43225</v>
      </c>
      <c r="K393">
        <v>57</v>
      </c>
      <c r="L393" t="s">
        <v>26</v>
      </c>
      <c r="M393">
        <v>0.13106060606060607</v>
      </c>
      <c r="N393" t="s">
        <v>357</v>
      </c>
      <c r="O393" t="s">
        <v>359</v>
      </c>
    </row>
    <row r="394" spans="1:15" x14ac:dyDescent="0.3">
      <c r="A394" t="s">
        <v>184</v>
      </c>
      <c r="B394" t="s">
        <v>28</v>
      </c>
      <c r="C394" s="2">
        <v>45586</v>
      </c>
      <c r="D394" t="s">
        <v>15</v>
      </c>
      <c r="E394" t="s">
        <v>61</v>
      </c>
      <c r="F394">
        <v>4840</v>
      </c>
      <c r="G394">
        <v>658</v>
      </c>
      <c r="H394">
        <v>211</v>
      </c>
      <c r="I394">
        <v>43560</v>
      </c>
      <c r="J394">
        <v>43225</v>
      </c>
      <c r="K394">
        <v>57</v>
      </c>
      <c r="L394" t="s">
        <v>26</v>
      </c>
      <c r="M394">
        <v>0.13106060606060607</v>
      </c>
      <c r="N394" t="s">
        <v>358</v>
      </c>
      <c r="O394" t="s">
        <v>359</v>
      </c>
    </row>
    <row r="395" spans="1:15" x14ac:dyDescent="0.3">
      <c r="A395" t="s">
        <v>185</v>
      </c>
      <c r="B395" t="s">
        <v>28</v>
      </c>
      <c r="C395" s="2">
        <v>45720</v>
      </c>
      <c r="D395" t="s">
        <v>29</v>
      </c>
      <c r="E395" t="s">
        <v>30</v>
      </c>
      <c r="F395">
        <v>1947</v>
      </c>
      <c r="G395">
        <v>842</v>
      </c>
      <c r="H395">
        <v>101</v>
      </c>
      <c r="I395">
        <v>21417</v>
      </c>
      <c r="J395">
        <v>20967</v>
      </c>
      <c r="K395">
        <v>186</v>
      </c>
      <c r="L395" t="s">
        <v>21</v>
      </c>
      <c r="M395">
        <v>0.13493953401503478</v>
      </c>
      <c r="N395" t="s">
        <v>11</v>
      </c>
      <c r="O395" t="s">
        <v>48</v>
      </c>
    </row>
    <row r="396" spans="1:15" x14ac:dyDescent="0.3">
      <c r="A396" t="s">
        <v>185</v>
      </c>
      <c r="B396" t="s">
        <v>28</v>
      </c>
      <c r="C396" s="2">
        <v>45720</v>
      </c>
      <c r="D396" t="s">
        <v>29</v>
      </c>
      <c r="E396" t="s">
        <v>30</v>
      </c>
      <c r="F396">
        <v>1947</v>
      </c>
      <c r="G396">
        <v>842</v>
      </c>
      <c r="H396">
        <v>101</v>
      </c>
      <c r="I396">
        <v>21417</v>
      </c>
      <c r="J396">
        <v>20967</v>
      </c>
      <c r="K396">
        <v>186</v>
      </c>
      <c r="L396" t="s">
        <v>21</v>
      </c>
      <c r="M396">
        <v>0.13493953401503478</v>
      </c>
      <c r="N396" t="s">
        <v>357</v>
      </c>
      <c r="O396" t="s">
        <v>359</v>
      </c>
    </row>
    <row r="397" spans="1:15" x14ac:dyDescent="0.3">
      <c r="A397" t="s">
        <v>185</v>
      </c>
      <c r="B397" t="s">
        <v>28</v>
      </c>
      <c r="C397" s="2">
        <v>45720</v>
      </c>
      <c r="D397" t="s">
        <v>29</v>
      </c>
      <c r="E397" t="s">
        <v>30</v>
      </c>
      <c r="F397">
        <v>1947</v>
      </c>
      <c r="G397">
        <v>842</v>
      </c>
      <c r="H397">
        <v>101</v>
      </c>
      <c r="I397">
        <v>21417</v>
      </c>
      <c r="J397">
        <v>20967</v>
      </c>
      <c r="K397">
        <v>186</v>
      </c>
      <c r="L397" t="s">
        <v>21</v>
      </c>
      <c r="M397">
        <v>0.13493953401503478</v>
      </c>
      <c r="N397" t="s">
        <v>358</v>
      </c>
      <c r="O397" t="s">
        <v>359</v>
      </c>
    </row>
    <row r="398" spans="1:15" x14ac:dyDescent="0.3">
      <c r="A398" t="s">
        <v>186</v>
      </c>
      <c r="B398" t="s">
        <v>35</v>
      </c>
      <c r="C398" s="2">
        <v>45694</v>
      </c>
      <c r="D398" t="s">
        <v>41</v>
      </c>
      <c r="E398" t="s">
        <v>46</v>
      </c>
      <c r="F398">
        <v>2072</v>
      </c>
      <c r="G398">
        <v>532</v>
      </c>
      <c r="H398">
        <v>71</v>
      </c>
      <c r="I398">
        <v>37296</v>
      </c>
      <c r="J398">
        <v>36467</v>
      </c>
      <c r="K398">
        <v>25</v>
      </c>
      <c r="L398" t="s">
        <v>32</v>
      </c>
      <c r="M398">
        <v>7.172350922350923E-2</v>
      </c>
      <c r="N398" t="s">
        <v>11</v>
      </c>
      <c r="O398" t="s">
        <v>25</v>
      </c>
    </row>
    <row r="399" spans="1:15" x14ac:dyDescent="0.3">
      <c r="A399" t="s">
        <v>186</v>
      </c>
      <c r="B399" t="s">
        <v>35</v>
      </c>
      <c r="C399" s="2">
        <v>45694</v>
      </c>
      <c r="D399" t="s">
        <v>41</v>
      </c>
      <c r="E399" t="s">
        <v>46</v>
      </c>
      <c r="F399">
        <v>2072</v>
      </c>
      <c r="G399">
        <v>532</v>
      </c>
      <c r="H399">
        <v>71</v>
      </c>
      <c r="I399">
        <v>37296</v>
      </c>
      <c r="J399">
        <v>36467</v>
      </c>
      <c r="K399">
        <v>25</v>
      </c>
      <c r="L399" t="s">
        <v>32</v>
      </c>
      <c r="M399">
        <v>7.172350922350923E-2</v>
      </c>
      <c r="N399" t="s">
        <v>357</v>
      </c>
      <c r="O399" t="s">
        <v>359</v>
      </c>
    </row>
    <row r="400" spans="1:15" x14ac:dyDescent="0.3">
      <c r="A400" t="s">
        <v>186</v>
      </c>
      <c r="B400" t="s">
        <v>35</v>
      </c>
      <c r="C400" s="2">
        <v>45694</v>
      </c>
      <c r="D400" t="s">
        <v>41</v>
      </c>
      <c r="E400" t="s">
        <v>46</v>
      </c>
      <c r="F400">
        <v>2072</v>
      </c>
      <c r="G400">
        <v>532</v>
      </c>
      <c r="H400">
        <v>71</v>
      </c>
      <c r="I400">
        <v>37296</v>
      </c>
      <c r="J400">
        <v>36467</v>
      </c>
      <c r="K400">
        <v>25</v>
      </c>
      <c r="L400" t="s">
        <v>32</v>
      </c>
      <c r="M400">
        <v>7.172350922350923E-2</v>
      </c>
      <c r="N400" t="s">
        <v>358</v>
      </c>
      <c r="O400" t="s">
        <v>359</v>
      </c>
    </row>
    <row r="401" spans="1:15" x14ac:dyDescent="0.3">
      <c r="A401" t="s">
        <v>187</v>
      </c>
      <c r="B401" t="s">
        <v>14</v>
      </c>
      <c r="C401" s="2">
        <v>45771</v>
      </c>
      <c r="D401" t="s">
        <v>15</v>
      </c>
      <c r="E401" t="s">
        <v>16</v>
      </c>
      <c r="F401">
        <v>3731</v>
      </c>
      <c r="G401">
        <v>115</v>
      </c>
      <c r="H401">
        <v>135</v>
      </c>
      <c r="I401">
        <v>55965</v>
      </c>
      <c r="J401">
        <v>55436</v>
      </c>
      <c r="K401">
        <v>103</v>
      </c>
      <c r="L401" t="s">
        <v>17</v>
      </c>
      <c r="M401">
        <v>7.1133744304476013E-2</v>
      </c>
      <c r="N401" t="s">
        <v>11</v>
      </c>
      <c r="O401" t="s">
        <v>25</v>
      </c>
    </row>
    <row r="402" spans="1:15" x14ac:dyDescent="0.3">
      <c r="A402" t="s">
        <v>187</v>
      </c>
      <c r="B402" t="s">
        <v>14</v>
      </c>
      <c r="C402" s="2">
        <v>45771</v>
      </c>
      <c r="D402" t="s">
        <v>15</v>
      </c>
      <c r="E402" t="s">
        <v>16</v>
      </c>
      <c r="F402">
        <v>3731</v>
      </c>
      <c r="G402">
        <v>115</v>
      </c>
      <c r="H402">
        <v>135</v>
      </c>
      <c r="I402">
        <v>55965</v>
      </c>
      <c r="J402">
        <v>55436</v>
      </c>
      <c r="K402">
        <v>103</v>
      </c>
      <c r="L402" t="s">
        <v>17</v>
      </c>
      <c r="M402">
        <v>7.1133744304476013E-2</v>
      </c>
      <c r="N402" t="s">
        <v>357</v>
      </c>
      <c r="O402" t="s">
        <v>359</v>
      </c>
    </row>
    <row r="403" spans="1:15" x14ac:dyDescent="0.3">
      <c r="A403" t="s">
        <v>187</v>
      </c>
      <c r="B403" t="s">
        <v>14</v>
      </c>
      <c r="C403" s="2">
        <v>45771</v>
      </c>
      <c r="D403" t="s">
        <v>15</v>
      </c>
      <c r="E403" t="s">
        <v>16</v>
      </c>
      <c r="F403">
        <v>3731</v>
      </c>
      <c r="G403">
        <v>115</v>
      </c>
      <c r="H403">
        <v>135</v>
      </c>
      <c r="I403">
        <v>55965</v>
      </c>
      <c r="J403">
        <v>55436</v>
      </c>
      <c r="K403">
        <v>103</v>
      </c>
      <c r="L403" t="s">
        <v>17</v>
      </c>
      <c r="M403">
        <v>7.1133744304476013E-2</v>
      </c>
      <c r="N403" t="s">
        <v>358</v>
      </c>
      <c r="O403" t="s">
        <v>359</v>
      </c>
    </row>
    <row r="404" spans="1:15" x14ac:dyDescent="0.3">
      <c r="A404" t="s">
        <v>188</v>
      </c>
      <c r="B404" t="s">
        <v>35</v>
      </c>
      <c r="C404" s="2">
        <v>45624</v>
      </c>
      <c r="D404" t="s">
        <v>19</v>
      </c>
      <c r="E404" t="s">
        <v>44</v>
      </c>
      <c r="F404">
        <v>4213</v>
      </c>
      <c r="G404">
        <v>253</v>
      </c>
      <c r="H404">
        <v>434</v>
      </c>
      <c r="I404">
        <v>75834</v>
      </c>
      <c r="J404">
        <v>75437</v>
      </c>
      <c r="K404">
        <v>272</v>
      </c>
      <c r="L404" t="s">
        <v>32</v>
      </c>
      <c r="M404">
        <v>6.461481657304112E-2</v>
      </c>
      <c r="N404" t="s">
        <v>11</v>
      </c>
      <c r="O404" t="s">
        <v>48</v>
      </c>
    </row>
    <row r="405" spans="1:15" x14ac:dyDescent="0.3">
      <c r="A405" t="s">
        <v>188</v>
      </c>
      <c r="B405" t="s">
        <v>35</v>
      </c>
      <c r="C405" s="2">
        <v>45624</v>
      </c>
      <c r="D405" t="s">
        <v>19</v>
      </c>
      <c r="E405" t="s">
        <v>44</v>
      </c>
      <c r="F405">
        <v>4213</v>
      </c>
      <c r="G405">
        <v>253</v>
      </c>
      <c r="H405">
        <v>434</v>
      </c>
      <c r="I405">
        <v>75834</v>
      </c>
      <c r="J405">
        <v>75437</v>
      </c>
      <c r="K405">
        <v>272</v>
      </c>
      <c r="L405" t="s">
        <v>32</v>
      </c>
      <c r="M405">
        <v>6.461481657304112E-2</v>
      </c>
      <c r="N405" t="s">
        <v>357</v>
      </c>
      <c r="O405" t="s">
        <v>359</v>
      </c>
    </row>
    <row r="406" spans="1:15" x14ac:dyDescent="0.3">
      <c r="A406" t="s">
        <v>188</v>
      </c>
      <c r="B406" t="s">
        <v>35</v>
      </c>
      <c r="C406" s="2">
        <v>45624</v>
      </c>
      <c r="D406" t="s">
        <v>19</v>
      </c>
      <c r="E406" t="s">
        <v>44</v>
      </c>
      <c r="F406">
        <v>4213</v>
      </c>
      <c r="G406">
        <v>253</v>
      </c>
      <c r="H406">
        <v>434</v>
      </c>
      <c r="I406">
        <v>75834</v>
      </c>
      <c r="J406">
        <v>75437</v>
      </c>
      <c r="K406">
        <v>272</v>
      </c>
      <c r="L406" t="s">
        <v>32</v>
      </c>
      <c r="M406">
        <v>6.461481657304112E-2</v>
      </c>
      <c r="N406" t="s">
        <v>358</v>
      </c>
      <c r="O406" t="s">
        <v>359</v>
      </c>
    </row>
    <row r="407" spans="1:15" x14ac:dyDescent="0.3">
      <c r="A407" t="s">
        <v>189</v>
      </c>
      <c r="B407" t="s">
        <v>28</v>
      </c>
      <c r="C407" s="2">
        <v>45484</v>
      </c>
      <c r="D407" t="s">
        <v>19</v>
      </c>
      <c r="E407" t="s">
        <v>78</v>
      </c>
      <c r="F407">
        <v>3134</v>
      </c>
      <c r="G407">
        <v>888</v>
      </c>
      <c r="H407">
        <v>444</v>
      </c>
      <c r="I407">
        <v>21938</v>
      </c>
      <c r="J407">
        <v>21337</v>
      </c>
      <c r="K407">
        <v>130</v>
      </c>
      <c r="L407" t="s">
        <v>32</v>
      </c>
      <c r="M407">
        <v>0.20357370772176134</v>
      </c>
      <c r="N407" t="s">
        <v>11</v>
      </c>
      <c r="O407" t="s">
        <v>31</v>
      </c>
    </row>
    <row r="408" spans="1:15" x14ac:dyDescent="0.3">
      <c r="A408" t="s">
        <v>189</v>
      </c>
      <c r="B408" t="s">
        <v>28</v>
      </c>
      <c r="C408" s="2">
        <v>45484</v>
      </c>
      <c r="D408" t="s">
        <v>19</v>
      </c>
      <c r="E408" t="s">
        <v>78</v>
      </c>
      <c r="F408">
        <v>3134</v>
      </c>
      <c r="G408">
        <v>888</v>
      </c>
      <c r="H408">
        <v>444</v>
      </c>
      <c r="I408">
        <v>21938</v>
      </c>
      <c r="J408">
        <v>21337</v>
      </c>
      <c r="K408">
        <v>130</v>
      </c>
      <c r="L408" t="s">
        <v>32</v>
      </c>
      <c r="M408">
        <v>0.20357370772176134</v>
      </c>
      <c r="N408" t="s">
        <v>357</v>
      </c>
      <c r="O408" t="s">
        <v>359</v>
      </c>
    </row>
    <row r="409" spans="1:15" x14ac:dyDescent="0.3">
      <c r="A409" t="s">
        <v>189</v>
      </c>
      <c r="B409" t="s">
        <v>28</v>
      </c>
      <c r="C409" s="2">
        <v>45484</v>
      </c>
      <c r="D409" t="s">
        <v>19</v>
      </c>
      <c r="E409" t="s">
        <v>78</v>
      </c>
      <c r="F409">
        <v>3134</v>
      </c>
      <c r="G409">
        <v>888</v>
      </c>
      <c r="H409">
        <v>444</v>
      </c>
      <c r="I409">
        <v>21938</v>
      </c>
      <c r="J409">
        <v>21337</v>
      </c>
      <c r="K409">
        <v>130</v>
      </c>
      <c r="L409" t="s">
        <v>32</v>
      </c>
      <c r="M409">
        <v>0.20357370772176134</v>
      </c>
      <c r="N409" t="s">
        <v>358</v>
      </c>
      <c r="O409" t="s">
        <v>359</v>
      </c>
    </row>
    <row r="410" spans="1:15" x14ac:dyDescent="0.3">
      <c r="A410" t="s">
        <v>190</v>
      </c>
      <c r="B410" t="s">
        <v>35</v>
      </c>
      <c r="C410" s="2">
        <v>45504</v>
      </c>
      <c r="D410" t="s">
        <v>56</v>
      </c>
      <c r="E410" t="s">
        <v>57</v>
      </c>
      <c r="F410">
        <v>3008</v>
      </c>
      <c r="G410">
        <v>94</v>
      </c>
      <c r="H410">
        <v>37</v>
      </c>
      <c r="I410">
        <v>15040</v>
      </c>
      <c r="J410">
        <v>14639</v>
      </c>
      <c r="K410">
        <v>277</v>
      </c>
      <c r="L410" t="s">
        <v>360</v>
      </c>
      <c r="M410">
        <v>0.20871010638297871</v>
      </c>
      <c r="N410" t="s">
        <v>11</v>
      </c>
      <c r="O410" t="s">
        <v>48</v>
      </c>
    </row>
    <row r="411" spans="1:15" x14ac:dyDescent="0.3">
      <c r="A411" t="s">
        <v>190</v>
      </c>
      <c r="B411" t="s">
        <v>35</v>
      </c>
      <c r="C411" s="2">
        <v>45504</v>
      </c>
      <c r="D411" t="s">
        <v>56</v>
      </c>
      <c r="E411" t="s">
        <v>57</v>
      </c>
      <c r="F411">
        <v>3008</v>
      </c>
      <c r="G411">
        <v>94</v>
      </c>
      <c r="H411">
        <v>37</v>
      </c>
      <c r="I411">
        <v>15040</v>
      </c>
      <c r="J411">
        <v>14639</v>
      </c>
      <c r="K411">
        <v>277</v>
      </c>
      <c r="L411" t="s">
        <v>360</v>
      </c>
      <c r="M411">
        <v>0.20871010638297871</v>
      </c>
      <c r="N411" t="s">
        <v>357</v>
      </c>
      <c r="O411" t="s">
        <v>359</v>
      </c>
    </row>
    <row r="412" spans="1:15" x14ac:dyDescent="0.3">
      <c r="A412" t="s">
        <v>190</v>
      </c>
      <c r="B412" t="s">
        <v>35</v>
      </c>
      <c r="C412" s="2">
        <v>45504</v>
      </c>
      <c r="D412" t="s">
        <v>56</v>
      </c>
      <c r="E412" t="s">
        <v>57</v>
      </c>
      <c r="F412">
        <v>3008</v>
      </c>
      <c r="G412">
        <v>94</v>
      </c>
      <c r="H412">
        <v>37</v>
      </c>
      <c r="I412">
        <v>15040</v>
      </c>
      <c r="J412">
        <v>14639</v>
      </c>
      <c r="K412">
        <v>277</v>
      </c>
      <c r="L412" t="s">
        <v>360</v>
      </c>
      <c r="M412">
        <v>0.20871010638297871</v>
      </c>
      <c r="N412" t="s">
        <v>358</v>
      </c>
      <c r="O412" t="s">
        <v>359</v>
      </c>
    </row>
    <row r="413" spans="1:15" x14ac:dyDescent="0.3">
      <c r="A413" t="s">
        <v>191</v>
      </c>
      <c r="B413" t="s">
        <v>14</v>
      </c>
      <c r="C413" s="2">
        <v>45745</v>
      </c>
      <c r="D413" t="s">
        <v>41</v>
      </c>
      <c r="E413" t="s">
        <v>88</v>
      </c>
      <c r="F413">
        <v>305</v>
      </c>
      <c r="G413">
        <v>187</v>
      </c>
      <c r="H413">
        <v>243</v>
      </c>
      <c r="I413">
        <v>4575</v>
      </c>
      <c r="J413">
        <v>3704</v>
      </c>
      <c r="K413">
        <v>234</v>
      </c>
      <c r="L413" t="s">
        <v>26</v>
      </c>
      <c r="M413">
        <v>0.16065573770491803</v>
      </c>
      <c r="N413" t="s">
        <v>11</v>
      </c>
      <c r="O413" t="s">
        <v>48</v>
      </c>
    </row>
    <row r="414" spans="1:15" x14ac:dyDescent="0.3">
      <c r="A414" t="s">
        <v>191</v>
      </c>
      <c r="B414" t="s">
        <v>14</v>
      </c>
      <c r="C414" s="2">
        <v>45745</v>
      </c>
      <c r="D414" t="s">
        <v>41</v>
      </c>
      <c r="E414" t="s">
        <v>88</v>
      </c>
      <c r="F414">
        <v>305</v>
      </c>
      <c r="G414">
        <v>187</v>
      </c>
      <c r="H414">
        <v>243</v>
      </c>
      <c r="I414">
        <v>4575</v>
      </c>
      <c r="J414">
        <v>3704</v>
      </c>
      <c r="K414">
        <v>234</v>
      </c>
      <c r="L414" t="s">
        <v>26</v>
      </c>
      <c r="M414">
        <v>0.16065573770491803</v>
      </c>
      <c r="N414" t="s">
        <v>357</v>
      </c>
      <c r="O414" t="s">
        <v>359</v>
      </c>
    </row>
    <row r="415" spans="1:15" x14ac:dyDescent="0.3">
      <c r="A415" t="s">
        <v>191</v>
      </c>
      <c r="B415" t="s">
        <v>14</v>
      </c>
      <c r="C415" s="2">
        <v>45745</v>
      </c>
      <c r="D415" t="s">
        <v>41</v>
      </c>
      <c r="E415" t="s">
        <v>88</v>
      </c>
      <c r="F415">
        <v>305</v>
      </c>
      <c r="G415">
        <v>187</v>
      </c>
      <c r="H415">
        <v>243</v>
      </c>
      <c r="I415">
        <v>4575</v>
      </c>
      <c r="J415">
        <v>3704</v>
      </c>
      <c r="K415">
        <v>234</v>
      </c>
      <c r="L415" t="s">
        <v>26</v>
      </c>
      <c r="M415">
        <v>0.16065573770491803</v>
      </c>
      <c r="N415" t="s">
        <v>358</v>
      </c>
      <c r="O415" t="s">
        <v>359</v>
      </c>
    </row>
    <row r="416" spans="1:15" x14ac:dyDescent="0.3">
      <c r="A416" t="s">
        <v>192</v>
      </c>
      <c r="B416" t="s">
        <v>23</v>
      </c>
      <c r="C416" s="2">
        <v>45594</v>
      </c>
      <c r="D416" t="s">
        <v>19</v>
      </c>
      <c r="E416" t="s">
        <v>73</v>
      </c>
      <c r="F416">
        <v>2746</v>
      </c>
      <c r="G416">
        <v>156</v>
      </c>
      <c r="H416">
        <v>203</v>
      </c>
      <c r="I416">
        <v>32952</v>
      </c>
      <c r="J416">
        <v>32147</v>
      </c>
      <c r="K416">
        <v>147</v>
      </c>
      <c r="L416" t="s">
        <v>17</v>
      </c>
      <c r="M416">
        <v>9.422796795338674E-2</v>
      </c>
      <c r="N416" t="s">
        <v>11</v>
      </c>
      <c r="O416" t="s">
        <v>31</v>
      </c>
    </row>
    <row r="417" spans="1:15" x14ac:dyDescent="0.3">
      <c r="A417" t="s">
        <v>192</v>
      </c>
      <c r="B417" t="s">
        <v>23</v>
      </c>
      <c r="C417" s="2">
        <v>45594</v>
      </c>
      <c r="D417" t="s">
        <v>19</v>
      </c>
      <c r="E417" t="s">
        <v>73</v>
      </c>
      <c r="F417">
        <v>2746</v>
      </c>
      <c r="G417">
        <v>156</v>
      </c>
      <c r="H417">
        <v>203</v>
      </c>
      <c r="I417">
        <v>32952</v>
      </c>
      <c r="J417">
        <v>32147</v>
      </c>
      <c r="K417">
        <v>147</v>
      </c>
      <c r="L417" t="s">
        <v>17</v>
      </c>
      <c r="M417">
        <v>9.422796795338674E-2</v>
      </c>
      <c r="N417" t="s">
        <v>357</v>
      </c>
      <c r="O417" t="s">
        <v>359</v>
      </c>
    </row>
    <row r="418" spans="1:15" x14ac:dyDescent="0.3">
      <c r="A418" t="s">
        <v>192</v>
      </c>
      <c r="B418" t="s">
        <v>23</v>
      </c>
      <c r="C418" s="2">
        <v>45594</v>
      </c>
      <c r="D418" t="s">
        <v>19</v>
      </c>
      <c r="E418" t="s">
        <v>73</v>
      </c>
      <c r="F418">
        <v>2746</v>
      </c>
      <c r="G418">
        <v>156</v>
      </c>
      <c r="H418">
        <v>203</v>
      </c>
      <c r="I418">
        <v>32952</v>
      </c>
      <c r="J418">
        <v>32147</v>
      </c>
      <c r="K418">
        <v>147</v>
      </c>
      <c r="L418" t="s">
        <v>17</v>
      </c>
      <c r="M418">
        <v>9.422796795338674E-2</v>
      </c>
      <c r="N418" t="s">
        <v>358</v>
      </c>
      <c r="O418" t="s">
        <v>359</v>
      </c>
    </row>
    <row r="419" spans="1:15" x14ac:dyDescent="0.3">
      <c r="A419" t="s">
        <v>193</v>
      </c>
      <c r="B419" t="s">
        <v>35</v>
      </c>
      <c r="C419" s="2">
        <v>45488</v>
      </c>
      <c r="D419" t="s">
        <v>41</v>
      </c>
      <c r="E419" t="s">
        <v>46</v>
      </c>
      <c r="F419">
        <v>2291</v>
      </c>
      <c r="G419">
        <v>78</v>
      </c>
      <c r="H419">
        <v>485</v>
      </c>
      <c r="I419">
        <v>18328</v>
      </c>
      <c r="J419">
        <v>18101</v>
      </c>
      <c r="K419">
        <v>10</v>
      </c>
      <c r="L419" t="s">
        <v>21</v>
      </c>
      <c r="M419">
        <v>0.15571802706241816</v>
      </c>
      <c r="N419" t="s">
        <v>11</v>
      </c>
      <c r="O419" t="s">
        <v>31</v>
      </c>
    </row>
    <row r="420" spans="1:15" x14ac:dyDescent="0.3">
      <c r="A420" t="s">
        <v>193</v>
      </c>
      <c r="B420" t="s">
        <v>35</v>
      </c>
      <c r="C420" s="2">
        <v>45488</v>
      </c>
      <c r="D420" t="s">
        <v>41</v>
      </c>
      <c r="E420" t="s">
        <v>46</v>
      </c>
      <c r="F420">
        <v>2291</v>
      </c>
      <c r="G420">
        <v>78</v>
      </c>
      <c r="H420">
        <v>485</v>
      </c>
      <c r="I420">
        <v>18328</v>
      </c>
      <c r="J420">
        <v>18101</v>
      </c>
      <c r="K420">
        <v>10</v>
      </c>
      <c r="L420" t="s">
        <v>21</v>
      </c>
      <c r="M420">
        <v>0.15571802706241816</v>
      </c>
      <c r="N420" t="s">
        <v>357</v>
      </c>
      <c r="O420" t="s">
        <v>356</v>
      </c>
    </row>
    <row r="421" spans="1:15" x14ac:dyDescent="0.3">
      <c r="A421" t="s">
        <v>193</v>
      </c>
      <c r="B421" t="s">
        <v>35</v>
      </c>
      <c r="C421" s="2">
        <v>45488</v>
      </c>
      <c r="D421" t="s">
        <v>41</v>
      </c>
      <c r="E421" t="s">
        <v>46</v>
      </c>
      <c r="F421">
        <v>2291</v>
      </c>
      <c r="G421">
        <v>78</v>
      </c>
      <c r="H421">
        <v>485</v>
      </c>
      <c r="I421">
        <v>18328</v>
      </c>
      <c r="J421">
        <v>18101</v>
      </c>
      <c r="K421">
        <v>10</v>
      </c>
      <c r="L421" t="s">
        <v>21</v>
      </c>
      <c r="M421">
        <v>0.15571802706241816</v>
      </c>
      <c r="N421" t="s">
        <v>358</v>
      </c>
      <c r="O421" t="s">
        <v>359</v>
      </c>
    </row>
    <row r="422" spans="1:15" x14ac:dyDescent="0.3">
      <c r="A422" t="s">
        <v>194</v>
      </c>
      <c r="B422" t="s">
        <v>14</v>
      </c>
      <c r="C422" s="2">
        <v>45535</v>
      </c>
      <c r="D422" t="s">
        <v>41</v>
      </c>
      <c r="E422" t="s">
        <v>88</v>
      </c>
      <c r="F422">
        <v>3170</v>
      </c>
      <c r="G422">
        <v>857</v>
      </c>
      <c r="H422">
        <v>379</v>
      </c>
      <c r="I422">
        <v>19020</v>
      </c>
      <c r="J422">
        <v>18559</v>
      </c>
      <c r="K422">
        <v>240</v>
      </c>
      <c r="L422" t="s">
        <v>360</v>
      </c>
      <c r="M422">
        <v>0.2316508937960042</v>
      </c>
      <c r="N422" t="s">
        <v>11</v>
      </c>
      <c r="O422" t="s">
        <v>48</v>
      </c>
    </row>
    <row r="423" spans="1:15" x14ac:dyDescent="0.3">
      <c r="A423" t="s">
        <v>194</v>
      </c>
      <c r="B423" t="s">
        <v>14</v>
      </c>
      <c r="C423" s="2">
        <v>45535</v>
      </c>
      <c r="D423" t="s">
        <v>41</v>
      </c>
      <c r="E423" t="s">
        <v>88</v>
      </c>
      <c r="F423">
        <v>3170</v>
      </c>
      <c r="G423">
        <v>857</v>
      </c>
      <c r="H423">
        <v>379</v>
      </c>
      <c r="I423">
        <v>19020</v>
      </c>
      <c r="J423">
        <v>18559</v>
      </c>
      <c r="K423">
        <v>240</v>
      </c>
      <c r="L423" t="s">
        <v>360</v>
      </c>
      <c r="M423">
        <v>0.2316508937960042</v>
      </c>
      <c r="N423" t="s">
        <v>357</v>
      </c>
      <c r="O423" t="s">
        <v>359</v>
      </c>
    </row>
    <row r="424" spans="1:15" x14ac:dyDescent="0.3">
      <c r="A424" t="s">
        <v>194</v>
      </c>
      <c r="B424" t="s">
        <v>14</v>
      </c>
      <c r="C424" s="2">
        <v>45535</v>
      </c>
      <c r="D424" t="s">
        <v>41</v>
      </c>
      <c r="E424" t="s">
        <v>88</v>
      </c>
      <c r="F424">
        <v>3170</v>
      </c>
      <c r="G424">
        <v>857</v>
      </c>
      <c r="H424">
        <v>379</v>
      </c>
      <c r="I424">
        <v>19020</v>
      </c>
      <c r="J424">
        <v>18559</v>
      </c>
      <c r="K424">
        <v>240</v>
      </c>
      <c r="L424" t="s">
        <v>360</v>
      </c>
      <c r="M424">
        <v>0.2316508937960042</v>
      </c>
      <c r="N424" t="s">
        <v>358</v>
      </c>
      <c r="O424" t="s">
        <v>359</v>
      </c>
    </row>
    <row r="425" spans="1:15" x14ac:dyDescent="0.3">
      <c r="A425" t="s">
        <v>195</v>
      </c>
      <c r="B425" t="s">
        <v>23</v>
      </c>
      <c r="C425" s="2">
        <v>45741</v>
      </c>
      <c r="D425" t="s">
        <v>29</v>
      </c>
      <c r="E425" t="s">
        <v>101</v>
      </c>
      <c r="F425">
        <v>2070</v>
      </c>
      <c r="G425">
        <v>275</v>
      </c>
      <c r="H425">
        <v>386</v>
      </c>
      <c r="I425">
        <v>39330</v>
      </c>
      <c r="J425">
        <v>38627</v>
      </c>
      <c r="K425">
        <v>114</v>
      </c>
      <c r="L425" t="s">
        <v>32</v>
      </c>
      <c r="M425">
        <v>6.9438087973557078E-2</v>
      </c>
      <c r="N425" t="s">
        <v>11</v>
      </c>
      <c r="O425" t="s">
        <v>48</v>
      </c>
    </row>
    <row r="426" spans="1:15" x14ac:dyDescent="0.3">
      <c r="A426" t="s">
        <v>195</v>
      </c>
      <c r="B426" t="s">
        <v>23</v>
      </c>
      <c r="C426" s="2">
        <v>45741</v>
      </c>
      <c r="D426" t="s">
        <v>29</v>
      </c>
      <c r="E426" t="s">
        <v>101</v>
      </c>
      <c r="F426">
        <v>2070</v>
      </c>
      <c r="G426">
        <v>275</v>
      </c>
      <c r="H426">
        <v>386</v>
      </c>
      <c r="I426">
        <v>39330</v>
      </c>
      <c r="J426">
        <v>38627</v>
      </c>
      <c r="K426">
        <v>114</v>
      </c>
      <c r="L426" t="s">
        <v>32</v>
      </c>
      <c r="M426">
        <v>6.9438087973557078E-2</v>
      </c>
      <c r="N426" t="s">
        <v>357</v>
      </c>
      <c r="O426" t="s">
        <v>359</v>
      </c>
    </row>
    <row r="427" spans="1:15" x14ac:dyDescent="0.3">
      <c r="A427" t="s">
        <v>195</v>
      </c>
      <c r="B427" t="s">
        <v>23</v>
      </c>
      <c r="C427" s="2">
        <v>45741</v>
      </c>
      <c r="D427" t="s">
        <v>29</v>
      </c>
      <c r="E427" t="s">
        <v>101</v>
      </c>
      <c r="F427">
        <v>2070</v>
      </c>
      <c r="G427">
        <v>275</v>
      </c>
      <c r="H427">
        <v>386</v>
      </c>
      <c r="I427">
        <v>39330</v>
      </c>
      <c r="J427">
        <v>38627</v>
      </c>
      <c r="K427">
        <v>114</v>
      </c>
      <c r="L427" t="s">
        <v>32</v>
      </c>
      <c r="M427">
        <v>6.9438087973557078E-2</v>
      </c>
      <c r="N427" t="s">
        <v>358</v>
      </c>
      <c r="O427" t="s">
        <v>359</v>
      </c>
    </row>
    <row r="428" spans="1:15" x14ac:dyDescent="0.3">
      <c r="A428" t="s">
        <v>196</v>
      </c>
      <c r="B428" t="s">
        <v>23</v>
      </c>
      <c r="C428" s="2">
        <v>45567</v>
      </c>
      <c r="D428" t="s">
        <v>36</v>
      </c>
      <c r="E428" t="s">
        <v>52</v>
      </c>
      <c r="F428">
        <v>80</v>
      </c>
      <c r="G428">
        <v>362</v>
      </c>
      <c r="H428">
        <v>80</v>
      </c>
      <c r="I428">
        <v>1040</v>
      </c>
      <c r="J428">
        <v>349</v>
      </c>
      <c r="K428">
        <v>117</v>
      </c>
      <c r="L428" t="s">
        <v>26</v>
      </c>
      <c r="M428">
        <v>0.50192307692307692</v>
      </c>
      <c r="N428" t="s">
        <v>11</v>
      </c>
      <c r="O428" t="s">
        <v>25</v>
      </c>
    </row>
    <row r="429" spans="1:15" x14ac:dyDescent="0.3">
      <c r="A429" t="s">
        <v>196</v>
      </c>
      <c r="B429" t="s">
        <v>23</v>
      </c>
      <c r="C429" s="2">
        <v>45567</v>
      </c>
      <c r="D429" t="s">
        <v>36</v>
      </c>
      <c r="E429" t="s">
        <v>52</v>
      </c>
      <c r="F429">
        <v>80</v>
      </c>
      <c r="G429">
        <v>362</v>
      </c>
      <c r="H429">
        <v>80</v>
      </c>
      <c r="I429">
        <v>1040</v>
      </c>
      <c r="J429">
        <v>349</v>
      </c>
      <c r="K429">
        <v>117</v>
      </c>
      <c r="L429" t="s">
        <v>26</v>
      </c>
      <c r="M429">
        <v>0.50192307692307692</v>
      </c>
      <c r="N429" t="s">
        <v>357</v>
      </c>
      <c r="O429" t="s">
        <v>359</v>
      </c>
    </row>
    <row r="430" spans="1:15" x14ac:dyDescent="0.3">
      <c r="A430" t="s">
        <v>196</v>
      </c>
      <c r="B430" t="s">
        <v>23</v>
      </c>
      <c r="C430" s="2">
        <v>45567</v>
      </c>
      <c r="D430" t="s">
        <v>36</v>
      </c>
      <c r="E430" t="s">
        <v>52</v>
      </c>
      <c r="F430">
        <v>80</v>
      </c>
      <c r="G430">
        <v>362</v>
      </c>
      <c r="H430">
        <v>80</v>
      </c>
      <c r="I430">
        <v>1040</v>
      </c>
      <c r="J430">
        <v>349</v>
      </c>
      <c r="K430">
        <v>117</v>
      </c>
      <c r="L430" t="s">
        <v>26</v>
      </c>
      <c r="M430">
        <v>0.50192307692307692</v>
      </c>
      <c r="N430" t="s">
        <v>358</v>
      </c>
      <c r="O430" t="s">
        <v>359</v>
      </c>
    </row>
    <row r="431" spans="1:15" x14ac:dyDescent="0.3">
      <c r="A431" t="s">
        <v>197</v>
      </c>
      <c r="B431" t="s">
        <v>23</v>
      </c>
      <c r="C431" s="2">
        <v>45593</v>
      </c>
      <c r="D431" t="s">
        <v>29</v>
      </c>
      <c r="E431" t="s">
        <v>101</v>
      </c>
      <c r="F431">
        <v>4929</v>
      </c>
      <c r="G431">
        <v>749</v>
      </c>
      <c r="H431">
        <v>452</v>
      </c>
      <c r="I431">
        <v>93651</v>
      </c>
      <c r="J431">
        <v>92810</v>
      </c>
      <c r="K431">
        <v>66</v>
      </c>
      <c r="L431" t="s">
        <v>32</v>
      </c>
      <c r="M431">
        <v>6.5455787978772245E-2</v>
      </c>
      <c r="N431" t="s">
        <v>11</v>
      </c>
      <c r="O431" t="s">
        <v>31</v>
      </c>
    </row>
    <row r="432" spans="1:15" x14ac:dyDescent="0.3">
      <c r="A432" t="s">
        <v>197</v>
      </c>
      <c r="B432" t="s">
        <v>23</v>
      </c>
      <c r="C432" s="2">
        <v>45593</v>
      </c>
      <c r="D432" t="s">
        <v>29</v>
      </c>
      <c r="E432" t="s">
        <v>101</v>
      </c>
      <c r="F432">
        <v>4929</v>
      </c>
      <c r="G432">
        <v>749</v>
      </c>
      <c r="H432">
        <v>452</v>
      </c>
      <c r="I432">
        <v>93651</v>
      </c>
      <c r="J432">
        <v>92810</v>
      </c>
      <c r="K432">
        <v>66</v>
      </c>
      <c r="L432" t="s">
        <v>32</v>
      </c>
      <c r="M432">
        <v>6.5455787978772245E-2</v>
      </c>
      <c r="N432" t="s">
        <v>357</v>
      </c>
      <c r="O432" t="s">
        <v>359</v>
      </c>
    </row>
    <row r="433" spans="1:15" x14ac:dyDescent="0.3">
      <c r="A433" t="s">
        <v>197</v>
      </c>
      <c r="B433" t="s">
        <v>23</v>
      </c>
      <c r="C433" s="2">
        <v>45593</v>
      </c>
      <c r="D433" t="s">
        <v>29</v>
      </c>
      <c r="E433" t="s">
        <v>101</v>
      </c>
      <c r="F433">
        <v>4929</v>
      </c>
      <c r="G433">
        <v>749</v>
      </c>
      <c r="H433">
        <v>452</v>
      </c>
      <c r="I433">
        <v>93651</v>
      </c>
      <c r="J433">
        <v>92810</v>
      </c>
      <c r="K433">
        <v>66</v>
      </c>
      <c r="L433" t="s">
        <v>32</v>
      </c>
      <c r="M433">
        <v>6.5455787978772245E-2</v>
      </c>
      <c r="N433" t="s">
        <v>358</v>
      </c>
      <c r="O433" t="s">
        <v>359</v>
      </c>
    </row>
    <row r="434" spans="1:15" x14ac:dyDescent="0.3">
      <c r="A434" t="s">
        <v>198</v>
      </c>
      <c r="B434" t="s">
        <v>28</v>
      </c>
      <c r="C434" s="2">
        <v>45516</v>
      </c>
      <c r="D434" t="s">
        <v>36</v>
      </c>
      <c r="E434" t="s">
        <v>65</v>
      </c>
      <c r="F434">
        <v>1878</v>
      </c>
      <c r="G434">
        <v>62</v>
      </c>
      <c r="H434">
        <v>179</v>
      </c>
      <c r="I434">
        <v>37560</v>
      </c>
      <c r="J434">
        <v>36874</v>
      </c>
      <c r="K434">
        <v>142</v>
      </c>
      <c r="L434" t="s">
        <v>32</v>
      </c>
      <c r="M434">
        <v>5.6416400425985093E-2</v>
      </c>
      <c r="N434" t="s">
        <v>11</v>
      </c>
      <c r="O434" t="s">
        <v>25</v>
      </c>
    </row>
    <row r="435" spans="1:15" x14ac:dyDescent="0.3">
      <c r="A435" t="s">
        <v>198</v>
      </c>
      <c r="B435" t="s">
        <v>28</v>
      </c>
      <c r="C435" s="2">
        <v>45516</v>
      </c>
      <c r="D435" t="s">
        <v>36</v>
      </c>
      <c r="E435" t="s">
        <v>65</v>
      </c>
      <c r="F435">
        <v>1878</v>
      </c>
      <c r="G435">
        <v>62</v>
      </c>
      <c r="H435">
        <v>179</v>
      </c>
      <c r="I435">
        <v>37560</v>
      </c>
      <c r="J435">
        <v>36874</v>
      </c>
      <c r="K435">
        <v>142</v>
      </c>
      <c r="L435" t="s">
        <v>32</v>
      </c>
      <c r="M435">
        <v>5.6416400425985093E-2</v>
      </c>
      <c r="N435" t="s">
        <v>357</v>
      </c>
      <c r="O435" t="s">
        <v>359</v>
      </c>
    </row>
    <row r="436" spans="1:15" x14ac:dyDescent="0.3">
      <c r="A436" t="s">
        <v>198</v>
      </c>
      <c r="B436" t="s">
        <v>28</v>
      </c>
      <c r="C436" s="2">
        <v>45516</v>
      </c>
      <c r="D436" t="s">
        <v>36</v>
      </c>
      <c r="E436" t="s">
        <v>65</v>
      </c>
      <c r="F436">
        <v>1878</v>
      </c>
      <c r="G436">
        <v>62</v>
      </c>
      <c r="H436">
        <v>179</v>
      </c>
      <c r="I436">
        <v>37560</v>
      </c>
      <c r="J436">
        <v>36874</v>
      </c>
      <c r="K436">
        <v>142</v>
      </c>
      <c r="L436" t="s">
        <v>32</v>
      </c>
      <c r="M436">
        <v>5.6416400425985093E-2</v>
      </c>
      <c r="N436" t="s">
        <v>358</v>
      </c>
      <c r="O436" t="s">
        <v>359</v>
      </c>
    </row>
    <row r="437" spans="1:15" x14ac:dyDescent="0.3">
      <c r="A437" t="s">
        <v>199</v>
      </c>
      <c r="B437" t="s">
        <v>23</v>
      </c>
      <c r="C437" s="2">
        <v>45448</v>
      </c>
      <c r="D437" t="s">
        <v>15</v>
      </c>
      <c r="E437" t="s">
        <v>24</v>
      </c>
      <c r="F437">
        <v>3065</v>
      </c>
      <c r="G437">
        <v>772</v>
      </c>
      <c r="H437">
        <v>142</v>
      </c>
      <c r="I437">
        <v>18390</v>
      </c>
      <c r="J437">
        <v>17875</v>
      </c>
      <c r="K437">
        <v>200</v>
      </c>
      <c r="L437" t="s">
        <v>360</v>
      </c>
      <c r="M437">
        <v>0.21636759108210984</v>
      </c>
      <c r="N437" t="s">
        <v>11</v>
      </c>
      <c r="O437" t="s">
        <v>31</v>
      </c>
    </row>
    <row r="438" spans="1:15" x14ac:dyDescent="0.3">
      <c r="A438" t="s">
        <v>199</v>
      </c>
      <c r="B438" t="s">
        <v>23</v>
      </c>
      <c r="C438" s="2">
        <v>45448</v>
      </c>
      <c r="D438" t="s">
        <v>15</v>
      </c>
      <c r="E438" t="s">
        <v>24</v>
      </c>
      <c r="F438">
        <v>3065</v>
      </c>
      <c r="G438">
        <v>772</v>
      </c>
      <c r="H438">
        <v>142</v>
      </c>
      <c r="I438">
        <v>18390</v>
      </c>
      <c r="J438">
        <v>17875</v>
      </c>
      <c r="K438">
        <v>200</v>
      </c>
      <c r="L438" t="s">
        <v>360</v>
      </c>
      <c r="M438">
        <v>0.21636759108210984</v>
      </c>
      <c r="N438" t="s">
        <v>357</v>
      </c>
      <c r="O438" t="s">
        <v>354</v>
      </c>
    </row>
    <row r="439" spans="1:15" x14ac:dyDescent="0.3">
      <c r="A439" t="s">
        <v>199</v>
      </c>
      <c r="B439" t="s">
        <v>23</v>
      </c>
      <c r="C439" s="2">
        <v>45448</v>
      </c>
      <c r="D439" t="s">
        <v>15</v>
      </c>
      <c r="E439" t="s">
        <v>24</v>
      </c>
      <c r="F439">
        <v>3065</v>
      </c>
      <c r="G439">
        <v>772</v>
      </c>
      <c r="H439">
        <v>142</v>
      </c>
      <c r="I439">
        <v>18390</v>
      </c>
      <c r="J439">
        <v>17875</v>
      </c>
      <c r="K439">
        <v>200</v>
      </c>
      <c r="L439" t="s">
        <v>360</v>
      </c>
      <c r="M439">
        <v>0.21636759108210984</v>
      </c>
      <c r="N439" t="s">
        <v>358</v>
      </c>
      <c r="O439" t="s">
        <v>359</v>
      </c>
    </row>
    <row r="440" spans="1:15" x14ac:dyDescent="0.3">
      <c r="A440" t="s">
        <v>200</v>
      </c>
      <c r="B440" t="s">
        <v>28</v>
      </c>
      <c r="C440" s="2">
        <v>45586</v>
      </c>
      <c r="D440" t="s">
        <v>15</v>
      </c>
      <c r="E440" t="s">
        <v>61</v>
      </c>
      <c r="F440">
        <v>3256</v>
      </c>
      <c r="G440">
        <v>459</v>
      </c>
      <c r="H440">
        <v>266</v>
      </c>
      <c r="I440">
        <v>26048</v>
      </c>
      <c r="J440">
        <v>25529</v>
      </c>
      <c r="K440">
        <v>143</v>
      </c>
      <c r="L440" t="s">
        <v>21</v>
      </c>
      <c r="M440">
        <v>0.15283323095823095</v>
      </c>
      <c r="N440" t="s">
        <v>11</v>
      </c>
      <c r="O440" t="s">
        <v>25</v>
      </c>
    </row>
    <row r="441" spans="1:15" x14ac:dyDescent="0.3">
      <c r="A441" t="s">
        <v>200</v>
      </c>
      <c r="B441" t="s">
        <v>28</v>
      </c>
      <c r="C441" s="2">
        <v>45586</v>
      </c>
      <c r="D441" t="s">
        <v>15</v>
      </c>
      <c r="E441" t="s">
        <v>61</v>
      </c>
      <c r="F441">
        <v>3256</v>
      </c>
      <c r="G441">
        <v>459</v>
      </c>
      <c r="H441">
        <v>266</v>
      </c>
      <c r="I441">
        <v>26048</v>
      </c>
      <c r="J441">
        <v>25529</v>
      </c>
      <c r="K441">
        <v>143</v>
      </c>
      <c r="L441" t="s">
        <v>21</v>
      </c>
      <c r="M441">
        <v>0.15283323095823095</v>
      </c>
      <c r="N441" t="s">
        <v>357</v>
      </c>
      <c r="O441" t="s">
        <v>359</v>
      </c>
    </row>
    <row r="442" spans="1:15" x14ac:dyDescent="0.3">
      <c r="A442" t="s">
        <v>200</v>
      </c>
      <c r="B442" t="s">
        <v>28</v>
      </c>
      <c r="C442" s="2">
        <v>45586</v>
      </c>
      <c r="D442" t="s">
        <v>15</v>
      </c>
      <c r="E442" t="s">
        <v>61</v>
      </c>
      <c r="F442">
        <v>3256</v>
      </c>
      <c r="G442">
        <v>459</v>
      </c>
      <c r="H442">
        <v>266</v>
      </c>
      <c r="I442">
        <v>26048</v>
      </c>
      <c r="J442">
        <v>25529</v>
      </c>
      <c r="K442">
        <v>143</v>
      </c>
      <c r="L442" t="s">
        <v>21</v>
      </c>
      <c r="M442">
        <v>0.15283323095823095</v>
      </c>
      <c r="N442" t="s">
        <v>358</v>
      </c>
      <c r="O442" t="s">
        <v>359</v>
      </c>
    </row>
    <row r="443" spans="1:15" x14ac:dyDescent="0.3">
      <c r="A443" t="s">
        <v>201</v>
      </c>
      <c r="B443" t="s">
        <v>28</v>
      </c>
      <c r="C443" s="2">
        <v>45762</v>
      </c>
      <c r="D443" t="s">
        <v>56</v>
      </c>
      <c r="E443" t="s">
        <v>63</v>
      </c>
      <c r="F443">
        <v>4133</v>
      </c>
      <c r="G443">
        <v>466</v>
      </c>
      <c r="H443">
        <v>327</v>
      </c>
      <c r="I443">
        <v>24798</v>
      </c>
      <c r="J443">
        <v>24620</v>
      </c>
      <c r="K443">
        <v>176</v>
      </c>
      <c r="L443" t="s">
        <v>32</v>
      </c>
      <c r="M443">
        <v>0.19864505202032423</v>
      </c>
      <c r="N443" t="s">
        <v>11</v>
      </c>
      <c r="O443" t="s">
        <v>31</v>
      </c>
    </row>
    <row r="444" spans="1:15" x14ac:dyDescent="0.3">
      <c r="A444" t="s">
        <v>201</v>
      </c>
      <c r="B444" t="s">
        <v>28</v>
      </c>
      <c r="C444" s="2">
        <v>45762</v>
      </c>
      <c r="D444" t="s">
        <v>56</v>
      </c>
      <c r="E444" t="s">
        <v>63</v>
      </c>
      <c r="F444">
        <v>4133</v>
      </c>
      <c r="G444">
        <v>466</v>
      </c>
      <c r="H444">
        <v>327</v>
      </c>
      <c r="I444">
        <v>24798</v>
      </c>
      <c r="J444">
        <v>24620</v>
      </c>
      <c r="K444">
        <v>176</v>
      </c>
      <c r="L444" t="s">
        <v>32</v>
      </c>
      <c r="M444">
        <v>0.19864505202032423</v>
      </c>
      <c r="N444" t="s">
        <v>357</v>
      </c>
      <c r="O444" t="s">
        <v>359</v>
      </c>
    </row>
    <row r="445" spans="1:15" x14ac:dyDescent="0.3">
      <c r="A445" t="s">
        <v>201</v>
      </c>
      <c r="B445" t="s">
        <v>28</v>
      </c>
      <c r="C445" s="2">
        <v>45762</v>
      </c>
      <c r="D445" t="s">
        <v>56</v>
      </c>
      <c r="E445" t="s">
        <v>63</v>
      </c>
      <c r="F445">
        <v>4133</v>
      </c>
      <c r="G445">
        <v>466</v>
      </c>
      <c r="H445">
        <v>327</v>
      </c>
      <c r="I445">
        <v>24798</v>
      </c>
      <c r="J445">
        <v>24620</v>
      </c>
      <c r="K445">
        <v>176</v>
      </c>
      <c r="L445" t="s">
        <v>32</v>
      </c>
      <c r="M445">
        <v>0.19864505202032423</v>
      </c>
      <c r="N445" t="s">
        <v>358</v>
      </c>
      <c r="O445" t="s">
        <v>359</v>
      </c>
    </row>
    <row r="446" spans="1:15" x14ac:dyDescent="0.3">
      <c r="A446" t="s">
        <v>202</v>
      </c>
      <c r="B446" t="s">
        <v>14</v>
      </c>
      <c r="C446" s="2">
        <v>45459</v>
      </c>
      <c r="D446" t="s">
        <v>56</v>
      </c>
      <c r="E446" t="s">
        <v>95</v>
      </c>
      <c r="F446">
        <v>1702</v>
      </c>
      <c r="G446">
        <v>750</v>
      </c>
      <c r="H446">
        <v>179</v>
      </c>
      <c r="I446">
        <v>34040</v>
      </c>
      <c r="J446">
        <v>33174</v>
      </c>
      <c r="K446">
        <v>76</v>
      </c>
      <c r="L446" t="s">
        <v>17</v>
      </c>
      <c r="M446">
        <v>7.7291421856639245E-2</v>
      </c>
      <c r="N446" t="s">
        <v>11</v>
      </c>
      <c r="O446" t="s">
        <v>31</v>
      </c>
    </row>
    <row r="447" spans="1:15" x14ac:dyDescent="0.3">
      <c r="A447" t="s">
        <v>202</v>
      </c>
      <c r="B447" t="s">
        <v>14</v>
      </c>
      <c r="C447" s="2">
        <v>45459</v>
      </c>
      <c r="D447" t="s">
        <v>56</v>
      </c>
      <c r="E447" t="s">
        <v>95</v>
      </c>
      <c r="F447">
        <v>1702</v>
      </c>
      <c r="G447">
        <v>750</v>
      </c>
      <c r="H447">
        <v>179</v>
      </c>
      <c r="I447">
        <v>34040</v>
      </c>
      <c r="J447">
        <v>33174</v>
      </c>
      <c r="K447">
        <v>76</v>
      </c>
      <c r="L447" t="s">
        <v>17</v>
      </c>
      <c r="M447">
        <v>7.7291421856639245E-2</v>
      </c>
      <c r="N447" t="s">
        <v>357</v>
      </c>
      <c r="O447" t="s">
        <v>359</v>
      </c>
    </row>
    <row r="448" spans="1:15" x14ac:dyDescent="0.3">
      <c r="A448" t="s">
        <v>202</v>
      </c>
      <c r="B448" t="s">
        <v>14</v>
      </c>
      <c r="C448" s="2">
        <v>45459</v>
      </c>
      <c r="D448" t="s">
        <v>56</v>
      </c>
      <c r="E448" t="s">
        <v>95</v>
      </c>
      <c r="F448">
        <v>1702</v>
      </c>
      <c r="G448">
        <v>750</v>
      </c>
      <c r="H448">
        <v>179</v>
      </c>
      <c r="I448">
        <v>34040</v>
      </c>
      <c r="J448">
        <v>33174</v>
      </c>
      <c r="K448">
        <v>76</v>
      </c>
      <c r="L448" t="s">
        <v>17</v>
      </c>
      <c r="M448">
        <v>7.7291421856639245E-2</v>
      </c>
      <c r="N448" t="s">
        <v>358</v>
      </c>
      <c r="O448" t="s">
        <v>359</v>
      </c>
    </row>
    <row r="449" spans="1:15" x14ac:dyDescent="0.3">
      <c r="A449" t="s">
        <v>203</v>
      </c>
      <c r="B449" t="s">
        <v>23</v>
      </c>
      <c r="C449" s="2">
        <v>45526</v>
      </c>
      <c r="D449" t="s">
        <v>36</v>
      </c>
      <c r="E449" t="s">
        <v>52</v>
      </c>
      <c r="F449">
        <v>4295</v>
      </c>
      <c r="G449">
        <v>853</v>
      </c>
      <c r="H449">
        <v>325</v>
      </c>
      <c r="I449">
        <v>85900</v>
      </c>
      <c r="J449">
        <v>85788</v>
      </c>
      <c r="K449">
        <v>290</v>
      </c>
      <c r="L449" t="s">
        <v>32</v>
      </c>
      <c r="M449">
        <v>6.3713620488940623E-2</v>
      </c>
      <c r="N449" t="s">
        <v>11</v>
      </c>
      <c r="O449" t="s">
        <v>25</v>
      </c>
    </row>
    <row r="450" spans="1:15" x14ac:dyDescent="0.3">
      <c r="A450" t="s">
        <v>203</v>
      </c>
      <c r="B450" t="s">
        <v>23</v>
      </c>
      <c r="C450" s="2">
        <v>45526</v>
      </c>
      <c r="D450" t="s">
        <v>36</v>
      </c>
      <c r="E450" t="s">
        <v>52</v>
      </c>
      <c r="F450">
        <v>4295</v>
      </c>
      <c r="G450">
        <v>853</v>
      </c>
      <c r="H450">
        <v>325</v>
      </c>
      <c r="I450">
        <v>85900</v>
      </c>
      <c r="J450">
        <v>85788</v>
      </c>
      <c r="K450">
        <v>290</v>
      </c>
      <c r="L450" t="s">
        <v>32</v>
      </c>
      <c r="M450">
        <v>6.3713620488940623E-2</v>
      </c>
      <c r="N450" t="s">
        <v>357</v>
      </c>
      <c r="O450" t="s">
        <v>359</v>
      </c>
    </row>
    <row r="451" spans="1:15" x14ac:dyDescent="0.3">
      <c r="A451" t="s">
        <v>203</v>
      </c>
      <c r="B451" t="s">
        <v>23</v>
      </c>
      <c r="C451" s="2">
        <v>45526</v>
      </c>
      <c r="D451" t="s">
        <v>36</v>
      </c>
      <c r="E451" t="s">
        <v>52</v>
      </c>
      <c r="F451">
        <v>4295</v>
      </c>
      <c r="G451">
        <v>853</v>
      </c>
      <c r="H451">
        <v>325</v>
      </c>
      <c r="I451">
        <v>85900</v>
      </c>
      <c r="J451">
        <v>85788</v>
      </c>
      <c r="K451">
        <v>290</v>
      </c>
      <c r="L451" t="s">
        <v>32</v>
      </c>
      <c r="M451">
        <v>6.3713620488940623E-2</v>
      </c>
      <c r="N451" t="s">
        <v>358</v>
      </c>
      <c r="O451" t="s">
        <v>359</v>
      </c>
    </row>
    <row r="452" spans="1:15" x14ac:dyDescent="0.3">
      <c r="A452" t="s">
        <v>204</v>
      </c>
      <c r="B452" t="s">
        <v>28</v>
      </c>
      <c r="C452" s="2">
        <v>45499</v>
      </c>
      <c r="D452" t="s">
        <v>41</v>
      </c>
      <c r="E452" t="s">
        <v>134</v>
      </c>
      <c r="F452">
        <v>3559</v>
      </c>
      <c r="G452">
        <v>59</v>
      </c>
      <c r="H452">
        <v>289</v>
      </c>
      <c r="I452">
        <v>35590</v>
      </c>
      <c r="J452">
        <v>35105</v>
      </c>
      <c r="K452">
        <v>122</v>
      </c>
      <c r="L452" t="s">
        <v>17</v>
      </c>
      <c r="M452">
        <v>0.10977802753582468</v>
      </c>
      <c r="N452" t="s">
        <v>11</v>
      </c>
      <c r="O452" t="s">
        <v>31</v>
      </c>
    </row>
    <row r="453" spans="1:15" x14ac:dyDescent="0.3">
      <c r="A453" t="s">
        <v>204</v>
      </c>
      <c r="B453" t="s">
        <v>28</v>
      </c>
      <c r="C453" s="2">
        <v>45499</v>
      </c>
      <c r="D453" t="s">
        <v>41</v>
      </c>
      <c r="E453" t="s">
        <v>134</v>
      </c>
      <c r="F453">
        <v>3559</v>
      </c>
      <c r="G453">
        <v>59</v>
      </c>
      <c r="H453">
        <v>289</v>
      </c>
      <c r="I453">
        <v>35590</v>
      </c>
      <c r="J453">
        <v>35105</v>
      </c>
      <c r="K453">
        <v>122</v>
      </c>
      <c r="L453" t="s">
        <v>17</v>
      </c>
      <c r="M453">
        <v>0.10977802753582468</v>
      </c>
      <c r="N453" t="s">
        <v>357</v>
      </c>
      <c r="O453" t="s">
        <v>359</v>
      </c>
    </row>
    <row r="454" spans="1:15" x14ac:dyDescent="0.3">
      <c r="A454" t="s">
        <v>204</v>
      </c>
      <c r="B454" t="s">
        <v>28</v>
      </c>
      <c r="C454" s="2">
        <v>45499</v>
      </c>
      <c r="D454" t="s">
        <v>41</v>
      </c>
      <c r="E454" t="s">
        <v>134</v>
      </c>
      <c r="F454">
        <v>3559</v>
      </c>
      <c r="G454">
        <v>59</v>
      </c>
      <c r="H454">
        <v>289</v>
      </c>
      <c r="I454">
        <v>35590</v>
      </c>
      <c r="J454">
        <v>35105</v>
      </c>
      <c r="K454">
        <v>122</v>
      </c>
      <c r="L454" t="s">
        <v>17</v>
      </c>
      <c r="M454">
        <v>0.10977802753582468</v>
      </c>
      <c r="N454" t="s">
        <v>358</v>
      </c>
      <c r="O454" t="s">
        <v>359</v>
      </c>
    </row>
    <row r="455" spans="1:15" x14ac:dyDescent="0.3">
      <c r="A455" t="s">
        <v>205</v>
      </c>
      <c r="B455" t="s">
        <v>35</v>
      </c>
      <c r="C455" s="2">
        <v>45769</v>
      </c>
      <c r="D455" t="s">
        <v>41</v>
      </c>
      <c r="E455" t="s">
        <v>46</v>
      </c>
      <c r="F455">
        <v>4804</v>
      </c>
      <c r="G455">
        <v>550</v>
      </c>
      <c r="H455">
        <v>270</v>
      </c>
      <c r="I455">
        <v>28824</v>
      </c>
      <c r="J455">
        <v>28370</v>
      </c>
      <c r="K455">
        <v>47</v>
      </c>
      <c r="L455" t="s">
        <v>32</v>
      </c>
      <c r="M455">
        <v>0.19511518179295032</v>
      </c>
      <c r="N455" t="s">
        <v>11</v>
      </c>
      <c r="O455" t="s">
        <v>31</v>
      </c>
    </row>
    <row r="456" spans="1:15" x14ac:dyDescent="0.3">
      <c r="A456" t="s">
        <v>205</v>
      </c>
      <c r="B456" t="s">
        <v>35</v>
      </c>
      <c r="C456" s="2">
        <v>45769</v>
      </c>
      <c r="D456" t="s">
        <v>41</v>
      </c>
      <c r="E456" t="s">
        <v>46</v>
      </c>
      <c r="F456">
        <v>4804</v>
      </c>
      <c r="G456">
        <v>550</v>
      </c>
      <c r="H456">
        <v>270</v>
      </c>
      <c r="I456">
        <v>28824</v>
      </c>
      <c r="J456">
        <v>28370</v>
      </c>
      <c r="K456">
        <v>47</v>
      </c>
      <c r="L456" t="s">
        <v>32</v>
      </c>
      <c r="M456">
        <v>0.19511518179295032</v>
      </c>
      <c r="N456" t="s">
        <v>357</v>
      </c>
      <c r="O456" t="s">
        <v>359</v>
      </c>
    </row>
    <row r="457" spans="1:15" x14ac:dyDescent="0.3">
      <c r="A457" t="s">
        <v>205</v>
      </c>
      <c r="B457" t="s">
        <v>35</v>
      </c>
      <c r="C457" s="2">
        <v>45769</v>
      </c>
      <c r="D457" t="s">
        <v>41</v>
      </c>
      <c r="E457" t="s">
        <v>46</v>
      </c>
      <c r="F457">
        <v>4804</v>
      </c>
      <c r="G457">
        <v>550</v>
      </c>
      <c r="H457">
        <v>270</v>
      </c>
      <c r="I457">
        <v>28824</v>
      </c>
      <c r="J457">
        <v>28370</v>
      </c>
      <c r="K457">
        <v>47</v>
      </c>
      <c r="L457" t="s">
        <v>32</v>
      </c>
      <c r="M457">
        <v>0.19511518179295032</v>
      </c>
      <c r="N457" t="s">
        <v>358</v>
      </c>
      <c r="O457" t="s">
        <v>359</v>
      </c>
    </row>
    <row r="458" spans="1:15" x14ac:dyDescent="0.3">
      <c r="A458" t="s">
        <v>206</v>
      </c>
      <c r="B458" t="s">
        <v>14</v>
      </c>
      <c r="C458" s="2">
        <v>45658</v>
      </c>
      <c r="D458" t="s">
        <v>56</v>
      </c>
      <c r="E458" t="s">
        <v>95</v>
      </c>
      <c r="F458">
        <v>754</v>
      </c>
      <c r="G458">
        <v>197</v>
      </c>
      <c r="H458">
        <v>257</v>
      </c>
      <c r="I458">
        <v>6786</v>
      </c>
      <c r="J458">
        <v>6221</v>
      </c>
      <c r="K458">
        <v>212</v>
      </c>
      <c r="L458" t="s">
        <v>26</v>
      </c>
      <c r="M458">
        <v>0.17801355732390214</v>
      </c>
      <c r="N458" t="s">
        <v>11</v>
      </c>
      <c r="O458" t="s">
        <v>25</v>
      </c>
    </row>
    <row r="459" spans="1:15" x14ac:dyDescent="0.3">
      <c r="A459" t="s">
        <v>206</v>
      </c>
      <c r="B459" t="s">
        <v>14</v>
      </c>
      <c r="C459" s="2">
        <v>45658</v>
      </c>
      <c r="D459" t="s">
        <v>56</v>
      </c>
      <c r="E459" t="s">
        <v>95</v>
      </c>
      <c r="F459">
        <v>754</v>
      </c>
      <c r="G459">
        <v>197</v>
      </c>
      <c r="H459">
        <v>257</v>
      </c>
      <c r="I459">
        <v>6786</v>
      </c>
      <c r="J459">
        <v>6221</v>
      </c>
      <c r="K459">
        <v>212</v>
      </c>
      <c r="L459" t="s">
        <v>26</v>
      </c>
      <c r="M459">
        <v>0.17801355732390214</v>
      </c>
      <c r="N459" t="s">
        <v>357</v>
      </c>
      <c r="O459" t="s">
        <v>359</v>
      </c>
    </row>
    <row r="460" spans="1:15" x14ac:dyDescent="0.3">
      <c r="A460" t="s">
        <v>206</v>
      </c>
      <c r="B460" t="s">
        <v>14</v>
      </c>
      <c r="C460" s="2">
        <v>45658</v>
      </c>
      <c r="D460" t="s">
        <v>56</v>
      </c>
      <c r="E460" t="s">
        <v>95</v>
      </c>
      <c r="F460">
        <v>754</v>
      </c>
      <c r="G460">
        <v>197</v>
      </c>
      <c r="H460">
        <v>257</v>
      </c>
      <c r="I460">
        <v>6786</v>
      </c>
      <c r="J460">
        <v>6221</v>
      </c>
      <c r="K460">
        <v>212</v>
      </c>
      <c r="L460" t="s">
        <v>26</v>
      </c>
      <c r="M460">
        <v>0.17801355732390214</v>
      </c>
      <c r="N460" t="s">
        <v>358</v>
      </c>
      <c r="O460" t="s">
        <v>359</v>
      </c>
    </row>
    <row r="461" spans="1:15" x14ac:dyDescent="0.3">
      <c r="A461" t="s">
        <v>207</v>
      </c>
      <c r="B461" t="s">
        <v>28</v>
      </c>
      <c r="C461" s="2">
        <v>45574</v>
      </c>
      <c r="D461" t="s">
        <v>36</v>
      </c>
      <c r="E461" t="s">
        <v>65</v>
      </c>
      <c r="F461">
        <v>985</v>
      </c>
      <c r="G461">
        <v>932</v>
      </c>
      <c r="H461">
        <v>287</v>
      </c>
      <c r="I461">
        <v>6895</v>
      </c>
      <c r="J461">
        <v>6757</v>
      </c>
      <c r="K461">
        <v>64</v>
      </c>
      <c r="L461" t="s">
        <v>32</v>
      </c>
      <c r="M461">
        <v>0.31965192168237855</v>
      </c>
      <c r="N461" t="s">
        <v>11</v>
      </c>
      <c r="O461" t="s">
        <v>48</v>
      </c>
    </row>
    <row r="462" spans="1:15" x14ac:dyDescent="0.3">
      <c r="A462" t="s">
        <v>207</v>
      </c>
      <c r="B462" t="s">
        <v>28</v>
      </c>
      <c r="C462" s="2">
        <v>45574</v>
      </c>
      <c r="D462" t="s">
        <v>36</v>
      </c>
      <c r="E462" t="s">
        <v>65</v>
      </c>
      <c r="F462">
        <v>985</v>
      </c>
      <c r="G462">
        <v>932</v>
      </c>
      <c r="H462">
        <v>287</v>
      </c>
      <c r="I462">
        <v>6895</v>
      </c>
      <c r="J462">
        <v>6757</v>
      </c>
      <c r="K462">
        <v>64</v>
      </c>
      <c r="L462" t="s">
        <v>32</v>
      </c>
      <c r="M462">
        <v>0.31965192168237855</v>
      </c>
      <c r="N462" t="s">
        <v>357</v>
      </c>
      <c r="O462" t="s">
        <v>359</v>
      </c>
    </row>
    <row r="463" spans="1:15" x14ac:dyDescent="0.3">
      <c r="A463" t="s">
        <v>207</v>
      </c>
      <c r="B463" t="s">
        <v>28</v>
      </c>
      <c r="C463" s="2">
        <v>45574</v>
      </c>
      <c r="D463" t="s">
        <v>36</v>
      </c>
      <c r="E463" t="s">
        <v>65</v>
      </c>
      <c r="F463">
        <v>985</v>
      </c>
      <c r="G463">
        <v>932</v>
      </c>
      <c r="H463">
        <v>287</v>
      </c>
      <c r="I463">
        <v>6895</v>
      </c>
      <c r="J463">
        <v>6757</v>
      </c>
      <c r="K463">
        <v>64</v>
      </c>
      <c r="L463" t="s">
        <v>32</v>
      </c>
      <c r="M463">
        <v>0.31965192168237855</v>
      </c>
      <c r="N463" t="s">
        <v>358</v>
      </c>
      <c r="O463" t="s">
        <v>359</v>
      </c>
    </row>
    <row r="464" spans="1:15" x14ac:dyDescent="0.3">
      <c r="A464" t="s">
        <v>208</v>
      </c>
      <c r="B464" t="s">
        <v>23</v>
      </c>
      <c r="C464" s="2">
        <v>45647</v>
      </c>
      <c r="D464" t="s">
        <v>41</v>
      </c>
      <c r="E464" t="s">
        <v>42</v>
      </c>
      <c r="F464">
        <v>2283</v>
      </c>
      <c r="G464">
        <v>210</v>
      </c>
      <c r="H464">
        <v>130</v>
      </c>
      <c r="I464">
        <v>22830</v>
      </c>
      <c r="J464">
        <v>22617</v>
      </c>
      <c r="K464">
        <v>143</v>
      </c>
      <c r="L464" t="s">
        <v>21</v>
      </c>
      <c r="M464">
        <v>0.11489268506351293</v>
      </c>
      <c r="N464" t="s">
        <v>11</v>
      </c>
      <c r="O464" t="s">
        <v>48</v>
      </c>
    </row>
    <row r="465" spans="1:15" x14ac:dyDescent="0.3">
      <c r="A465" t="s">
        <v>208</v>
      </c>
      <c r="B465" t="s">
        <v>23</v>
      </c>
      <c r="C465" s="2">
        <v>45647</v>
      </c>
      <c r="D465" t="s">
        <v>41</v>
      </c>
      <c r="E465" t="s">
        <v>42</v>
      </c>
      <c r="F465">
        <v>2283</v>
      </c>
      <c r="G465">
        <v>210</v>
      </c>
      <c r="H465">
        <v>130</v>
      </c>
      <c r="I465">
        <v>22830</v>
      </c>
      <c r="J465">
        <v>22617</v>
      </c>
      <c r="K465">
        <v>143</v>
      </c>
      <c r="L465" t="s">
        <v>21</v>
      </c>
      <c r="M465">
        <v>0.11489268506351293</v>
      </c>
      <c r="N465" t="s">
        <v>357</v>
      </c>
      <c r="O465" t="s">
        <v>359</v>
      </c>
    </row>
    <row r="466" spans="1:15" x14ac:dyDescent="0.3">
      <c r="A466" t="s">
        <v>208</v>
      </c>
      <c r="B466" t="s">
        <v>23</v>
      </c>
      <c r="C466" s="2">
        <v>45647</v>
      </c>
      <c r="D466" t="s">
        <v>41</v>
      </c>
      <c r="E466" t="s">
        <v>42</v>
      </c>
      <c r="F466">
        <v>2283</v>
      </c>
      <c r="G466">
        <v>210</v>
      </c>
      <c r="H466">
        <v>130</v>
      </c>
      <c r="I466">
        <v>22830</v>
      </c>
      <c r="J466">
        <v>22617</v>
      </c>
      <c r="K466">
        <v>143</v>
      </c>
      <c r="L466" t="s">
        <v>21</v>
      </c>
      <c r="M466">
        <v>0.11489268506351293</v>
      </c>
      <c r="N466" t="s">
        <v>358</v>
      </c>
      <c r="O466" t="s">
        <v>359</v>
      </c>
    </row>
    <row r="467" spans="1:15" x14ac:dyDescent="0.3">
      <c r="A467" t="s">
        <v>209</v>
      </c>
      <c r="B467" t="s">
        <v>35</v>
      </c>
      <c r="C467" s="2">
        <v>45587</v>
      </c>
      <c r="D467" t="s">
        <v>36</v>
      </c>
      <c r="E467" t="s">
        <v>37</v>
      </c>
      <c r="F467">
        <v>3352</v>
      </c>
      <c r="G467">
        <v>941</v>
      </c>
      <c r="H467">
        <v>482</v>
      </c>
      <c r="I467">
        <v>43576</v>
      </c>
      <c r="J467">
        <v>43338</v>
      </c>
      <c r="K467">
        <v>240</v>
      </c>
      <c r="L467" t="s">
        <v>21</v>
      </c>
      <c r="M467">
        <v>0.1095786671562328</v>
      </c>
      <c r="N467" t="s">
        <v>11</v>
      </c>
      <c r="O467" t="s">
        <v>48</v>
      </c>
    </row>
    <row r="468" spans="1:15" x14ac:dyDescent="0.3">
      <c r="A468" t="s">
        <v>209</v>
      </c>
      <c r="B468" t="s">
        <v>35</v>
      </c>
      <c r="C468" s="2">
        <v>45587</v>
      </c>
      <c r="D468" t="s">
        <v>36</v>
      </c>
      <c r="E468" t="s">
        <v>37</v>
      </c>
      <c r="F468">
        <v>3352</v>
      </c>
      <c r="G468">
        <v>941</v>
      </c>
      <c r="H468">
        <v>482</v>
      </c>
      <c r="I468">
        <v>43576</v>
      </c>
      <c r="J468">
        <v>43338</v>
      </c>
      <c r="K468">
        <v>240</v>
      </c>
      <c r="L468" t="s">
        <v>21</v>
      </c>
      <c r="M468">
        <v>0.1095786671562328</v>
      </c>
      <c r="N468" t="s">
        <v>357</v>
      </c>
      <c r="O468" t="s">
        <v>359</v>
      </c>
    </row>
    <row r="469" spans="1:15" x14ac:dyDescent="0.3">
      <c r="A469" t="s">
        <v>209</v>
      </c>
      <c r="B469" t="s">
        <v>35</v>
      </c>
      <c r="C469" s="2">
        <v>45587</v>
      </c>
      <c r="D469" t="s">
        <v>36</v>
      </c>
      <c r="E469" t="s">
        <v>37</v>
      </c>
      <c r="F469">
        <v>3352</v>
      </c>
      <c r="G469">
        <v>941</v>
      </c>
      <c r="H469">
        <v>482</v>
      </c>
      <c r="I469">
        <v>43576</v>
      </c>
      <c r="J469">
        <v>43338</v>
      </c>
      <c r="K469">
        <v>240</v>
      </c>
      <c r="L469" t="s">
        <v>21</v>
      </c>
      <c r="M469">
        <v>0.1095786671562328</v>
      </c>
      <c r="N469" t="s">
        <v>358</v>
      </c>
      <c r="O469" t="s">
        <v>359</v>
      </c>
    </row>
    <row r="470" spans="1:15" x14ac:dyDescent="0.3">
      <c r="A470" t="s">
        <v>210</v>
      </c>
      <c r="B470" t="s">
        <v>23</v>
      </c>
      <c r="C470" s="2">
        <v>45496</v>
      </c>
      <c r="D470" t="s">
        <v>29</v>
      </c>
      <c r="E470" t="s">
        <v>101</v>
      </c>
      <c r="F470">
        <v>4775</v>
      </c>
      <c r="G470">
        <v>173</v>
      </c>
      <c r="H470">
        <v>206</v>
      </c>
      <c r="I470">
        <v>47750</v>
      </c>
      <c r="J470">
        <v>47544</v>
      </c>
      <c r="K470">
        <v>187</v>
      </c>
      <c r="L470" t="s">
        <v>21</v>
      </c>
      <c r="M470">
        <v>0.10793717277486911</v>
      </c>
      <c r="N470" t="s">
        <v>11</v>
      </c>
      <c r="O470" t="s">
        <v>48</v>
      </c>
    </row>
    <row r="471" spans="1:15" x14ac:dyDescent="0.3">
      <c r="A471" t="s">
        <v>210</v>
      </c>
      <c r="B471" t="s">
        <v>23</v>
      </c>
      <c r="C471" s="2">
        <v>45496</v>
      </c>
      <c r="D471" t="s">
        <v>29</v>
      </c>
      <c r="E471" t="s">
        <v>101</v>
      </c>
      <c r="F471">
        <v>4775</v>
      </c>
      <c r="G471">
        <v>173</v>
      </c>
      <c r="H471">
        <v>206</v>
      </c>
      <c r="I471">
        <v>47750</v>
      </c>
      <c r="J471">
        <v>47544</v>
      </c>
      <c r="K471">
        <v>187</v>
      </c>
      <c r="L471" t="s">
        <v>21</v>
      </c>
      <c r="M471">
        <v>0.10793717277486911</v>
      </c>
      <c r="N471" t="s">
        <v>357</v>
      </c>
      <c r="O471" t="s">
        <v>359</v>
      </c>
    </row>
    <row r="472" spans="1:15" x14ac:dyDescent="0.3">
      <c r="A472" t="s">
        <v>210</v>
      </c>
      <c r="B472" t="s">
        <v>23</v>
      </c>
      <c r="C472" s="2">
        <v>45496</v>
      </c>
      <c r="D472" t="s">
        <v>29</v>
      </c>
      <c r="E472" t="s">
        <v>101</v>
      </c>
      <c r="F472">
        <v>4775</v>
      </c>
      <c r="G472">
        <v>173</v>
      </c>
      <c r="H472">
        <v>206</v>
      </c>
      <c r="I472">
        <v>47750</v>
      </c>
      <c r="J472">
        <v>47544</v>
      </c>
      <c r="K472">
        <v>187</v>
      </c>
      <c r="L472" t="s">
        <v>21</v>
      </c>
      <c r="M472">
        <v>0.10793717277486911</v>
      </c>
      <c r="N472" t="s">
        <v>358</v>
      </c>
      <c r="O472" t="s">
        <v>359</v>
      </c>
    </row>
    <row r="473" spans="1:15" x14ac:dyDescent="0.3">
      <c r="A473" t="s">
        <v>211</v>
      </c>
      <c r="B473" t="s">
        <v>28</v>
      </c>
      <c r="C473" s="2">
        <v>45515</v>
      </c>
      <c r="D473" t="s">
        <v>29</v>
      </c>
      <c r="E473" t="s">
        <v>30</v>
      </c>
      <c r="F473">
        <v>1762</v>
      </c>
      <c r="G473">
        <v>405</v>
      </c>
      <c r="H473">
        <v>423</v>
      </c>
      <c r="I473">
        <v>22906</v>
      </c>
      <c r="J473">
        <v>21925</v>
      </c>
      <c r="K473">
        <v>25</v>
      </c>
      <c r="L473" t="s">
        <v>17</v>
      </c>
      <c r="M473">
        <v>0.11307081114118571</v>
      </c>
      <c r="N473" t="s">
        <v>11</v>
      </c>
      <c r="O473" t="s">
        <v>25</v>
      </c>
    </row>
    <row r="474" spans="1:15" x14ac:dyDescent="0.3">
      <c r="A474" t="s">
        <v>211</v>
      </c>
      <c r="B474" t="s">
        <v>28</v>
      </c>
      <c r="C474" s="2">
        <v>45515</v>
      </c>
      <c r="D474" t="s">
        <v>29</v>
      </c>
      <c r="E474" t="s">
        <v>30</v>
      </c>
      <c r="F474">
        <v>1762</v>
      </c>
      <c r="G474">
        <v>405</v>
      </c>
      <c r="H474">
        <v>423</v>
      </c>
      <c r="I474">
        <v>22906</v>
      </c>
      <c r="J474">
        <v>21925</v>
      </c>
      <c r="K474">
        <v>25</v>
      </c>
      <c r="L474" t="s">
        <v>17</v>
      </c>
      <c r="M474">
        <v>0.11307081114118571</v>
      </c>
      <c r="N474" t="s">
        <v>357</v>
      </c>
      <c r="O474" t="s">
        <v>359</v>
      </c>
    </row>
    <row r="475" spans="1:15" x14ac:dyDescent="0.3">
      <c r="A475" t="s">
        <v>211</v>
      </c>
      <c r="B475" t="s">
        <v>28</v>
      </c>
      <c r="C475" s="2">
        <v>45515</v>
      </c>
      <c r="D475" t="s">
        <v>29</v>
      </c>
      <c r="E475" t="s">
        <v>30</v>
      </c>
      <c r="F475">
        <v>1762</v>
      </c>
      <c r="G475">
        <v>405</v>
      </c>
      <c r="H475">
        <v>423</v>
      </c>
      <c r="I475">
        <v>22906</v>
      </c>
      <c r="J475">
        <v>21925</v>
      </c>
      <c r="K475">
        <v>25</v>
      </c>
      <c r="L475" t="s">
        <v>17</v>
      </c>
      <c r="M475">
        <v>0.11307081114118571</v>
      </c>
      <c r="N475" t="s">
        <v>358</v>
      </c>
      <c r="O475" t="s">
        <v>359</v>
      </c>
    </row>
    <row r="476" spans="1:15" x14ac:dyDescent="0.3">
      <c r="A476" t="s">
        <v>212</v>
      </c>
      <c r="B476" t="s">
        <v>35</v>
      </c>
      <c r="C476" s="2">
        <v>45621</v>
      </c>
      <c r="D476" t="s">
        <v>29</v>
      </c>
      <c r="E476" t="s">
        <v>54</v>
      </c>
      <c r="F476">
        <v>2120</v>
      </c>
      <c r="G476">
        <v>158</v>
      </c>
      <c r="H476">
        <v>488</v>
      </c>
      <c r="I476">
        <v>12720</v>
      </c>
      <c r="J476">
        <v>12085</v>
      </c>
      <c r="K476">
        <v>17</v>
      </c>
      <c r="L476" t="s">
        <v>21</v>
      </c>
      <c r="M476">
        <v>0.21745283018867925</v>
      </c>
      <c r="N476" t="s">
        <v>11</v>
      </c>
      <c r="O476" t="s">
        <v>48</v>
      </c>
    </row>
    <row r="477" spans="1:15" x14ac:dyDescent="0.3">
      <c r="A477" t="s">
        <v>212</v>
      </c>
      <c r="B477" t="s">
        <v>35</v>
      </c>
      <c r="C477" s="2">
        <v>45621</v>
      </c>
      <c r="D477" t="s">
        <v>29</v>
      </c>
      <c r="E477" t="s">
        <v>54</v>
      </c>
      <c r="F477">
        <v>2120</v>
      </c>
      <c r="G477">
        <v>158</v>
      </c>
      <c r="H477">
        <v>488</v>
      </c>
      <c r="I477">
        <v>12720</v>
      </c>
      <c r="J477">
        <v>12085</v>
      </c>
      <c r="K477">
        <v>17</v>
      </c>
      <c r="L477" t="s">
        <v>21</v>
      </c>
      <c r="M477">
        <v>0.21745283018867925</v>
      </c>
      <c r="N477" t="s">
        <v>357</v>
      </c>
      <c r="O477" t="s">
        <v>359</v>
      </c>
    </row>
    <row r="478" spans="1:15" x14ac:dyDescent="0.3">
      <c r="A478" t="s">
        <v>212</v>
      </c>
      <c r="B478" t="s">
        <v>35</v>
      </c>
      <c r="C478" s="2">
        <v>45621</v>
      </c>
      <c r="D478" t="s">
        <v>29</v>
      </c>
      <c r="E478" t="s">
        <v>54</v>
      </c>
      <c r="F478">
        <v>2120</v>
      </c>
      <c r="G478">
        <v>158</v>
      </c>
      <c r="H478">
        <v>488</v>
      </c>
      <c r="I478">
        <v>12720</v>
      </c>
      <c r="J478">
        <v>12085</v>
      </c>
      <c r="K478">
        <v>17</v>
      </c>
      <c r="L478" t="s">
        <v>21</v>
      </c>
      <c r="M478">
        <v>0.21745283018867925</v>
      </c>
      <c r="N478" t="s">
        <v>358</v>
      </c>
      <c r="O478" t="s">
        <v>359</v>
      </c>
    </row>
    <row r="479" spans="1:15" x14ac:dyDescent="0.3">
      <c r="A479" t="s">
        <v>213</v>
      </c>
      <c r="B479" t="s">
        <v>14</v>
      </c>
      <c r="C479" s="2">
        <v>45528</v>
      </c>
      <c r="D479" t="s">
        <v>56</v>
      </c>
      <c r="E479" t="s">
        <v>95</v>
      </c>
      <c r="F479">
        <v>1082</v>
      </c>
      <c r="G479">
        <v>209</v>
      </c>
      <c r="H479">
        <v>484</v>
      </c>
      <c r="I479">
        <v>19476</v>
      </c>
      <c r="J479">
        <v>18654</v>
      </c>
      <c r="K479">
        <v>20</v>
      </c>
      <c r="L479" t="s">
        <v>360</v>
      </c>
      <c r="M479">
        <v>9.1137810638734856E-2</v>
      </c>
      <c r="N479" t="s">
        <v>11</v>
      </c>
      <c r="O479" t="s">
        <v>25</v>
      </c>
    </row>
    <row r="480" spans="1:15" x14ac:dyDescent="0.3">
      <c r="A480" t="s">
        <v>213</v>
      </c>
      <c r="B480" t="s">
        <v>14</v>
      </c>
      <c r="C480" s="2">
        <v>45528</v>
      </c>
      <c r="D480" t="s">
        <v>56</v>
      </c>
      <c r="E480" t="s">
        <v>95</v>
      </c>
      <c r="F480">
        <v>1082</v>
      </c>
      <c r="G480">
        <v>209</v>
      </c>
      <c r="H480">
        <v>484</v>
      </c>
      <c r="I480">
        <v>19476</v>
      </c>
      <c r="J480">
        <v>18654</v>
      </c>
      <c r="K480">
        <v>20</v>
      </c>
      <c r="L480" t="s">
        <v>360</v>
      </c>
      <c r="M480">
        <v>9.1137810638734856E-2</v>
      </c>
      <c r="N480" t="s">
        <v>357</v>
      </c>
      <c r="O480" t="s">
        <v>359</v>
      </c>
    </row>
    <row r="481" spans="1:15" x14ac:dyDescent="0.3">
      <c r="A481" t="s">
        <v>213</v>
      </c>
      <c r="B481" t="s">
        <v>14</v>
      </c>
      <c r="C481" s="2">
        <v>45528</v>
      </c>
      <c r="D481" t="s">
        <v>56</v>
      </c>
      <c r="E481" t="s">
        <v>95</v>
      </c>
      <c r="F481">
        <v>1082</v>
      </c>
      <c r="G481">
        <v>209</v>
      </c>
      <c r="H481">
        <v>484</v>
      </c>
      <c r="I481">
        <v>19476</v>
      </c>
      <c r="J481">
        <v>18654</v>
      </c>
      <c r="K481">
        <v>20</v>
      </c>
      <c r="L481" t="s">
        <v>360</v>
      </c>
      <c r="M481">
        <v>9.1137810638734856E-2</v>
      </c>
      <c r="N481" t="s">
        <v>358</v>
      </c>
      <c r="O481" t="s">
        <v>359</v>
      </c>
    </row>
    <row r="482" spans="1:15" x14ac:dyDescent="0.3">
      <c r="A482" t="s">
        <v>214</v>
      </c>
      <c r="B482" t="s">
        <v>14</v>
      </c>
      <c r="C482" s="2">
        <v>45707</v>
      </c>
      <c r="D482" t="s">
        <v>19</v>
      </c>
      <c r="E482" t="s">
        <v>20</v>
      </c>
      <c r="F482">
        <v>4671</v>
      </c>
      <c r="G482">
        <v>876</v>
      </c>
      <c r="H482">
        <v>366</v>
      </c>
      <c r="I482">
        <v>51381</v>
      </c>
      <c r="J482">
        <v>50565</v>
      </c>
      <c r="K482">
        <v>245</v>
      </c>
      <c r="L482" t="s">
        <v>32</v>
      </c>
      <c r="M482">
        <v>0.11508145034156594</v>
      </c>
      <c r="N482" t="s">
        <v>11</v>
      </c>
      <c r="O482" t="s">
        <v>25</v>
      </c>
    </row>
    <row r="483" spans="1:15" x14ac:dyDescent="0.3">
      <c r="A483" t="s">
        <v>214</v>
      </c>
      <c r="B483" t="s">
        <v>14</v>
      </c>
      <c r="C483" s="2">
        <v>45707</v>
      </c>
      <c r="D483" t="s">
        <v>19</v>
      </c>
      <c r="E483" t="s">
        <v>20</v>
      </c>
      <c r="F483">
        <v>4671</v>
      </c>
      <c r="G483">
        <v>876</v>
      </c>
      <c r="H483">
        <v>366</v>
      </c>
      <c r="I483">
        <v>51381</v>
      </c>
      <c r="J483">
        <v>50565</v>
      </c>
      <c r="K483">
        <v>245</v>
      </c>
      <c r="L483" t="s">
        <v>32</v>
      </c>
      <c r="M483">
        <v>0.11508145034156594</v>
      </c>
      <c r="N483" t="s">
        <v>357</v>
      </c>
      <c r="O483" t="s">
        <v>359</v>
      </c>
    </row>
    <row r="484" spans="1:15" x14ac:dyDescent="0.3">
      <c r="A484" t="s">
        <v>214</v>
      </c>
      <c r="B484" t="s">
        <v>14</v>
      </c>
      <c r="C484" s="2">
        <v>45707</v>
      </c>
      <c r="D484" t="s">
        <v>19</v>
      </c>
      <c r="E484" t="s">
        <v>20</v>
      </c>
      <c r="F484">
        <v>4671</v>
      </c>
      <c r="G484">
        <v>876</v>
      </c>
      <c r="H484">
        <v>366</v>
      </c>
      <c r="I484">
        <v>51381</v>
      </c>
      <c r="J484">
        <v>50565</v>
      </c>
      <c r="K484">
        <v>245</v>
      </c>
      <c r="L484" t="s">
        <v>32</v>
      </c>
      <c r="M484">
        <v>0.11508145034156594</v>
      </c>
      <c r="N484" t="s">
        <v>358</v>
      </c>
      <c r="O484" t="s">
        <v>359</v>
      </c>
    </row>
    <row r="485" spans="1:15" x14ac:dyDescent="0.3">
      <c r="A485" t="s">
        <v>215</v>
      </c>
      <c r="B485" t="s">
        <v>35</v>
      </c>
      <c r="C485" s="2">
        <v>45748</v>
      </c>
      <c r="D485" t="s">
        <v>29</v>
      </c>
      <c r="E485" t="s">
        <v>54</v>
      </c>
      <c r="F485">
        <v>3430</v>
      </c>
      <c r="G485">
        <v>566</v>
      </c>
      <c r="H485">
        <v>164</v>
      </c>
      <c r="I485">
        <v>48020</v>
      </c>
      <c r="J485">
        <v>47305</v>
      </c>
      <c r="K485">
        <v>120</v>
      </c>
      <c r="L485" t="s">
        <v>360</v>
      </c>
      <c r="M485">
        <v>8.6630570595585168E-2</v>
      </c>
      <c r="N485" t="s">
        <v>11</v>
      </c>
      <c r="O485" t="s">
        <v>48</v>
      </c>
    </row>
    <row r="486" spans="1:15" x14ac:dyDescent="0.3">
      <c r="A486" t="s">
        <v>215</v>
      </c>
      <c r="B486" t="s">
        <v>35</v>
      </c>
      <c r="C486" s="2">
        <v>45748</v>
      </c>
      <c r="D486" t="s">
        <v>29</v>
      </c>
      <c r="E486" t="s">
        <v>54</v>
      </c>
      <c r="F486">
        <v>3430</v>
      </c>
      <c r="G486">
        <v>566</v>
      </c>
      <c r="H486">
        <v>164</v>
      </c>
      <c r="I486">
        <v>48020</v>
      </c>
      <c r="J486">
        <v>47305</v>
      </c>
      <c r="K486">
        <v>120</v>
      </c>
      <c r="L486" t="s">
        <v>360</v>
      </c>
      <c r="M486">
        <v>8.6630570595585168E-2</v>
      </c>
      <c r="N486" t="s">
        <v>357</v>
      </c>
      <c r="O486" t="s">
        <v>359</v>
      </c>
    </row>
    <row r="487" spans="1:15" x14ac:dyDescent="0.3">
      <c r="A487" t="s">
        <v>215</v>
      </c>
      <c r="B487" t="s">
        <v>35</v>
      </c>
      <c r="C487" s="2">
        <v>45748</v>
      </c>
      <c r="D487" t="s">
        <v>29</v>
      </c>
      <c r="E487" t="s">
        <v>54</v>
      </c>
      <c r="F487">
        <v>3430</v>
      </c>
      <c r="G487">
        <v>566</v>
      </c>
      <c r="H487">
        <v>164</v>
      </c>
      <c r="I487">
        <v>48020</v>
      </c>
      <c r="J487">
        <v>47305</v>
      </c>
      <c r="K487">
        <v>120</v>
      </c>
      <c r="L487" t="s">
        <v>360</v>
      </c>
      <c r="M487">
        <v>8.6630570595585168E-2</v>
      </c>
      <c r="N487" t="s">
        <v>358</v>
      </c>
      <c r="O487" t="s">
        <v>359</v>
      </c>
    </row>
    <row r="488" spans="1:15" x14ac:dyDescent="0.3">
      <c r="A488" t="s">
        <v>216</v>
      </c>
      <c r="B488" t="s">
        <v>28</v>
      </c>
      <c r="C488" s="2">
        <v>45755</v>
      </c>
      <c r="D488" t="s">
        <v>41</v>
      </c>
      <c r="E488" t="s">
        <v>134</v>
      </c>
      <c r="F488">
        <v>4501</v>
      </c>
      <c r="G488">
        <v>375</v>
      </c>
      <c r="H488">
        <v>323</v>
      </c>
      <c r="I488">
        <v>22505</v>
      </c>
      <c r="J488">
        <v>21836</v>
      </c>
      <c r="K488">
        <v>132</v>
      </c>
      <c r="L488" t="s">
        <v>21</v>
      </c>
      <c r="M488">
        <v>0.23101532992668297</v>
      </c>
      <c r="N488" t="s">
        <v>11</v>
      </c>
      <c r="O488" t="s">
        <v>25</v>
      </c>
    </row>
    <row r="489" spans="1:15" x14ac:dyDescent="0.3">
      <c r="A489" t="s">
        <v>216</v>
      </c>
      <c r="B489" t="s">
        <v>28</v>
      </c>
      <c r="C489" s="2">
        <v>45755</v>
      </c>
      <c r="D489" t="s">
        <v>41</v>
      </c>
      <c r="E489" t="s">
        <v>134</v>
      </c>
      <c r="F489">
        <v>4501</v>
      </c>
      <c r="G489">
        <v>375</v>
      </c>
      <c r="H489">
        <v>323</v>
      </c>
      <c r="I489">
        <v>22505</v>
      </c>
      <c r="J489">
        <v>21836</v>
      </c>
      <c r="K489">
        <v>132</v>
      </c>
      <c r="L489" t="s">
        <v>21</v>
      </c>
      <c r="M489">
        <v>0.23101532992668297</v>
      </c>
      <c r="N489" t="s">
        <v>357</v>
      </c>
      <c r="O489" t="s">
        <v>359</v>
      </c>
    </row>
    <row r="490" spans="1:15" x14ac:dyDescent="0.3">
      <c r="A490" t="s">
        <v>216</v>
      </c>
      <c r="B490" t="s">
        <v>28</v>
      </c>
      <c r="C490" s="2">
        <v>45755</v>
      </c>
      <c r="D490" t="s">
        <v>41</v>
      </c>
      <c r="E490" t="s">
        <v>134</v>
      </c>
      <c r="F490">
        <v>4501</v>
      </c>
      <c r="G490">
        <v>375</v>
      </c>
      <c r="H490">
        <v>323</v>
      </c>
      <c r="I490">
        <v>22505</v>
      </c>
      <c r="J490">
        <v>21836</v>
      </c>
      <c r="K490">
        <v>132</v>
      </c>
      <c r="L490" t="s">
        <v>21</v>
      </c>
      <c r="M490">
        <v>0.23101532992668297</v>
      </c>
      <c r="N490" t="s">
        <v>358</v>
      </c>
      <c r="O490" t="s">
        <v>359</v>
      </c>
    </row>
    <row r="491" spans="1:15" x14ac:dyDescent="0.3">
      <c r="A491" t="s">
        <v>217</v>
      </c>
      <c r="B491" t="s">
        <v>23</v>
      </c>
      <c r="C491" s="2">
        <v>45715</v>
      </c>
      <c r="D491" t="s">
        <v>19</v>
      </c>
      <c r="E491" t="s">
        <v>73</v>
      </c>
      <c r="F491">
        <v>4934</v>
      </c>
      <c r="G491">
        <v>971</v>
      </c>
      <c r="H491">
        <v>156</v>
      </c>
      <c r="I491">
        <v>39472</v>
      </c>
      <c r="J491">
        <v>39025</v>
      </c>
      <c r="K491">
        <v>169</v>
      </c>
      <c r="L491" t="s">
        <v>32</v>
      </c>
      <c r="M491">
        <v>0.15355188488042157</v>
      </c>
      <c r="N491" t="s">
        <v>11</v>
      </c>
      <c r="O491" t="s">
        <v>25</v>
      </c>
    </row>
    <row r="492" spans="1:15" x14ac:dyDescent="0.3">
      <c r="A492" t="s">
        <v>217</v>
      </c>
      <c r="B492" t="s">
        <v>23</v>
      </c>
      <c r="C492" s="2">
        <v>45715</v>
      </c>
      <c r="D492" t="s">
        <v>19</v>
      </c>
      <c r="E492" t="s">
        <v>73</v>
      </c>
      <c r="F492">
        <v>4934</v>
      </c>
      <c r="G492">
        <v>971</v>
      </c>
      <c r="H492">
        <v>156</v>
      </c>
      <c r="I492">
        <v>39472</v>
      </c>
      <c r="J492">
        <v>39025</v>
      </c>
      <c r="K492">
        <v>169</v>
      </c>
      <c r="L492" t="s">
        <v>32</v>
      </c>
      <c r="M492">
        <v>0.15355188488042157</v>
      </c>
      <c r="N492" t="s">
        <v>357</v>
      </c>
      <c r="O492" t="s">
        <v>354</v>
      </c>
    </row>
    <row r="493" spans="1:15" x14ac:dyDescent="0.3">
      <c r="A493" t="s">
        <v>217</v>
      </c>
      <c r="B493" t="s">
        <v>23</v>
      </c>
      <c r="C493" s="2">
        <v>45715</v>
      </c>
      <c r="D493" t="s">
        <v>19</v>
      </c>
      <c r="E493" t="s">
        <v>73</v>
      </c>
      <c r="F493">
        <v>4934</v>
      </c>
      <c r="G493">
        <v>971</v>
      </c>
      <c r="H493">
        <v>156</v>
      </c>
      <c r="I493">
        <v>39472</v>
      </c>
      <c r="J493">
        <v>39025</v>
      </c>
      <c r="K493">
        <v>169</v>
      </c>
      <c r="L493" t="s">
        <v>32</v>
      </c>
      <c r="M493">
        <v>0.15355188488042157</v>
      </c>
      <c r="N493" t="s">
        <v>358</v>
      </c>
      <c r="O493" t="s">
        <v>359</v>
      </c>
    </row>
    <row r="494" spans="1:15" x14ac:dyDescent="0.3">
      <c r="A494" t="s">
        <v>218</v>
      </c>
      <c r="B494" t="s">
        <v>14</v>
      </c>
      <c r="C494" s="2">
        <v>45637</v>
      </c>
      <c r="D494" t="s">
        <v>19</v>
      </c>
      <c r="E494" t="s">
        <v>20</v>
      </c>
      <c r="F494">
        <v>3239</v>
      </c>
      <c r="G494">
        <v>43</v>
      </c>
      <c r="H494">
        <v>211</v>
      </c>
      <c r="I494">
        <v>22673</v>
      </c>
      <c r="J494">
        <v>22171</v>
      </c>
      <c r="K494">
        <v>230</v>
      </c>
      <c r="L494" t="s">
        <v>21</v>
      </c>
      <c r="M494">
        <v>0.15405989502933004</v>
      </c>
      <c r="N494" t="s">
        <v>11</v>
      </c>
      <c r="O494" t="s">
        <v>25</v>
      </c>
    </row>
    <row r="495" spans="1:15" x14ac:dyDescent="0.3">
      <c r="A495" t="s">
        <v>218</v>
      </c>
      <c r="B495" t="s">
        <v>14</v>
      </c>
      <c r="C495" s="2">
        <v>45637</v>
      </c>
      <c r="D495" t="s">
        <v>19</v>
      </c>
      <c r="E495" t="s">
        <v>20</v>
      </c>
      <c r="F495">
        <v>3239</v>
      </c>
      <c r="G495">
        <v>43</v>
      </c>
      <c r="H495">
        <v>211</v>
      </c>
      <c r="I495">
        <v>22673</v>
      </c>
      <c r="J495">
        <v>22171</v>
      </c>
      <c r="K495">
        <v>230</v>
      </c>
      <c r="L495" t="s">
        <v>21</v>
      </c>
      <c r="M495">
        <v>0.15405989502933004</v>
      </c>
      <c r="N495" t="s">
        <v>357</v>
      </c>
      <c r="O495" t="s">
        <v>359</v>
      </c>
    </row>
    <row r="496" spans="1:15" x14ac:dyDescent="0.3">
      <c r="A496" t="s">
        <v>218</v>
      </c>
      <c r="B496" t="s">
        <v>14</v>
      </c>
      <c r="C496" s="2">
        <v>45637</v>
      </c>
      <c r="D496" t="s">
        <v>19</v>
      </c>
      <c r="E496" t="s">
        <v>20</v>
      </c>
      <c r="F496">
        <v>3239</v>
      </c>
      <c r="G496">
        <v>43</v>
      </c>
      <c r="H496">
        <v>211</v>
      </c>
      <c r="I496">
        <v>22673</v>
      </c>
      <c r="J496">
        <v>22171</v>
      </c>
      <c r="K496">
        <v>230</v>
      </c>
      <c r="L496" t="s">
        <v>21</v>
      </c>
      <c r="M496">
        <v>0.15405989502933004</v>
      </c>
      <c r="N496" t="s">
        <v>358</v>
      </c>
      <c r="O496" t="s">
        <v>359</v>
      </c>
    </row>
    <row r="497" spans="1:15" x14ac:dyDescent="0.3">
      <c r="A497" t="s">
        <v>219</v>
      </c>
      <c r="B497" t="s">
        <v>14</v>
      </c>
      <c r="C497" s="2">
        <v>45704</v>
      </c>
      <c r="D497" t="s">
        <v>15</v>
      </c>
      <c r="E497" t="s">
        <v>16</v>
      </c>
      <c r="F497">
        <v>1076</v>
      </c>
      <c r="G497">
        <v>313</v>
      </c>
      <c r="H497">
        <v>306</v>
      </c>
      <c r="I497">
        <v>11836</v>
      </c>
      <c r="J497">
        <v>11596</v>
      </c>
      <c r="K497">
        <v>104</v>
      </c>
      <c r="L497" t="s">
        <v>17</v>
      </c>
      <c r="M497">
        <v>0.14320716458262928</v>
      </c>
      <c r="N497" t="s">
        <v>11</v>
      </c>
      <c r="O497" t="s">
        <v>48</v>
      </c>
    </row>
    <row r="498" spans="1:15" x14ac:dyDescent="0.3">
      <c r="A498" t="s">
        <v>219</v>
      </c>
      <c r="B498" t="s">
        <v>14</v>
      </c>
      <c r="C498" s="2">
        <v>45704</v>
      </c>
      <c r="D498" t="s">
        <v>15</v>
      </c>
      <c r="E498" t="s">
        <v>16</v>
      </c>
      <c r="F498">
        <v>1076</v>
      </c>
      <c r="G498">
        <v>313</v>
      </c>
      <c r="H498">
        <v>306</v>
      </c>
      <c r="I498">
        <v>11836</v>
      </c>
      <c r="J498">
        <v>11596</v>
      </c>
      <c r="K498">
        <v>104</v>
      </c>
      <c r="L498" t="s">
        <v>17</v>
      </c>
      <c r="M498">
        <v>0.14320716458262928</v>
      </c>
      <c r="N498" t="s">
        <v>357</v>
      </c>
      <c r="O498" t="s">
        <v>359</v>
      </c>
    </row>
    <row r="499" spans="1:15" x14ac:dyDescent="0.3">
      <c r="A499" t="s">
        <v>219</v>
      </c>
      <c r="B499" t="s">
        <v>14</v>
      </c>
      <c r="C499" s="2">
        <v>45704</v>
      </c>
      <c r="D499" t="s">
        <v>15</v>
      </c>
      <c r="E499" t="s">
        <v>16</v>
      </c>
      <c r="F499">
        <v>1076</v>
      </c>
      <c r="G499">
        <v>313</v>
      </c>
      <c r="H499">
        <v>306</v>
      </c>
      <c r="I499">
        <v>11836</v>
      </c>
      <c r="J499">
        <v>11596</v>
      </c>
      <c r="K499">
        <v>104</v>
      </c>
      <c r="L499" t="s">
        <v>17</v>
      </c>
      <c r="M499">
        <v>0.14320716458262928</v>
      </c>
      <c r="N499" t="s">
        <v>358</v>
      </c>
      <c r="O499" t="s">
        <v>359</v>
      </c>
    </row>
    <row r="500" spans="1:15" x14ac:dyDescent="0.3">
      <c r="A500" t="s">
        <v>220</v>
      </c>
      <c r="B500" t="s">
        <v>28</v>
      </c>
      <c r="C500" s="2">
        <v>45624</v>
      </c>
      <c r="D500" t="s">
        <v>19</v>
      </c>
      <c r="E500" t="s">
        <v>78</v>
      </c>
      <c r="F500">
        <v>4771</v>
      </c>
      <c r="G500">
        <v>818</v>
      </c>
      <c r="H500">
        <v>56</v>
      </c>
      <c r="I500">
        <v>57252</v>
      </c>
      <c r="J500">
        <v>56378</v>
      </c>
      <c r="K500">
        <v>150</v>
      </c>
      <c r="L500" t="s">
        <v>360</v>
      </c>
      <c r="M500">
        <v>9.859917557465242E-2</v>
      </c>
      <c r="N500" t="s">
        <v>11</v>
      </c>
      <c r="O500" t="s">
        <v>48</v>
      </c>
    </row>
    <row r="501" spans="1:15" x14ac:dyDescent="0.3">
      <c r="A501" t="s">
        <v>220</v>
      </c>
      <c r="B501" t="s">
        <v>28</v>
      </c>
      <c r="C501" s="2">
        <v>45624</v>
      </c>
      <c r="D501" t="s">
        <v>19</v>
      </c>
      <c r="E501" t="s">
        <v>78</v>
      </c>
      <c r="F501">
        <v>4771</v>
      </c>
      <c r="G501">
        <v>818</v>
      </c>
      <c r="H501">
        <v>56</v>
      </c>
      <c r="I501">
        <v>57252</v>
      </c>
      <c r="J501">
        <v>56378</v>
      </c>
      <c r="K501">
        <v>150</v>
      </c>
      <c r="L501" t="s">
        <v>360</v>
      </c>
      <c r="M501">
        <v>9.859917557465242E-2</v>
      </c>
      <c r="N501" t="s">
        <v>357</v>
      </c>
      <c r="O501" t="s">
        <v>359</v>
      </c>
    </row>
    <row r="502" spans="1:15" x14ac:dyDescent="0.3">
      <c r="A502" t="s">
        <v>220</v>
      </c>
      <c r="B502" t="s">
        <v>28</v>
      </c>
      <c r="C502" s="2">
        <v>45624</v>
      </c>
      <c r="D502" t="s">
        <v>19</v>
      </c>
      <c r="E502" t="s">
        <v>78</v>
      </c>
      <c r="F502">
        <v>4771</v>
      </c>
      <c r="G502">
        <v>818</v>
      </c>
      <c r="H502">
        <v>56</v>
      </c>
      <c r="I502">
        <v>57252</v>
      </c>
      <c r="J502">
        <v>56378</v>
      </c>
      <c r="K502">
        <v>150</v>
      </c>
      <c r="L502" t="s">
        <v>360</v>
      </c>
      <c r="M502">
        <v>9.859917557465242E-2</v>
      </c>
      <c r="N502" t="s">
        <v>358</v>
      </c>
      <c r="O502" t="s">
        <v>359</v>
      </c>
    </row>
    <row r="503" spans="1:15" x14ac:dyDescent="0.3">
      <c r="A503" t="s">
        <v>221</v>
      </c>
      <c r="B503" t="s">
        <v>35</v>
      </c>
      <c r="C503" s="2">
        <v>45608</v>
      </c>
      <c r="D503" t="s">
        <v>19</v>
      </c>
      <c r="E503" t="s">
        <v>44</v>
      </c>
      <c r="F503">
        <v>2418</v>
      </c>
      <c r="G503">
        <v>754</v>
      </c>
      <c r="H503">
        <v>54</v>
      </c>
      <c r="I503">
        <v>43524</v>
      </c>
      <c r="J503">
        <v>42743</v>
      </c>
      <c r="K503">
        <v>182</v>
      </c>
      <c r="L503" t="s">
        <v>17</v>
      </c>
      <c r="M503">
        <v>7.412002573292896E-2</v>
      </c>
      <c r="N503" t="s">
        <v>11</v>
      </c>
      <c r="O503" t="s">
        <v>31</v>
      </c>
    </row>
    <row r="504" spans="1:15" x14ac:dyDescent="0.3">
      <c r="A504" t="s">
        <v>221</v>
      </c>
      <c r="B504" t="s">
        <v>35</v>
      </c>
      <c r="C504" s="2">
        <v>45608</v>
      </c>
      <c r="D504" t="s">
        <v>19</v>
      </c>
      <c r="E504" t="s">
        <v>44</v>
      </c>
      <c r="F504">
        <v>2418</v>
      </c>
      <c r="G504">
        <v>754</v>
      </c>
      <c r="H504">
        <v>54</v>
      </c>
      <c r="I504">
        <v>43524</v>
      </c>
      <c r="J504">
        <v>42743</v>
      </c>
      <c r="K504">
        <v>182</v>
      </c>
      <c r="L504" t="s">
        <v>17</v>
      </c>
      <c r="M504">
        <v>7.412002573292896E-2</v>
      </c>
      <c r="N504" t="s">
        <v>357</v>
      </c>
      <c r="O504" t="s">
        <v>359</v>
      </c>
    </row>
    <row r="505" spans="1:15" x14ac:dyDescent="0.3">
      <c r="A505" t="s">
        <v>221</v>
      </c>
      <c r="B505" t="s">
        <v>35</v>
      </c>
      <c r="C505" s="2">
        <v>45608</v>
      </c>
      <c r="D505" t="s">
        <v>19</v>
      </c>
      <c r="E505" t="s">
        <v>44</v>
      </c>
      <c r="F505">
        <v>2418</v>
      </c>
      <c r="G505">
        <v>754</v>
      </c>
      <c r="H505">
        <v>54</v>
      </c>
      <c r="I505">
        <v>43524</v>
      </c>
      <c r="J505">
        <v>42743</v>
      </c>
      <c r="K505">
        <v>182</v>
      </c>
      <c r="L505" t="s">
        <v>17</v>
      </c>
      <c r="M505">
        <v>7.412002573292896E-2</v>
      </c>
      <c r="N505" t="s">
        <v>358</v>
      </c>
      <c r="O505" t="s">
        <v>359</v>
      </c>
    </row>
    <row r="506" spans="1:15" x14ac:dyDescent="0.3">
      <c r="A506" t="s">
        <v>222</v>
      </c>
      <c r="B506" t="s">
        <v>23</v>
      </c>
      <c r="C506" s="2">
        <v>45629</v>
      </c>
      <c r="D506" t="s">
        <v>56</v>
      </c>
      <c r="E506" t="s">
        <v>136</v>
      </c>
      <c r="F506">
        <v>3809</v>
      </c>
      <c r="G506">
        <v>273</v>
      </c>
      <c r="H506">
        <v>200</v>
      </c>
      <c r="I506">
        <v>34281</v>
      </c>
      <c r="J506">
        <v>33534</v>
      </c>
      <c r="K506">
        <v>83</v>
      </c>
      <c r="L506" t="s">
        <v>17</v>
      </c>
      <c r="M506">
        <v>0.12490884163239112</v>
      </c>
      <c r="N506" t="s">
        <v>11</v>
      </c>
      <c r="O506" t="s">
        <v>31</v>
      </c>
    </row>
    <row r="507" spans="1:15" x14ac:dyDescent="0.3">
      <c r="A507" t="s">
        <v>222</v>
      </c>
      <c r="B507" t="s">
        <v>23</v>
      </c>
      <c r="C507" s="2">
        <v>45629</v>
      </c>
      <c r="D507" t="s">
        <v>56</v>
      </c>
      <c r="E507" t="s">
        <v>136</v>
      </c>
      <c r="F507">
        <v>3809</v>
      </c>
      <c r="G507">
        <v>273</v>
      </c>
      <c r="H507">
        <v>200</v>
      </c>
      <c r="I507">
        <v>34281</v>
      </c>
      <c r="J507">
        <v>33534</v>
      </c>
      <c r="K507">
        <v>83</v>
      </c>
      <c r="L507" t="s">
        <v>17</v>
      </c>
      <c r="M507">
        <v>0.12490884163239112</v>
      </c>
      <c r="N507" t="s">
        <v>357</v>
      </c>
      <c r="O507" t="s">
        <v>359</v>
      </c>
    </row>
    <row r="508" spans="1:15" x14ac:dyDescent="0.3">
      <c r="A508" t="s">
        <v>222</v>
      </c>
      <c r="B508" t="s">
        <v>23</v>
      </c>
      <c r="C508" s="2">
        <v>45629</v>
      </c>
      <c r="D508" t="s">
        <v>56</v>
      </c>
      <c r="E508" t="s">
        <v>136</v>
      </c>
      <c r="F508">
        <v>3809</v>
      </c>
      <c r="G508">
        <v>273</v>
      </c>
      <c r="H508">
        <v>200</v>
      </c>
      <c r="I508">
        <v>34281</v>
      </c>
      <c r="J508">
        <v>33534</v>
      </c>
      <c r="K508">
        <v>83</v>
      </c>
      <c r="L508" t="s">
        <v>17</v>
      </c>
      <c r="M508">
        <v>0.12490884163239112</v>
      </c>
      <c r="N508" t="s">
        <v>358</v>
      </c>
      <c r="O508" t="s">
        <v>359</v>
      </c>
    </row>
    <row r="509" spans="1:15" x14ac:dyDescent="0.3">
      <c r="A509" t="s">
        <v>223</v>
      </c>
      <c r="B509" t="s">
        <v>14</v>
      </c>
      <c r="C509" s="2">
        <v>45775</v>
      </c>
      <c r="D509" t="s">
        <v>19</v>
      </c>
      <c r="E509" t="s">
        <v>20</v>
      </c>
      <c r="F509">
        <v>3577</v>
      </c>
      <c r="G509">
        <v>596</v>
      </c>
      <c r="H509">
        <v>493</v>
      </c>
      <c r="I509">
        <v>67963</v>
      </c>
      <c r="J509">
        <v>67839</v>
      </c>
      <c r="K509">
        <v>53</v>
      </c>
      <c r="L509" t="s">
        <v>26</v>
      </c>
      <c r="M509">
        <v>6.8655003457763777E-2</v>
      </c>
      <c r="N509" t="s">
        <v>11</v>
      </c>
      <c r="O509" t="s">
        <v>25</v>
      </c>
    </row>
    <row r="510" spans="1:15" x14ac:dyDescent="0.3">
      <c r="A510" t="s">
        <v>223</v>
      </c>
      <c r="B510" t="s">
        <v>14</v>
      </c>
      <c r="C510" s="2">
        <v>45775</v>
      </c>
      <c r="D510" t="s">
        <v>19</v>
      </c>
      <c r="E510" t="s">
        <v>20</v>
      </c>
      <c r="F510">
        <v>3577</v>
      </c>
      <c r="G510">
        <v>596</v>
      </c>
      <c r="H510">
        <v>493</v>
      </c>
      <c r="I510">
        <v>67963</v>
      </c>
      <c r="J510">
        <v>67839</v>
      </c>
      <c r="K510">
        <v>53</v>
      </c>
      <c r="L510" t="s">
        <v>26</v>
      </c>
      <c r="M510">
        <v>6.8655003457763777E-2</v>
      </c>
      <c r="N510" t="s">
        <v>357</v>
      </c>
      <c r="O510" t="s">
        <v>359</v>
      </c>
    </row>
    <row r="511" spans="1:15" x14ac:dyDescent="0.3">
      <c r="A511" t="s">
        <v>223</v>
      </c>
      <c r="B511" t="s">
        <v>14</v>
      </c>
      <c r="C511" s="2">
        <v>45775</v>
      </c>
      <c r="D511" t="s">
        <v>19</v>
      </c>
      <c r="E511" t="s">
        <v>20</v>
      </c>
      <c r="F511">
        <v>3577</v>
      </c>
      <c r="G511">
        <v>596</v>
      </c>
      <c r="H511">
        <v>493</v>
      </c>
      <c r="I511">
        <v>67963</v>
      </c>
      <c r="J511">
        <v>67839</v>
      </c>
      <c r="K511">
        <v>53</v>
      </c>
      <c r="L511" t="s">
        <v>26</v>
      </c>
      <c r="M511">
        <v>6.8655003457763777E-2</v>
      </c>
      <c r="N511" t="s">
        <v>358</v>
      </c>
      <c r="O511" t="s">
        <v>359</v>
      </c>
    </row>
    <row r="512" spans="1:15" x14ac:dyDescent="0.3">
      <c r="A512" t="s">
        <v>224</v>
      </c>
      <c r="B512" t="s">
        <v>23</v>
      </c>
      <c r="C512" s="2">
        <v>45657</v>
      </c>
      <c r="D512" t="s">
        <v>56</v>
      </c>
      <c r="E512" t="s">
        <v>136</v>
      </c>
      <c r="F512">
        <v>1018</v>
      </c>
      <c r="G512">
        <v>447</v>
      </c>
      <c r="H512">
        <v>332</v>
      </c>
      <c r="I512">
        <v>18324</v>
      </c>
      <c r="J512">
        <v>18164</v>
      </c>
      <c r="K512">
        <v>38</v>
      </c>
      <c r="L512" t="s">
        <v>21</v>
      </c>
      <c r="M512">
        <v>9.8068107400130972E-2</v>
      </c>
      <c r="N512" t="s">
        <v>11</v>
      </c>
      <c r="O512" t="s">
        <v>48</v>
      </c>
    </row>
    <row r="513" spans="1:15" x14ac:dyDescent="0.3">
      <c r="A513" t="s">
        <v>224</v>
      </c>
      <c r="B513" t="s">
        <v>23</v>
      </c>
      <c r="C513" s="2">
        <v>45657</v>
      </c>
      <c r="D513" t="s">
        <v>56</v>
      </c>
      <c r="E513" t="s">
        <v>136</v>
      </c>
      <c r="F513">
        <v>1018</v>
      </c>
      <c r="G513">
        <v>447</v>
      </c>
      <c r="H513">
        <v>332</v>
      </c>
      <c r="I513">
        <v>18324</v>
      </c>
      <c r="J513">
        <v>18164</v>
      </c>
      <c r="K513">
        <v>38</v>
      </c>
      <c r="L513" t="s">
        <v>21</v>
      </c>
      <c r="M513">
        <v>9.8068107400130972E-2</v>
      </c>
      <c r="N513" t="s">
        <v>357</v>
      </c>
      <c r="O513" t="s">
        <v>359</v>
      </c>
    </row>
    <row r="514" spans="1:15" x14ac:dyDescent="0.3">
      <c r="A514" t="s">
        <v>224</v>
      </c>
      <c r="B514" t="s">
        <v>23</v>
      </c>
      <c r="C514" s="2">
        <v>45657</v>
      </c>
      <c r="D514" t="s">
        <v>56</v>
      </c>
      <c r="E514" t="s">
        <v>136</v>
      </c>
      <c r="F514">
        <v>1018</v>
      </c>
      <c r="G514">
        <v>447</v>
      </c>
      <c r="H514">
        <v>332</v>
      </c>
      <c r="I514">
        <v>18324</v>
      </c>
      <c r="J514">
        <v>18164</v>
      </c>
      <c r="K514">
        <v>38</v>
      </c>
      <c r="L514" t="s">
        <v>21</v>
      </c>
      <c r="M514">
        <v>9.8068107400130972E-2</v>
      </c>
      <c r="N514" t="s">
        <v>358</v>
      </c>
      <c r="O514" t="s">
        <v>359</v>
      </c>
    </row>
    <row r="515" spans="1:15" x14ac:dyDescent="0.3">
      <c r="A515" t="s">
        <v>225</v>
      </c>
      <c r="B515" t="s">
        <v>35</v>
      </c>
      <c r="C515" s="2">
        <v>45518</v>
      </c>
      <c r="D515" t="s">
        <v>36</v>
      </c>
      <c r="E515" t="s">
        <v>37</v>
      </c>
      <c r="F515">
        <v>3073</v>
      </c>
      <c r="G515">
        <v>553</v>
      </c>
      <c r="H515">
        <v>174</v>
      </c>
      <c r="I515">
        <v>52241</v>
      </c>
      <c r="J515">
        <v>51605</v>
      </c>
      <c r="K515">
        <v>246</v>
      </c>
      <c r="L515" t="s">
        <v>26</v>
      </c>
      <c r="M515">
        <v>7.2739802071170159E-2</v>
      </c>
      <c r="N515" t="s">
        <v>11</v>
      </c>
      <c r="O515" t="s">
        <v>31</v>
      </c>
    </row>
    <row r="516" spans="1:15" x14ac:dyDescent="0.3">
      <c r="A516" t="s">
        <v>225</v>
      </c>
      <c r="B516" t="s">
        <v>35</v>
      </c>
      <c r="C516" s="2">
        <v>45518</v>
      </c>
      <c r="D516" t="s">
        <v>36</v>
      </c>
      <c r="E516" t="s">
        <v>37</v>
      </c>
      <c r="F516">
        <v>3073</v>
      </c>
      <c r="G516">
        <v>553</v>
      </c>
      <c r="H516">
        <v>174</v>
      </c>
      <c r="I516">
        <v>52241</v>
      </c>
      <c r="J516">
        <v>51605</v>
      </c>
      <c r="K516">
        <v>246</v>
      </c>
      <c r="L516" t="s">
        <v>26</v>
      </c>
      <c r="M516">
        <v>7.2739802071170159E-2</v>
      </c>
      <c r="N516" t="s">
        <v>357</v>
      </c>
      <c r="O516" t="s">
        <v>359</v>
      </c>
    </row>
    <row r="517" spans="1:15" x14ac:dyDescent="0.3">
      <c r="A517" t="s">
        <v>225</v>
      </c>
      <c r="B517" t="s">
        <v>35</v>
      </c>
      <c r="C517" s="2">
        <v>45518</v>
      </c>
      <c r="D517" t="s">
        <v>36</v>
      </c>
      <c r="E517" t="s">
        <v>37</v>
      </c>
      <c r="F517">
        <v>3073</v>
      </c>
      <c r="G517">
        <v>553</v>
      </c>
      <c r="H517">
        <v>174</v>
      </c>
      <c r="I517">
        <v>52241</v>
      </c>
      <c r="J517">
        <v>51605</v>
      </c>
      <c r="K517">
        <v>246</v>
      </c>
      <c r="L517" t="s">
        <v>26</v>
      </c>
      <c r="M517">
        <v>7.2739802071170159E-2</v>
      </c>
      <c r="N517" t="s">
        <v>358</v>
      </c>
      <c r="O517" t="s">
        <v>359</v>
      </c>
    </row>
    <row r="518" spans="1:15" x14ac:dyDescent="0.3">
      <c r="A518" t="s">
        <v>226</v>
      </c>
      <c r="B518" t="s">
        <v>14</v>
      </c>
      <c r="C518" s="2">
        <v>45631</v>
      </c>
      <c r="D518" t="s">
        <v>56</v>
      </c>
      <c r="E518" t="s">
        <v>95</v>
      </c>
      <c r="F518">
        <v>1330</v>
      </c>
      <c r="G518">
        <v>925</v>
      </c>
      <c r="H518">
        <v>35</v>
      </c>
      <c r="I518">
        <v>15960</v>
      </c>
      <c r="J518">
        <v>15379</v>
      </c>
      <c r="K518">
        <v>229</v>
      </c>
      <c r="L518" t="s">
        <v>26</v>
      </c>
      <c r="M518">
        <v>0.14348370927318296</v>
      </c>
      <c r="N518" t="s">
        <v>11</v>
      </c>
      <c r="O518" t="s">
        <v>48</v>
      </c>
    </row>
    <row r="519" spans="1:15" x14ac:dyDescent="0.3">
      <c r="A519" t="s">
        <v>226</v>
      </c>
      <c r="B519" t="s">
        <v>14</v>
      </c>
      <c r="C519" s="2">
        <v>45631</v>
      </c>
      <c r="D519" t="s">
        <v>56</v>
      </c>
      <c r="E519" t="s">
        <v>95</v>
      </c>
      <c r="F519">
        <v>1330</v>
      </c>
      <c r="G519">
        <v>925</v>
      </c>
      <c r="H519">
        <v>35</v>
      </c>
      <c r="I519">
        <v>15960</v>
      </c>
      <c r="J519">
        <v>15379</v>
      </c>
      <c r="K519">
        <v>229</v>
      </c>
      <c r="L519" t="s">
        <v>26</v>
      </c>
      <c r="M519">
        <v>0.14348370927318296</v>
      </c>
      <c r="N519" t="s">
        <v>357</v>
      </c>
      <c r="O519" t="s">
        <v>359</v>
      </c>
    </row>
    <row r="520" spans="1:15" x14ac:dyDescent="0.3">
      <c r="A520" t="s">
        <v>226</v>
      </c>
      <c r="B520" t="s">
        <v>14</v>
      </c>
      <c r="C520" s="2">
        <v>45631</v>
      </c>
      <c r="D520" t="s">
        <v>56</v>
      </c>
      <c r="E520" t="s">
        <v>95</v>
      </c>
      <c r="F520">
        <v>1330</v>
      </c>
      <c r="G520">
        <v>925</v>
      </c>
      <c r="H520">
        <v>35</v>
      </c>
      <c r="I520">
        <v>15960</v>
      </c>
      <c r="J520">
        <v>15379</v>
      </c>
      <c r="K520">
        <v>229</v>
      </c>
      <c r="L520" t="s">
        <v>26</v>
      </c>
      <c r="M520">
        <v>0.14348370927318296</v>
      </c>
      <c r="N520" t="s">
        <v>358</v>
      </c>
      <c r="O520" t="s">
        <v>359</v>
      </c>
    </row>
    <row r="521" spans="1:15" x14ac:dyDescent="0.3">
      <c r="A521" t="s">
        <v>227</v>
      </c>
      <c r="B521" t="s">
        <v>35</v>
      </c>
      <c r="C521" s="2">
        <v>45465</v>
      </c>
      <c r="D521" t="s">
        <v>19</v>
      </c>
      <c r="E521" t="s">
        <v>44</v>
      </c>
      <c r="F521">
        <v>3828</v>
      </c>
      <c r="G521">
        <v>148</v>
      </c>
      <c r="H521">
        <v>253</v>
      </c>
      <c r="I521">
        <v>30624</v>
      </c>
      <c r="J521">
        <v>30229</v>
      </c>
      <c r="K521">
        <v>235</v>
      </c>
      <c r="L521" t="s">
        <v>360</v>
      </c>
      <c r="M521">
        <v>0.13809430512016718</v>
      </c>
      <c r="N521" t="s">
        <v>11</v>
      </c>
      <c r="O521" t="s">
        <v>31</v>
      </c>
    </row>
    <row r="522" spans="1:15" x14ac:dyDescent="0.3">
      <c r="A522" t="s">
        <v>227</v>
      </c>
      <c r="B522" t="s">
        <v>35</v>
      </c>
      <c r="C522" s="2">
        <v>45465</v>
      </c>
      <c r="D522" t="s">
        <v>19</v>
      </c>
      <c r="E522" t="s">
        <v>44</v>
      </c>
      <c r="F522">
        <v>3828</v>
      </c>
      <c r="G522">
        <v>148</v>
      </c>
      <c r="H522">
        <v>253</v>
      </c>
      <c r="I522">
        <v>30624</v>
      </c>
      <c r="J522">
        <v>30229</v>
      </c>
      <c r="K522">
        <v>235</v>
      </c>
      <c r="L522" t="s">
        <v>360</v>
      </c>
      <c r="M522">
        <v>0.13809430512016718</v>
      </c>
      <c r="N522" t="s">
        <v>357</v>
      </c>
      <c r="O522" t="s">
        <v>359</v>
      </c>
    </row>
    <row r="523" spans="1:15" x14ac:dyDescent="0.3">
      <c r="A523" t="s">
        <v>227</v>
      </c>
      <c r="B523" t="s">
        <v>35</v>
      </c>
      <c r="C523" s="2">
        <v>45465</v>
      </c>
      <c r="D523" t="s">
        <v>19</v>
      </c>
      <c r="E523" t="s">
        <v>44</v>
      </c>
      <c r="F523">
        <v>3828</v>
      </c>
      <c r="G523">
        <v>148</v>
      </c>
      <c r="H523">
        <v>253</v>
      </c>
      <c r="I523">
        <v>30624</v>
      </c>
      <c r="J523">
        <v>30229</v>
      </c>
      <c r="K523">
        <v>235</v>
      </c>
      <c r="L523" t="s">
        <v>360</v>
      </c>
      <c r="M523">
        <v>0.13809430512016718</v>
      </c>
      <c r="N523" t="s">
        <v>358</v>
      </c>
      <c r="O523" t="s">
        <v>359</v>
      </c>
    </row>
    <row r="524" spans="1:15" x14ac:dyDescent="0.3">
      <c r="A524" t="s">
        <v>228</v>
      </c>
      <c r="B524" t="s">
        <v>28</v>
      </c>
      <c r="C524" s="2">
        <v>45674</v>
      </c>
      <c r="D524" t="s">
        <v>15</v>
      </c>
      <c r="E524" t="s">
        <v>61</v>
      </c>
      <c r="F524">
        <v>142</v>
      </c>
      <c r="G524">
        <v>784</v>
      </c>
      <c r="H524">
        <v>183</v>
      </c>
      <c r="I524">
        <v>1704</v>
      </c>
      <c r="J524">
        <v>995</v>
      </c>
      <c r="K524">
        <v>154</v>
      </c>
      <c r="L524" t="s">
        <v>32</v>
      </c>
      <c r="M524">
        <v>0.6508215962441315</v>
      </c>
      <c r="N524" t="s">
        <v>11</v>
      </c>
      <c r="O524" t="s">
        <v>48</v>
      </c>
    </row>
    <row r="525" spans="1:15" x14ac:dyDescent="0.3">
      <c r="A525" t="s">
        <v>228</v>
      </c>
      <c r="B525" t="s">
        <v>28</v>
      </c>
      <c r="C525" s="2">
        <v>45674</v>
      </c>
      <c r="D525" t="s">
        <v>15</v>
      </c>
      <c r="E525" t="s">
        <v>61</v>
      </c>
      <c r="F525">
        <v>142</v>
      </c>
      <c r="G525">
        <v>784</v>
      </c>
      <c r="H525">
        <v>183</v>
      </c>
      <c r="I525">
        <v>1704</v>
      </c>
      <c r="J525">
        <v>995</v>
      </c>
      <c r="K525">
        <v>154</v>
      </c>
      <c r="L525" t="s">
        <v>32</v>
      </c>
      <c r="M525">
        <v>0.6508215962441315</v>
      </c>
      <c r="N525" t="s">
        <v>357</v>
      </c>
      <c r="O525" t="s">
        <v>359</v>
      </c>
    </row>
    <row r="526" spans="1:15" x14ac:dyDescent="0.3">
      <c r="A526" t="s">
        <v>228</v>
      </c>
      <c r="B526" t="s">
        <v>28</v>
      </c>
      <c r="C526" s="2">
        <v>45674</v>
      </c>
      <c r="D526" t="s">
        <v>15</v>
      </c>
      <c r="E526" t="s">
        <v>61</v>
      </c>
      <c r="F526">
        <v>142</v>
      </c>
      <c r="G526">
        <v>784</v>
      </c>
      <c r="H526">
        <v>183</v>
      </c>
      <c r="I526">
        <v>1704</v>
      </c>
      <c r="J526">
        <v>995</v>
      </c>
      <c r="K526">
        <v>154</v>
      </c>
      <c r="L526" t="s">
        <v>32</v>
      </c>
      <c r="M526">
        <v>0.6508215962441315</v>
      </c>
      <c r="N526" t="s">
        <v>358</v>
      </c>
      <c r="O526" t="s">
        <v>359</v>
      </c>
    </row>
    <row r="527" spans="1:15" x14ac:dyDescent="0.3">
      <c r="A527" t="s">
        <v>229</v>
      </c>
      <c r="B527" t="s">
        <v>35</v>
      </c>
      <c r="C527" s="2">
        <v>45463</v>
      </c>
      <c r="D527" t="s">
        <v>56</v>
      </c>
      <c r="E527" t="s">
        <v>57</v>
      </c>
      <c r="F527">
        <v>3798</v>
      </c>
      <c r="G527">
        <v>31</v>
      </c>
      <c r="H527">
        <v>279</v>
      </c>
      <c r="I527">
        <v>75960</v>
      </c>
      <c r="J527">
        <v>75813</v>
      </c>
      <c r="K527">
        <v>266</v>
      </c>
      <c r="L527" t="s">
        <v>17</v>
      </c>
      <c r="M527">
        <v>5.4081095313322801E-2</v>
      </c>
      <c r="N527" t="s">
        <v>11</v>
      </c>
      <c r="O527" t="s">
        <v>25</v>
      </c>
    </row>
    <row r="528" spans="1:15" x14ac:dyDescent="0.3">
      <c r="A528" t="s">
        <v>229</v>
      </c>
      <c r="B528" t="s">
        <v>35</v>
      </c>
      <c r="C528" s="2">
        <v>45463</v>
      </c>
      <c r="D528" t="s">
        <v>56</v>
      </c>
      <c r="E528" t="s">
        <v>57</v>
      </c>
      <c r="F528">
        <v>3798</v>
      </c>
      <c r="G528">
        <v>31</v>
      </c>
      <c r="H528">
        <v>279</v>
      </c>
      <c r="I528">
        <v>75960</v>
      </c>
      <c r="J528">
        <v>75813</v>
      </c>
      <c r="K528">
        <v>266</v>
      </c>
      <c r="L528" t="s">
        <v>17</v>
      </c>
      <c r="M528">
        <v>5.4081095313322801E-2</v>
      </c>
      <c r="N528" t="s">
        <v>357</v>
      </c>
      <c r="O528" t="s">
        <v>359</v>
      </c>
    </row>
    <row r="529" spans="1:15" x14ac:dyDescent="0.3">
      <c r="A529" t="s">
        <v>229</v>
      </c>
      <c r="B529" t="s">
        <v>35</v>
      </c>
      <c r="C529" s="2">
        <v>45463</v>
      </c>
      <c r="D529" t="s">
        <v>56</v>
      </c>
      <c r="E529" t="s">
        <v>57</v>
      </c>
      <c r="F529">
        <v>3798</v>
      </c>
      <c r="G529">
        <v>31</v>
      </c>
      <c r="H529">
        <v>279</v>
      </c>
      <c r="I529">
        <v>75960</v>
      </c>
      <c r="J529">
        <v>75813</v>
      </c>
      <c r="K529">
        <v>266</v>
      </c>
      <c r="L529" t="s">
        <v>17</v>
      </c>
      <c r="M529">
        <v>5.4081095313322801E-2</v>
      </c>
      <c r="N529" t="s">
        <v>358</v>
      </c>
      <c r="O529" t="s">
        <v>359</v>
      </c>
    </row>
    <row r="530" spans="1:15" x14ac:dyDescent="0.3">
      <c r="A530" t="s">
        <v>230</v>
      </c>
      <c r="B530" t="s">
        <v>28</v>
      </c>
      <c r="C530" s="2">
        <v>45483</v>
      </c>
      <c r="D530" t="s">
        <v>36</v>
      </c>
      <c r="E530" t="s">
        <v>65</v>
      </c>
      <c r="F530">
        <v>3099</v>
      </c>
      <c r="G530">
        <v>694</v>
      </c>
      <c r="H530">
        <v>171</v>
      </c>
      <c r="I530">
        <v>43386</v>
      </c>
      <c r="J530">
        <v>42921</v>
      </c>
      <c r="K530">
        <v>52</v>
      </c>
      <c r="L530" t="s">
        <v>26</v>
      </c>
      <c r="M530">
        <v>9.1365878393951966E-2</v>
      </c>
      <c r="N530" t="s">
        <v>11</v>
      </c>
      <c r="O530" t="s">
        <v>25</v>
      </c>
    </row>
    <row r="531" spans="1:15" x14ac:dyDescent="0.3">
      <c r="A531" t="s">
        <v>230</v>
      </c>
      <c r="B531" t="s">
        <v>28</v>
      </c>
      <c r="C531" s="2">
        <v>45483</v>
      </c>
      <c r="D531" t="s">
        <v>36</v>
      </c>
      <c r="E531" t="s">
        <v>65</v>
      </c>
      <c r="F531">
        <v>3099</v>
      </c>
      <c r="G531">
        <v>694</v>
      </c>
      <c r="H531">
        <v>171</v>
      </c>
      <c r="I531">
        <v>43386</v>
      </c>
      <c r="J531">
        <v>42921</v>
      </c>
      <c r="K531">
        <v>52</v>
      </c>
      <c r="L531" t="s">
        <v>26</v>
      </c>
      <c r="M531">
        <v>9.1365878393951966E-2</v>
      </c>
      <c r="N531" t="s">
        <v>357</v>
      </c>
      <c r="O531" t="s">
        <v>359</v>
      </c>
    </row>
    <row r="532" spans="1:15" x14ac:dyDescent="0.3">
      <c r="A532" t="s">
        <v>230</v>
      </c>
      <c r="B532" t="s">
        <v>28</v>
      </c>
      <c r="C532" s="2">
        <v>45483</v>
      </c>
      <c r="D532" t="s">
        <v>36</v>
      </c>
      <c r="E532" t="s">
        <v>65</v>
      </c>
      <c r="F532">
        <v>3099</v>
      </c>
      <c r="G532">
        <v>694</v>
      </c>
      <c r="H532">
        <v>171</v>
      </c>
      <c r="I532">
        <v>43386</v>
      </c>
      <c r="J532">
        <v>42921</v>
      </c>
      <c r="K532">
        <v>52</v>
      </c>
      <c r="L532" t="s">
        <v>26</v>
      </c>
      <c r="M532">
        <v>9.1365878393951966E-2</v>
      </c>
      <c r="N532" t="s">
        <v>358</v>
      </c>
      <c r="O532" t="s">
        <v>359</v>
      </c>
    </row>
    <row r="533" spans="1:15" x14ac:dyDescent="0.3">
      <c r="A533" t="s">
        <v>231</v>
      </c>
      <c r="B533" t="s">
        <v>28</v>
      </c>
      <c r="C533" s="2">
        <v>45603</v>
      </c>
      <c r="D533" t="s">
        <v>56</v>
      </c>
      <c r="E533" t="s">
        <v>63</v>
      </c>
      <c r="F533">
        <v>129</v>
      </c>
      <c r="G533">
        <v>643</v>
      </c>
      <c r="H533">
        <v>136</v>
      </c>
      <c r="I533">
        <v>1290</v>
      </c>
      <c r="J533">
        <v>839</v>
      </c>
      <c r="K533">
        <v>238</v>
      </c>
      <c r="L533" t="s">
        <v>32</v>
      </c>
      <c r="M533">
        <v>0.70387596899224802</v>
      </c>
      <c r="N533" t="s">
        <v>11</v>
      </c>
      <c r="O533" t="s">
        <v>25</v>
      </c>
    </row>
    <row r="534" spans="1:15" x14ac:dyDescent="0.3">
      <c r="A534" t="s">
        <v>231</v>
      </c>
      <c r="B534" t="s">
        <v>28</v>
      </c>
      <c r="C534" s="2">
        <v>45603</v>
      </c>
      <c r="D534" t="s">
        <v>56</v>
      </c>
      <c r="E534" t="s">
        <v>63</v>
      </c>
      <c r="F534">
        <v>129</v>
      </c>
      <c r="G534">
        <v>643</v>
      </c>
      <c r="H534">
        <v>136</v>
      </c>
      <c r="I534">
        <v>1290</v>
      </c>
      <c r="J534">
        <v>839</v>
      </c>
      <c r="K534">
        <v>238</v>
      </c>
      <c r="L534" t="s">
        <v>32</v>
      </c>
      <c r="M534">
        <v>0.70387596899224802</v>
      </c>
      <c r="N534" t="s">
        <v>357</v>
      </c>
      <c r="O534" t="s">
        <v>359</v>
      </c>
    </row>
    <row r="535" spans="1:15" x14ac:dyDescent="0.3">
      <c r="A535" t="s">
        <v>231</v>
      </c>
      <c r="B535" t="s">
        <v>28</v>
      </c>
      <c r="C535" s="2">
        <v>45603</v>
      </c>
      <c r="D535" t="s">
        <v>56</v>
      </c>
      <c r="E535" t="s">
        <v>63</v>
      </c>
      <c r="F535">
        <v>129</v>
      </c>
      <c r="G535">
        <v>643</v>
      </c>
      <c r="H535">
        <v>136</v>
      </c>
      <c r="I535">
        <v>1290</v>
      </c>
      <c r="J535">
        <v>839</v>
      </c>
      <c r="K535">
        <v>238</v>
      </c>
      <c r="L535" t="s">
        <v>32</v>
      </c>
      <c r="M535">
        <v>0.70387596899224802</v>
      </c>
      <c r="N535" t="s">
        <v>358</v>
      </c>
      <c r="O535" t="s">
        <v>359</v>
      </c>
    </row>
    <row r="536" spans="1:15" x14ac:dyDescent="0.3">
      <c r="A536" t="s">
        <v>232</v>
      </c>
      <c r="B536" t="s">
        <v>35</v>
      </c>
      <c r="C536" s="2">
        <v>45488</v>
      </c>
      <c r="D536" t="s">
        <v>36</v>
      </c>
      <c r="E536" t="s">
        <v>37</v>
      </c>
      <c r="F536">
        <v>3796</v>
      </c>
      <c r="G536">
        <v>667</v>
      </c>
      <c r="H536">
        <v>395</v>
      </c>
      <c r="I536">
        <v>64532</v>
      </c>
      <c r="J536">
        <v>63550</v>
      </c>
      <c r="K536">
        <v>292</v>
      </c>
      <c r="L536" t="s">
        <v>360</v>
      </c>
      <c r="M536">
        <v>7.5280481001673588E-2</v>
      </c>
      <c r="N536" t="s">
        <v>11</v>
      </c>
      <c r="O536" t="s">
        <v>25</v>
      </c>
    </row>
    <row r="537" spans="1:15" x14ac:dyDescent="0.3">
      <c r="A537" t="s">
        <v>232</v>
      </c>
      <c r="B537" t="s">
        <v>35</v>
      </c>
      <c r="C537" s="2">
        <v>45488</v>
      </c>
      <c r="D537" t="s">
        <v>36</v>
      </c>
      <c r="E537" t="s">
        <v>37</v>
      </c>
      <c r="F537">
        <v>3796</v>
      </c>
      <c r="G537">
        <v>667</v>
      </c>
      <c r="H537">
        <v>395</v>
      </c>
      <c r="I537">
        <v>64532</v>
      </c>
      <c r="J537">
        <v>63550</v>
      </c>
      <c r="K537">
        <v>292</v>
      </c>
      <c r="L537" t="s">
        <v>360</v>
      </c>
      <c r="M537">
        <v>7.5280481001673588E-2</v>
      </c>
      <c r="N537" t="s">
        <v>357</v>
      </c>
      <c r="O537" t="s">
        <v>359</v>
      </c>
    </row>
    <row r="538" spans="1:15" x14ac:dyDescent="0.3">
      <c r="A538" t="s">
        <v>232</v>
      </c>
      <c r="B538" t="s">
        <v>35</v>
      </c>
      <c r="C538" s="2">
        <v>45488</v>
      </c>
      <c r="D538" t="s">
        <v>36</v>
      </c>
      <c r="E538" t="s">
        <v>37</v>
      </c>
      <c r="F538">
        <v>3796</v>
      </c>
      <c r="G538">
        <v>667</v>
      </c>
      <c r="H538">
        <v>395</v>
      </c>
      <c r="I538">
        <v>64532</v>
      </c>
      <c r="J538">
        <v>63550</v>
      </c>
      <c r="K538">
        <v>292</v>
      </c>
      <c r="L538" t="s">
        <v>360</v>
      </c>
      <c r="M538">
        <v>7.5280481001673588E-2</v>
      </c>
      <c r="N538" t="s">
        <v>358</v>
      </c>
      <c r="O538" t="s">
        <v>359</v>
      </c>
    </row>
    <row r="539" spans="1:15" x14ac:dyDescent="0.3">
      <c r="A539" t="s">
        <v>233</v>
      </c>
      <c r="B539" t="s">
        <v>23</v>
      </c>
      <c r="C539" s="2">
        <v>45629</v>
      </c>
      <c r="D539" t="s">
        <v>19</v>
      </c>
      <c r="E539" t="s">
        <v>73</v>
      </c>
      <c r="F539">
        <v>3711</v>
      </c>
      <c r="G539">
        <v>352</v>
      </c>
      <c r="H539">
        <v>290</v>
      </c>
      <c r="I539">
        <v>48243</v>
      </c>
      <c r="J539">
        <v>47579</v>
      </c>
      <c r="K539">
        <v>11</v>
      </c>
      <c r="L539" t="s">
        <v>17</v>
      </c>
      <c r="M539">
        <v>9.023070704558174E-2</v>
      </c>
      <c r="N539" t="s">
        <v>11</v>
      </c>
      <c r="O539" t="s">
        <v>25</v>
      </c>
    </row>
    <row r="540" spans="1:15" x14ac:dyDescent="0.3">
      <c r="A540" t="s">
        <v>233</v>
      </c>
      <c r="B540" t="s">
        <v>23</v>
      </c>
      <c r="C540" s="2">
        <v>45629</v>
      </c>
      <c r="D540" t="s">
        <v>19</v>
      </c>
      <c r="E540" t="s">
        <v>73</v>
      </c>
      <c r="F540">
        <v>3711</v>
      </c>
      <c r="G540">
        <v>352</v>
      </c>
      <c r="H540">
        <v>290</v>
      </c>
      <c r="I540">
        <v>48243</v>
      </c>
      <c r="J540">
        <v>47579</v>
      </c>
      <c r="K540">
        <v>11</v>
      </c>
      <c r="L540" t="s">
        <v>17</v>
      </c>
      <c r="M540">
        <v>9.023070704558174E-2</v>
      </c>
      <c r="N540" t="s">
        <v>357</v>
      </c>
      <c r="O540" t="s">
        <v>359</v>
      </c>
    </row>
    <row r="541" spans="1:15" x14ac:dyDescent="0.3">
      <c r="A541" t="s">
        <v>233</v>
      </c>
      <c r="B541" t="s">
        <v>23</v>
      </c>
      <c r="C541" s="2">
        <v>45629</v>
      </c>
      <c r="D541" t="s">
        <v>19</v>
      </c>
      <c r="E541" t="s">
        <v>73</v>
      </c>
      <c r="F541">
        <v>3711</v>
      </c>
      <c r="G541">
        <v>352</v>
      </c>
      <c r="H541">
        <v>290</v>
      </c>
      <c r="I541">
        <v>48243</v>
      </c>
      <c r="J541">
        <v>47579</v>
      </c>
      <c r="K541">
        <v>11</v>
      </c>
      <c r="L541" t="s">
        <v>17</v>
      </c>
      <c r="M541">
        <v>9.023070704558174E-2</v>
      </c>
      <c r="N541" t="s">
        <v>358</v>
      </c>
      <c r="O541" t="s">
        <v>359</v>
      </c>
    </row>
    <row r="542" spans="1:15" x14ac:dyDescent="0.3">
      <c r="A542" t="s">
        <v>234</v>
      </c>
      <c r="B542" t="s">
        <v>23</v>
      </c>
      <c r="C542" s="2">
        <v>45737</v>
      </c>
      <c r="D542" t="s">
        <v>41</v>
      </c>
      <c r="E542" t="s">
        <v>42</v>
      </c>
      <c r="F542">
        <v>606</v>
      </c>
      <c r="G542">
        <v>789</v>
      </c>
      <c r="H542">
        <v>470</v>
      </c>
      <c r="I542">
        <v>7878</v>
      </c>
      <c r="J542">
        <v>7389</v>
      </c>
      <c r="K542">
        <v>239</v>
      </c>
      <c r="L542" t="s">
        <v>26</v>
      </c>
      <c r="M542">
        <v>0.23673521198273673</v>
      </c>
      <c r="N542" t="s">
        <v>11</v>
      </c>
      <c r="O542" t="s">
        <v>31</v>
      </c>
    </row>
    <row r="543" spans="1:15" x14ac:dyDescent="0.3">
      <c r="A543" t="s">
        <v>234</v>
      </c>
      <c r="B543" t="s">
        <v>23</v>
      </c>
      <c r="C543" s="2">
        <v>45737</v>
      </c>
      <c r="D543" t="s">
        <v>41</v>
      </c>
      <c r="E543" t="s">
        <v>42</v>
      </c>
      <c r="F543">
        <v>606</v>
      </c>
      <c r="G543">
        <v>789</v>
      </c>
      <c r="H543">
        <v>470</v>
      </c>
      <c r="I543">
        <v>7878</v>
      </c>
      <c r="J543">
        <v>7389</v>
      </c>
      <c r="K543">
        <v>239</v>
      </c>
      <c r="L543" t="s">
        <v>26</v>
      </c>
      <c r="M543">
        <v>0.23673521198273673</v>
      </c>
      <c r="N543" t="s">
        <v>357</v>
      </c>
      <c r="O543" t="s">
        <v>359</v>
      </c>
    </row>
    <row r="544" spans="1:15" x14ac:dyDescent="0.3">
      <c r="A544" t="s">
        <v>234</v>
      </c>
      <c r="B544" t="s">
        <v>23</v>
      </c>
      <c r="C544" s="2">
        <v>45737</v>
      </c>
      <c r="D544" t="s">
        <v>41</v>
      </c>
      <c r="E544" t="s">
        <v>42</v>
      </c>
      <c r="F544">
        <v>606</v>
      </c>
      <c r="G544">
        <v>789</v>
      </c>
      <c r="H544">
        <v>470</v>
      </c>
      <c r="I544">
        <v>7878</v>
      </c>
      <c r="J544">
        <v>7389</v>
      </c>
      <c r="K544">
        <v>239</v>
      </c>
      <c r="L544" t="s">
        <v>26</v>
      </c>
      <c r="M544">
        <v>0.23673521198273673</v>
      </c>
      <c r="N544" t="s">
        <v>358</v>
      </c>
      <c r="O544" t="s">
        <v>359</v>
      </c>
    </row>
    <row r="545" spans="1:15" x14ac:dyDescent="0.3">
      <c r="A545" t="s">
        <v>235</v>
      </c>
      <c r="B545" t="s">
        <v>35</v>
      </c>
      <c r="C545" s="2">
        <v>45504</v>
      </c>
      <c r="D545" t="s">
        <v>41</v>
      </c>
      <c r="E545" t="s">
        <v>46</v>
      </c>
      <c r="F545">
        <v>4689</v>
      </c>
      <c r="G545">
        <v>134</v>
      </c>
      <c r="H545">
        <v>403</v>
      </c>
      <c r="I545">
        <v>51579</v>
      </c>
      <c r="J545">
        <v>50924</v>
      </c>
      <c r="K545">
        <v>173</v>
      </c>
      <c r="L545" t="s">
        <v>32</v>
      </c>
      <c r="M545">
        <v>0.10132030477519921</v>
      </c>
      <c r="N545" t="s">
        <v>11</v>
      </c>
      <c r="O545" t="s">
        <v>25</v>
      </c>
    </row>
    <row r="546" spans="1:15" x14ac:dyDescent="0.3">
      <c r="A546" t="s">
        <v>235</v>
      </c>
      <c r="B546" t="s">
        <v>35</v>
      </c>
      <c r="C546" s="2">
        <v>45504</v>
      </c>
      <c r="D546" t="s">
        <v>41</v>
      </c>
      <c r="E546" t="s">
        <v>46</v>
      </c>
      <c r="F546">
        <v>4689</v>
      </c>
      <c r="G546">
        <v>134</v>
      </c>
      <c r="H546">
        <v>403</v>
      </c>
      <c r="I546">
        <v>51579</v>
      </c>
      <c r="J546">
        <v>50924</v>
      </c>
      <c r="K546">
        <v>173</v>
      </c>
      <c r="L546" t="s">
        <v>32</v>
      </c>
      <c r="M546">
        <v>0.10132030477519921</v>
      </c>
      <c r="N546" t="s">
        <v>357</v>
      </c>
      <c r="O546" t="s">
        <v>359</v>
      </c>
    </row>
    <row r="547" spans="1:15" x14ac:dyDescent="0.3">
      <c r="A547" t="s">
        <v>235</v>
      </c>
      <c r="B547" t="s">
        <v>35</v>
      </c>
      <c r="C547" s="2">
        <v>45504</v>
      </c>
      <c r="D547" t="s">
        <v>41</v>
      </c>
      <c r="E547" t="s">
        <v>46</v>
      </c>
      <c r="F547">
        <v>4689</v>
      </c>
      <c r="G547">
        <v>134</v>
      </c>
      <c r="H547">
        <v>403</v>
      </c>
      <c r="I547">
        <v>51579</v>
      </c>
      <c r="J547">
        <v>50924</v>
      </c>
      <c r="K547">
        <v>173</v>
      </c>
      <c r="L547" t="s">
        <v>32</v>
      </c>
      <c r="M547">
        <v>0.10132030477519921</v>
      </c>
      <c r="N547" t="s">
        <v>358</v>
      </c>
      <c r="O547" t="s">
        <v>359</v>
      </c>
    </row>
    <row r="548" spans="1:15" x14ac:dyDescent="0.3">
      <c r="A548" t="s">
        <v>236</v>
      </c>
      <c r="B548" t="s">
        <v>28</v>
      </c>
      <c r="C548" s="2">
        <v>45643</v>
      </c>
      <c r="D548" t="s">
        <v>29</v>
      </c>
      <c r="E548" t="s">
        <v>30</v>
      </c>
      <c r="F548">
        <v>360</v>
      </c>
      <c r="G548">
        <v>590</v>
      </c>
      <c r="H548">
        <v>393</v>
      </c>
      <c r="I548">
        <v>4680</v>
      </c>
      <c r="J548">
        <v>4322</v>
      </c>
      <c r="K548">
        <v>208</v>
      </c>
      <c r="L548" t="s">
        <v>21</v>
      </c>
      <c r="M548">
        <v>0.28696581196581195</v>
      </c>
      <c r="N548" t="s">
        <v>11</v>
      </c>
      <c r="O548" t="s">
        <v>48</v>
      </c>
    </row>
    <row r="549" spans="1:15" x14ac:dyDescent="0.3">
      <c r="A549" t="s">
        <v>236</v>
      </c>
      <c r="B549" t="s">
        <v>28</v>
      </c>
      <c r="C549" s="2">
        <v>45643</v>
      </c>
      <c r="D549" t="s">
        <v>29</v>
      </c>
      <c r="E549" t="s">
        <v>30</v>
      </c>
      <c r="F549">
        <v>360</v>
      </c>
      <c r="G549">
        <v>590</v>
      </c>
      <c r="H549">
        <v>393</v>
      </c>
      <c r="I549">
        <v>4680</v>
      </c>
      <c r="J549">
        <v>4322</v>
      </c>
      <c r="K549">
        <v>208</v>
      </c>
      <c r="L549" t="s">
        <v>21</v>
      </c>
      <c r="M549">
        <v>0.28696581196581195</v>
      </c>
      <c r="N549" t="s">
        <v>357</v>
      </c>
      <c r="O549" t="s">
        <v>359</v>
      </c>
    </row>
    <row r="550" spans="1:15" x14ac:dyDescent="0.3">
      <c r="A550" t="s">
        <v>236</v>
      </c>
      <c r="B550" t="s">
        <v>28</v>
      </c>
      <c r="C550" s="2">
        <v>45643</v>
      </c>
      <c r="D550" t="s">
        <v>29</v>
      </c>
      <c r="E550" t="s">
        <v>30</v>
      </c>
      <c r="F550">
        <v>360</v>
      </c>
      <c r="G550">
        <v>590</v>
      </c>
      <c r="H550">
        <v>393</v>
      </c>
      <c r="I550">
        <v>4680</v>
      </c>
      <c r="J550">
        <v>4322</v>
      </c>
      <c r="K550">
        <v>208</v>
      </c>
      <c r="L550" t="s">
        <v>21</v>
      </c>
      <c r="M550">
        <v>0.28696581196581195</v>
      </c>
      <c r="N550" t="s">
        <v>358</v>
      </c>
      <c r="O550" t="s">
        <v>359</v>
      </c>
    </row>
    <row r="551" spans="1:15" x14ac:dyDescent="0.3">
      <c r="A551" t="s">
        <v>237</v>
      </c>
      <c r="B551" t="s">
        <v>14</v>
      </c>
      <c r="C551" s="2">
        <v>45501</v>
      </c>
      <c r="D551" t="s">
        <v>41</v>
      </c>
      <c r="E551" t="s">
        <v>88</v>
      </c>
      <c r="F551">
        <v>3215</v>
      </c>
      <c r="G551">
        <v>960</v>
      </c>
      <c r="H551">
        <v>202</v>
      </c>
      <c r="I551">
        <v>32150</v>
      </c>
      <c r="J551">
        <v>31404</v>
      </c>
      <c r="K551">
        <v>251</v>
      </c>
      <c r="L551" t="s">
        <v>17</v>
      </c>
      <c r="M551">
        <v>0.13614307931570763</v>
      </c>
      <c r="N551" t="s">
        <v>11</v>
      </c>
      <c r="O551" t="s">
        <v>31</v>
      </c>
    </row>
    <row r="552" spans="1:15" x14ac:dyDescent="0.3">
      <c r="A552" t="s">
        <v>237</v>
      </c>
      <c r="B552" t="s">
        <v>14</v>
      </c>
      <c r="C552" s="2">
        <v>45501</v>
      </c>
      <c r="D552" t="s">
        <v>41</v>
      </c>
      <c r="E552" t="s">
        <v>88</v>
      </c>
      <c r="F552">
        <v>3215</v>
      </c>
      <c r="G552">
        <v>960</v>
      </c>
      <c r="H552">
        <v>202</v>
      </c>
      <c r="I552">
        <v>32150</v>
      </c>
      <c r="J552">
        <v>31404</v>
      </c>
      <c r="K552">
        <v>251</v>
      </c>
      <c r="L552" t="s">
        <v>17</v>
      </c>
      <c r="M552">
        <v>0.13614307931570763</v>
      </c>
      <c r="N552" t="s">
        <v>357</v>
      </c>
      <c r="O552" t="s">
        <v>359</v>
      </c>
    </row>
    <row r="553" spans="1:15" x14ac:dyDescent="0.3">
      <c r="A553" t="s">
        <v>237</v>
      </c>
      <c r="B553" t="s">
        <v>14</v>
      </c>
      <c r="C553" s="2">
        <v>45501</v>
      </c>
      <c r="D553" t="s">
        <v>41</v>
      </c>
      <c r="E553" t="s">
        <v>88</v>
      </c>
      <c r="F553">
        <v>3215</v>
      </c>
      <c r="G553">
        <v>960</v>
      </c>
      <c r="H553">
        <v>202</v>
      </c>
      <c r="I553">
        <v>32150</v>
      </c>
      <c r="J553">
        <v>31404</v>
      </c>
      <c r="K553">
        <v>251</v>
      </c>
      <c r="L553" t="s">
        <v>17</v>
      </c>
      <c r="M553">
        <v>0.13614307931570763</v>
      </c>
      <c r="N553" t="s">
        <v>358</v>
      </c>
      <c r="O553" t="s">
        <v>359</v>
      </c>
    </row>
    <row r="554" spans="1:15" x14ac:dyDescent="0.3">
      <c r="A554" t="s">
        <v>238</v>
      </c>
      <c r="B554" t="s">
        <v>28</v>
      </c>
      <c r="C554" s="2">
        <v>45668</v>
      </c>
      <c r="D554" t="s">
        <v>36</v>
      </c>
      <c r="E554" t="s">
        <v>65</v>
      </c>
      <c r="F554">
        <v>4523</v>
      </c>
      <c r="G554">
        <v>61</v>
      </c>
      <c r="H554">
        <v>157</v>
      </c>
      <c r="I554">
        <v>49753</v>
      </c>
      <c r="J554">
        <v>49329</v>
      </c>
      <c r="K554">
        <v>71</v>
      </c>
      <c r="L554" t="s">
        <v>360</v>
      </c>
      <c r="M554">
        <v>9.5290736237010829E-2</v>
      </c>
      <c r="N554" t="s">
        <v>11</v>
      </c>
      <c r="O554" t="s">
        <v>31</v>
      </c>
    </row>
    <row r="555" spans="1:15" x14ac:dyDescent="0.3">
      <c r="A555" t="s">
        <v>238</v>
      </c>
      <c r="B555" t="s">
        <v>28</v>
      </c>
      <c r="C555" s="2">
        <v>45668</v>
      </c>
      <c r="D555" t="s">
        <v>36</v>
      </c>
      <c r="E555" t="s">
        <v>65</v>
      </c>
      <c r="F555">
        <v>4523</v>
      </c>
      <c r="G555">
        <v>61</v>
      </c>
      <c r="H555">
        <v>157</v>
      </c>
      <c r="I555">
        <v>49753</v>
      </c>
      <c r="J555">
        <v>49329</v>
      </c>
      <c r="K555">
        <v>71</v>
      </c>
      <c r="L555" t="s">
        <v>360</v>
      </c>
      <c r="M555">
        <v>9.5290736237010829E-2</v>
      </c>
      <c r="N555" t="s">
        <v>357</v>
      </c>
      <c r="O555" t="s">
        <v>359</v>
      </c>
    </row>
    <row r="556" spans="1:15" x14ac:dyDescent="0.3">
      <c r="A556" t="s">
        <v>238</v>
      </c>
      <c r="B556" t="s">
        <v>28</v>
      </c>
      <c r="C556" s="2">
        <v>45668</v>
      </c>
      <c r="D556" t="s">
        <v>36</v>
      </c>
      <c r="E556" t="s">
        <v>65</v>
      </c>
      <c r="F556">
        <v>4523</v>
      </c>
      <c r="G556">
        <v>61</v>
      </c>
      <c r="H556">
        <v>157</v>
      </c>
      <c r="I556">
        <v>49753</v>
      </c>
      <c r="J556">
        <v>49329</v>
      </c>
      <c r="K556">
        <v>71</v>
      </c>
      <c r="L556" t="s">
        <v>360</v>
      </c>
      <c r="M556">
        <v>9.5290736237010829E-2</v>
      </c>
      <c r="N556" t="s">
        <v>358</v>
      </c>
      <c r="O556" t="s">
        <v>359</v>
      </c>
    </row>
    <row r="557" spans="1:15" x14ac:dyDescent="0.3">
      <c r="A557" t="s">
        <v>239</v>
      </c>
      <c r="B557" t="s">
        <v>35</v>
      </c>
      <c r="C557" s="2">
        <v>45528</v>
      </c>
      <c r="D557" t="s">
        <v>36</v>
      </c>
      <c r="E557" t="s">
        <v>37</v>
      </c>
      <c r="F557">
        <v>4292</v>
      </c>
      <c r="G557">
        <v>51</v>
      </c>
      <c r="H557">
        <v>392</v>
      </c>
      <c r="I557">
        <v>55796</v>
      </c>
      <c r="J557">
        <v>54826</v>
      </c>
      <c r="K557">
        <v>264</v>
      </c>
      <c r="L557" t="s">
        <v>26</v>
      </c>
      <c r="M557">
        <v>8.4862714173059003E-2</v>
      </c>
      <c r="N557" t="s">
        <v>11</v>
      </c>
      <c r="O557" t="s">
        <v>31</v>
      </c>
    </row>
    <row r="558" spans="1:15" x14ac:dyDescent="0.3">
      <c r="A558" t="s">
        <v>239</v>
      </c>
      <c r="B558" t="s">
        <v>35</v>
      </c>
      <c r="C558" s="2">
        <v>45528</v>
      </c>
      <c r="D558" t="s">
        <v>36</v>
      </c>
      <c r="E558" t="s">
        <v>37</v>
      </c>
      <c r="F558">
        <v>4292</v>
      </c>
      <c r="G558">
        <v>51</v>
      </c>
      <c r="H558">
        <v>392</v>
      </c>
      <c r="I558">
        <v>55796</v>
      </c>
      <c r="J558">
        <v>54826</v>
      </c>
      <c r="K558">
        <v>264</v>
      </c>
      <c r="L558" t="s">
        <v>26</v>
      </c>
      <c r="M558">
        <v>8.4862714173059003E-2</v>
      </c>
      <c r="N558" t="s">
        <v>357</v>
      </c>
      <c r="O558" t="s">
        <v>359</v>
      </c>
    </row>
    <row r="559" spans="1:15" x14ac:dyDescent="0.3">
      <c r="A559" t="s">
        <v>239</v>
      </c>
      <c r="B559" t="s">
        <v>35</v>
      </c>
      <c r="C559" s="2">
        <v>45528</v>
      </c>
      <c r="D559" t="s">
        <v>36</v>
      </c>
      <c r="E559" t="s">
        <v>37</v>
      </c>
      <c r="F559">
        <v>4292</v>
      </c>
      <c r="G559">
        <v>51</v>
      </c>
      <c r="H559">
        <v>392</v>
      </c>
      <c r="I559">
        <v>55796</v>
      </c>
      <c r="J559">
        <v>54826</v>
      </c>
      <c r="K559">
        <v>264</v>
      </c>
      <c r="L559" t="s">
        <v>26</v>
      </c>
      <c r="M559">
        <v>8.4862714173059003E-2</v>
      </c>
      <c r="N559" t="s">
        <v>358</v>
      </c>
      <c r="O559" t="s">
        <v>359</v>
      </c>
    </row>
    <row r="560" spans="1:15" x14ac:dyDescent="0.3">
      <c r="A560" t="s">
        <v>240</v>
      </c>
      <c r="B560" t="s">
        <v>14</v>
      </c>
      <c r="C560" s="2">
        <v>45648</v>
      </c>
      <c r="D560" t="s">
        <v>15</v>
      </c>
      <c r="E560" t="s">
        <v>16</v>
      </c>
      <c r="F560">
        <v>1644</v>
      </c>
      <c r="G560">
        <v>546</v>
      </c>
      <c r="H560">
        <v>150</v>
      </c>
      <c r="I560">
        <v>27948</v>
      </c>
      <c r="J560">
        <v>27184</v>
      </c>
      <c r="K560">
        <v>300</v>
      </c>
      <c r="L560" t="s">
        <v>26</v>
      </c>
      <c r="M560">
        <v>8.3726921425504502E-2</v>
      </c>
      <c r="N560" t="s">
        <v>11</v>
      </c>
      <c r="O560" t="s">
        <v>31</v>
      </c>
    </row>
    <row r="561" spans="1:15" x14ac:dyDescent="0.3">
      <c r="A561" t="s">
        <v>240</v>
      </c>
      <c r="B561" t="s">
        <v>14</v>
      </c>
      <c r="C561" s="2">
        <v>45648</v>
      </c>
      <c r="D561" t="s">
        <v>15</v>
      </c>
      <c r="E561" t="s">
        <v>16</v>
      </c>
      <c r="F561">
        <v>1644</v>
      </c>
      <c r="G561">
        <v>546</v>
      </c>
      <c r="H561">
        <v>150</v>
      </c>
      <c r="I561">
        <v>27948</v>
      </c>
      <c r="J561">
        <v>27184</v>
      </c>
      <c r="K561">
        <v>300</v>
      </c>
      <c r="L561" t="s">
        <v>26</v>
      </c>
      <c r="M561">
        <v>8.3726921425504502E-2</v>
      </c>
      <c r="N561" t="s">
        <v>357</v>
      </c>
      <c r="O561" t="s">
        <v>359</v>
      </c>
    </row>
    <row r="562" spans="1:15" x14ac:dyDescent="0.3">
      <c r="A562" t="s">
        <v>240</v>
      </c>
      <c r="B562" t="s">
        <v>14</v>
      </c>
      <c r="C562" s="2">
        <v>45648</v>
      </c>
      <c r="D562" t="s">
        <v>15</v>
      </c>
      <c r="E562" t="s">
        <v>16</v>
      </c>
      <c r="F562">
        <v>1644</v>
      </c>
      <c r="G562">
        <v>546</v>
      </c>
      <c r="H562">
        <v>150</v>
      </c>
      <c r="I562">
        <v>27948</v>
      </c>
      <c r="J562">
        <v>27184</v>
      </c>
      <c r="K562">
        <v>300</v>
      </c>
      <c r="L562" t="s">
        <v>26</v>
      </c>
      <c r="M562">
        <v>8.3726921425504502E-2</v>
      </c>
      <c r="N562" t="s">
        <v>358</v>
      </c>
      <c r="O562" t="s">
        <v>359</v>
      </c>
    </row>
    <row r="563" spans="1:15" x14ac:dyDescent="0.3">
      <c r="A563" t="s">
        <v>241</v>
      </c>
      <c r="B563" t="s">
        <v>23</v>
      </c>
      <c r="C563" s="2">
        <v>45449</v>
      </c>
      <c r="D563" t="s">
        <v>15</v>
      </c>
      <c r="E563" t="s">
        <v>24</v>
      </c>
      <c r="F563">
        <v>2728</v>
      </c>
      <c r="G563">
        <v>533</v>
      </c>
      <c r="H563">
        <v>215</v>
      </c>
      <c r="I563">
        <v>40920</v>
      </c>
      <c r="J563">
        <v>40816</v>
      </c>
      <c r="K563">
        <v>137</v>
      </c>
      <c r="L563" t="s">
        <v>21</v>
      </c>
      <c r="M563">
        <v>8.4946236559139784E-2</v>
      </c>
      <c r="N563" t="s">
        <v>11</v>
      </c>
      <c r="O563" t="s">
        <v>48</v>
      </c>
    </row>
    <row r="564" spans="1:15" x14ac:dyDescent="0.3">
      <c r="A564" t="s">
        <v>241</v>
      </c>
      <c r="B564" t="s">
        <v>23</v>
      </c>
      <c r="C564" s="2">
        <v>45449</v>
      </c>
      <c r="D564" t="s">
        <v>15</v>
      </c>
      <c r="E564" t="s">
        <v>24</v>
      </c>
      <c r="F564">
        <v>2728</v>
      </c>
      <c r="G564">
        <v>533</v>
      </c>
      <c r="H564">
        <v>215</v>
      </c>
      <c r="I564">
        <v>40920</v>
      </c>
      <c r="J564">
        <v>40816</v>
      </c>
      <c r="K564">
        <v>137</v>
      </c>
      <c r="L564" t="s">
        <v>21</v>
      </c>
      <c r="M564">
        <v>8.4946236559139784E-2</v>
      </c>
      <c r="N564" t="s">
        <v>357</v>
      </c>
      <c r="O564" t="s">
        <v>359</v>
      </c>
    </row>
    <row r="565" spans="1:15" x14ac:dyDescent="0.3">
      <c r="A565" t="s">
        <v>241</v>
      </c>
      <c r="B565" t="s">
        <v>23</v>
      </c>
      <c r="C565" s="2">
        <v>45449</v>
      </c>
      <c r="D565" t="s">
        <v>15</v>
      </c>
      <c r="E565" t="s">
        <v>24</v>
      </c>
      <c r="F565">
        <v>2728</v>
      </c>
      <c r="G565">
        <v>533</v>
      </c>
      <c r="H565">
        <v>215</v>
      </c>
      <c r="I565">
        <v>40920</v>
      </c>
      <c r="J565">
        <v>40816</v>
      </c>
      <c r="K565">
        <v>137</v>
      </c>
      <c r="L565" t="s">
        <v>21</v>
      </c>
      <c r="M565">
        <v>8.4946236559139784E-2</v>
      </c>
      <c r="N565" t="s">
        <v>358</v>
      </c>
      <c r="O565" t="s">
        <v>359</v>
      </c>
    </row>
    <row r="566" spans="1:15" x14ac:dyDescent="0.3">
      <c r="A566" t="s">
        <v>242</v>
      </c>
      <c r="B566" t="s">
        <v>35</v>
      </c>
      <c r="C566" s="2">
        <v>45740</v>
      </c>
      <c r="D566" t="s">
        <v>15</v>
      </c>
      <c r="E566" t="s">
        <v>50</v>
      </c>
      <c r="F566">
        <v>3360</v>
      </c>
      <c r="G566">
        <v>525</v>
      </c>
      <c r="H566">
        <v>500</v>
      </c>
      <c r="I566">
        <v>60480</v>
      </c>
      <c r="J566">
        <v>59610</v>
      </c>
      <c r="K566">
        <v>192</v>
      </c>
      <c r="L566" t="s">
        <v>17</v>
      </c>
      <c r="M566">
        <v>7.2503306878306875E-2</v>
      </c>
      <c r="N566" t="s">
        <v>11</v>
      </c>
      <c r="O566" t="s">
        <v>25</v>
      </c>
    </row>
    <row r="567" spans="1:15" x14ac:dyDescent="0.3">
      <c r="A567" t="s">
        <v>242</v>
      </c>
      <c r="B567" t="s">
        <v>35</v>
      </c>
      <c r="C567" s="2">
        <v>45740</v>
      </c>
      <c r="D567" t="s">
        <v>15</v>
      </c>
      <c r="E567" t="s">
        <v>50</v>
      </c>
      <c r="F567">
        <v>3360</v>
      </c>
      <c r="G567">
        <v>525</v>
      </c>
      <c r="H567">
        <v>500</v>
      </c>
      <c r="I567">
        <v>60480</v>
      </c>
      <c r="J567">
        <v>59610</v>
      </c>
      <c r="K567">
        <v>192</v>
      </c>
      <c r="L567" t="s">
        <v>17</v>
      </c>
      <c r="M567">
        <v>7.2503306878306875E-2</v>
      </c>
      <c r="N567" t="s">
        <v>357</v>
      </c>
      <c r="O567" t="s">
        <v>359</v>
      </c>
    </row>
    <row r="568" spans="1:15" x14ac:dyDescent="0.3">
      <c r="A568" t="s">
        <v>242</v>
      </c>
      <c r="B568" t="s">
        <v>35</v>
      </c>
      <c r="C568" s="2">
        <v>45740</v>
      </c>
      <c r="D568" t="s">
        <v>15</v>
      </c>
      <c r="E568" t="s">
        <v>50</v>
      </c>
      <c r="F568">
        <v>3360</v>
      </c>
      <c r="G568">
        <v>525</v>
      </c>
      <c r="H568">
        <v>500</v>
      </c>
      <c r="I568">
        <v>60480</v>
      </c>
      <c r="J568">
        <v>59610</v>
      </c>
      <c r="K568">
        <v>192</v>
      </c>
      <c r="L568" t="s">
        <v>17</v>
      </c>
      <c r="M568">
        <v>7.2503306878306875E-2</v>
      </c>
      <c r="N568" t="s">
        <v>358</v>
      </c>
      <c r="O568" t="s">
        <v>359</v>
      </c>
    </row>
    <row r="569" spans="1:15" x14ac:dyDescent="0.3">
      <c r="A569" t="s">
        <v>243</v>
      </c>
      <c r="B569" t="s">
        <v>23</v>
      </c>
      <c r="C569" s="2">
        <v>45569</v>
      </c>
      <c r="D569" t="s">
        <v>19</v>
      </c>
      <c r="E569" t="s">
        <v>73</v>
      </c>
      <c r="F569">
        <v>1963</v>
      </c>
      <c r="G569">
        <v>213</v>
      </c>
      <c r="H569">
        <v>19</v>
      </c>
      <c r="I569">
        <v>39260</v>
      </c>
      <c r="J569">
        <v>38771</v>
      </c>
      <c r="K569">
        <v>145</v>
      </c>
      <c r="L569" t="s">
        <v>360</v>
      </c>
      <c r="M569">
        <v>5.5909322465613857E-2</v>
      </c>
      <c r="N569" t="s">
        <v>11</v>
      </c>
      <c r="O569" t="s">
        <v>48</v>
      </c>
    </row>
    <row r="570" spans="1:15" x14ac:dyDescent="0.3">
      <c r="A570" t="s">
        <v>243</v>
      </c>
      <c r="B570" t="s">
        <v>23</v>
      </c>
      <c r="C570" s="2">
        <v>45569</v>
      </c>
      <c r="D570" t="s">
        <v>19</v>
      </c>
      <c r="E570" t="s">
        <v>73</v>
      </c>
      <c r="F570">
        <v>1963</v>
      </c>
      <c r="G570">
        <v>213</v>
      </c>
      <c r="H570">
        <v>19</v>
      </c>
      <c r="I570">
        <v>39260</v>
      </c>
      <c r="J570">
        <v>38771</v>
      </c>
      <c r="K570">
        <v>145</v>
      </c>
      <c r="L570" t="s">
        <v>360</v>
      </c>
      <c r="M570">
        <v>5.5909322465613857E-2</v>
      </c>
      <c r="N570" t="s">
        <v>357</v>
      </c>
      <c r="O570" t="s">
        <v>359</v>
      </c>
    </row>
    <row r="571" spans="1:15" x14ac:dyDescent="0.3">
      <c r="A571" t="s">
        <v>243</v>
      </c>
      <c r="B571" t="s">
        <v>23</v>
      </c>
      <c r="C571" s="2">
        <v>45569</v>
      </c>
      <c r="D571" t="s">
        <v>19</v>
      </c>
      <c r="E571" t="s">
        <v>73</v>
      </c>
      <c r="F571">
        <v>1963</v>
      </c>
      <c r="G571">
        <v>213</v>
      </c>
      <c r="H571">
        <v>19</v>
      </c>
      <c r="I571">
        <v>39260</v>
      </c>
      <c r="J571">
        <v>38771</v>
      </c>
      <c r="K571">
        <v>145</v>
      </c>
      <c r="L571" t="s">
        <v>360</v>
      </c>
      <c r="M571">
        <v>5.5909322465613857E-2</v>
      </c>
      <c r="N571" t="s">
        <v>358</v>
      </c>
      <c r="O571" t="s">
        <v>359</v>
      </c>
    </row>
    <row r="572" spans="1:15" x14ac:dyDescent="0.3">
      <c r="A572" t="s">
        <v>244</v>
      </c>
      <c r="B572" t="s">
        <v>23</v>
      </c>
      <c r="C572" s="2">
        <v>45629</v>
      </c>
      <c r="D572" t="s">
        <v>29</v>
      </c>
      <c r="E572" t="s">
        <v>101</v>
      </c>
      <c r="F572">
        <v>4285</v>
      </c>
      <c r="G572">
        <v>886</v>
      </c>
      <c r="H572">
        <v>376</v>
      </c>
      <c r="I572">
        <v>55705</v>
      </c>
      <c r="J572">
        <v>55556</v>
      </c>
      <c r="K572">
        <v>51</v>
      </c>
      <c r="L572" t="s">
        <v>26</v>
      </c>
      <c r="M572">
        <v>9.9578134817341346E-2</v>
      </c>
      <c r="N572" t="s">
        <v>11</v>
      </c>
      <c r="O572" t="s">
        <v>48</v>
      </c>
    </row>
    <row r="573" spans="1:15" x14ac:dyDescent="0.3">
      <c r="A573" t="s">
        <v>244</v>
      </c>
      <c r="B573" t="s">
        <v>23</v>
      </c>
      <c r="C573" s="2">
        <v>45629</v>
      </c>
      <c r="D573" t="s">
        <v>29</v>
      </c>
      <c r="E573" t="s">
        <v>101</v>
      </c>
      <c r="F573">
        <v>4285</v>
      </c>
      <c r="G573">
        <v>886</v>
      </c>
      <c r="H573">
        <v>376</v>
      </c>
      <c r="I573">
        <v>55705</v>
      </c>
      <c r="J573">
        <v>55556</v>
      </c>
      <c r="K573">
        <v>51</v>
      </c>
      <c r="L573" t="s">
        <v>26</v>
      </c>
      <c r="M573">
        <v>9.9578134817341346E-2</v>
      </c>
      <c r="N573" t="s">
        <v>357</v>
      </c>
      <c r="O573" t="s">
        <v>359</v>
      </c>
    </row>
    <row r="574" spans="1:15" x14ac:dyDescent="0.3">
      <c r="A574" t="s">
        <v>244</v>
      </c>
      <c r="B574" t="s">
        <v>23</v>
      </c>
      <c r="C574" s="2">
        <v>45629</v>
      </c>
      <c r="D574" t="s">
        <v>29</v>
      </c>
      <c r="E574" t="s">
        <v>101</v>
      </c>
      <c r="F574">
        <v>4285</v>
      </c>
      <c r="G574">
        <v>886</v>
      </c>
      <c r="H574">
        <v>376</v>
      </c>
      <c r="I574">
        <v>55705</v>
      </c>
      <c r="J574">
        <v>55556</v>
      </c>
      <c r="K574">
        <v>51</v>
      </c>
      <c r="L574" t="s">
        <v>26</v>
      </c>
      <c r="M574">
        <v>9.9578134817341346E-2</v>
      </c>
      <c r="N574" t="s">
        <v>358</v>
      </c>
      <c r="O574" t="s">
        <v>359</v>
      </c>
    </row>
    <row r="575" spans="1:15" x14ac:dyDescent="0.3">
      <c r="A575" t="s">
        <v>245</v>
      </c>
      <c r="B575" t="s">
        <v>28</v>
      </c>
      <c r="C575" s="2">
        <v>45625</v>
      </c>
      <c r="D575" t="s">
        <v>56</v>
      </c>
      <c r="E575" t="s">
        <v>63</v>
      </c>
      <c r="F575">
        <v>1176</v>
      </c>
      <c r="G575">
        <v>464</v>
      </c>
      <c r="H575">
        <v>394</v>
      </c>
      <c r="I575">
        <v>14112</v>
      </c>
      <c r="J575">
        <v>13588</v>
      </c>
      <c r="K575">
        <v>272</v>
      </c>
      <c r="L575" t="s">
        <v>360</v>
      </c>
      <c r="M575">
        <v>0.1441326530612245</v>
      </c>
      <c r="N575" t="s">
        <v>11</v>
      </c>
      <c r="O575" t="s">
        <v>31</v>
      </c>
    </row>
    <row r="576" spans="1:15" x14ac:dyDescent="0.3">
      <c r="A576" t="s">
        <v>245</v>
      </c>
      <c r="B576" t="s">
        <v>28</v>
      </c>
      <c r="C576" s="2">
        <v>45625</v>
      </c>
      <c r="D576" t="s">
        <v>56</v>
      </c>
      <c r="E576" t="s">
        <v>63</v>
      </c>
      <c r="F576">
        <v>1176</v>
      </c>
      <c r="G576">
        <v>464</v>
      </c>
      <c r="H576">
        <v>394</v>
      </c>
      <c r="I576">
        <v>14112</v>
      </c>
      <c r="J576">
        <v>13588</v>
      </c>
      <c r="K576">
        <v>272</v>
      </c>
      <c r="L576" t="s">
        <v>360</v>
      </c>
      <c r="M576">
        <v>0.1441326530612245</v>
      </c>
      <c r="N576" t="s">
        <v>357</v>
      </c>
      <c r="O576" t="s">
        <v>359</v>
      </c>
    </row>
    <row r="577" spans="1:15" x14ac:dyDescent="0.3">
      <c r="A577" t="s">
        <v>245</v>
      </c>
      <c r="B577" t="s">
        <v>28</v>
      </c>
      <c r="C577" s="2">
        <v>45625</v>
      </c>
      <c r="D577" t="s">
        <v>56</v>
      </c>
      <c r="E577" t="s">
        <v>63</v>
      </c>
      <c r="F577">
        <v>1176</v>
      </c>
      <c r="G577">
        <v>464</v>
      </c>
      <c r="H577">
        <v>394</v>
      </c>
      <c r="I577">
        <v>14112</v>
      </c>
      <c r="J577">
        <v>13588</v>
      </c>
      <c r="K577">
        <v>272</v>
      </c>
      <c r="L577" t="s">
        <v>360</v>
      </c>
      <c r="M577">
        <v>0.1441326530612245</v>
      </c>
      <c r="N577" t="s">
        <v>358</v>
      </c>
      <c r="O577" t="s">
        <v>359</v>
      </c>
    </row>
    <row r="578" spans="1:15" x14ac:dyDescent="0.3">
      <c r="A578" t="s">
        <v>246</v>
      </c>
      <c r="B578" t="s">
        <v>14</v>
      </c>
      <c r="C578" s="2">
        <v>45546</v>
      </c>
      <c r="D578" t="s">
        <v>41</v>
      </c>
      <c r="E578" t="s">
        <v>88</v>
      </c>
      <c r="F578">
        <v>4858</v>
      </c>
      <c r="G578">
        <v>317</v>
      </c>
      <c r="H578">
        <v>129</v>
      </c>
      <c r="I578">
        <v>53438</v>
      </c>
      <c r="J578">
        <v>52687</v>
      </c>
      <c r="K578">
        <v>223</v>
      </c>
      <c r="L578" t="s">
        <v>26</v>
      </c>
      <c r="M578">
        <v>9.9255211647142488E-2</v>
      </c>
      <c r="N578" t="s">
        <v>11</v>
      </c>
      <c r="O578" t="s">
        <v>31</v>
      </c>
    </row>
    <row r="579" spans="1:15" x14ac:dyDescent="0.3">
      <c r="A579" t="s">
        <v>246</v>
      </c>
      <c r="B579" t="s">
        <v>14</v>
      </c>
      <c r="C579" s="2">
        <v>45546</v>
      </c>
      <c r="D579" t="s">
        <v>41</v>
      </c>
      <c r="E579" t="s">
        <v>88</v>
      </c>
      <c r="F579">
        <v>4858</v>
      </c>
      <c r="G579">
        <v>317</v>
      </c>
      <c r="H579">
        <v>129</v>
      </c>
      <c r="I579">
        <v>53438</v>
      </c>
      <c r="J579">
        <v>52687</v>
      </c>
      <c r="K579">
        <v>223</v>
      </c>
      <c r="L579" t="s">
        <v>26</v>
      </c>
      <c r="M579">
        <v>9.9255211647142488E-2</v>
      </c>
      <c r="N579" t="s">
        <v>357</v>
      </c>
      <c r="O579" t="s">
        <v>359</v>
      </c>
    </row>
    <row r="580" spans="1:15" x14ac:dyDescent="0.3">
      <c r="A580" t="s">
        <v>246</v>
      </c>
      <c r="B580" t="s">
        <v>14</v>
      </c>
      <c r="C580" s="2">
        <v>45546</v>
      </c>
      <c r="D580" t="s">
        <v>41</v>
      </c>
      <c r="E580" t="s">
        <v>88</v>
      </c>
      <c r="F580">
        <v>4858</v>
      </c>
      <c r="G580">
        <v>317</v>
      </c>
      <c r="H580">
        <v>129</v>
      </c>
      <c r="I580">
        <v>53438</v>
      </c>
      <c r="J580">
        <v>52687</v>
      </c>
      <c r="K580">
        <v>223</v>
      </c>
      <c r="L580" t="s">
        <v>26</v>
      </c>
      <c r="M580">
        <v>9.9255211647142488E-2</v>
      </c>
      <c r="N580" t="s">
        <v>358</v>
      </c>
      <c r="O580" t="s">
        <v>359</v>
      </c>
    </row>
    <row r="581" spans="1:15" x14ac:dyDescent="0.3">
      <c r="A581" t="s">
        <v>247</v>
      </c>
      <c r="B581" t="s">
        <v>23</v>
      </c>
      <c r="C581" s="2">
        <v>45567</v>
      </c>
      <c r="D581" t="s">
        <v>29</v>
      </c>
      <c r="E581" t="s">
        <v>101</v>
      </c>
      <c r="F581">
        <v>4350</v>
      </c>
      <c r="G581">
        <v>771</v>
      </c>
      <c r="H581">
        <v>7</v>
      </c>
      <c r="I581">
        <v>60900</v>
      </c>
      <c r="J581">
        <v>60592</v>
      </c>
      <c r="K581">
        <v>195</v>
      </c>
      <c r="L581" t="s">
        <v>17</v>
      </c>
      <c r="M581">
        <v>8.4203612479474554E-2</v>
      </c>
      <c r="N581" t="s">
        <v>11</v>
      </c>
      <c r="O581" t="s">
        <v>31</v>
      </c>
    </row>
    <row r="582" spans="1:15" x14ac:dyDescent="0.3">
      <c r="A582" t="s">
        <v>247</v>
      </c>
      <c r="B582" t="s">
        <v>23</v>
      </c>
      <c r="C582" s="2">
        <v>45567</v>
      </c>
      <c r="D582" t="s">
        <v>29</v>
      </c>
      <c r="E582" t="s">
        <v>101</v>
      </c>
      <c r="F582">
        <v>4350</v>
      </c>
      <c r="G582">
        <v>771</v>
      </c>
      <c r="H582">
        <v>7</v>
      </c>
      <c r="I582">
        <v>60900</v>
      </c>
      <c r="J582">
        <v>60592</v>
      </c>
      <c r="K582">
        <v>195</v>
      </c>
      <c r="L582" t="s">
        <v>17</v>
      </c>
      <c r="M582">
        <v>8.4203612479474554E-2</v>
      </c>
      <c r="N582" t="s">
        <v>357</v>
      </c>
      <c r="O582" t="s">
        <v>359</v>
      </c>
    </row>
    <row r="583" spans="1:15" x14ac:dyDescent="0.3">
      <c r="A583" t="s">
        <v>247</v>
      </c>
      <c r="B583" t="s">
        <v>23</v>
      </c>
      <c r="C583" s="2">
        <v>45567</v>
      </c>
      <c r="D583" t="s">
        <v>29</v>
      </c>
      <c r="E583" t="s">
        <v>101</v>
      </c>
      <c r="F583">
        <v>4350</v>
      </c>
      <c r="G583">
        <v>771</v>
      </c>
      <c r="H583">
        <v>7</v>
      </c>
      <c r="I583">
        <v>60900</v>
      </c>
      <c r="J583">
        <v>60592</v>
      </c>
      <c r="K583">
        <v>195</v>
      </c>
      <c r="L583" t="s">
        <v>17</v>
      </c>
      <c r="M583">
        <v>8.4203612479474554E-2</v>
      </c>
      <c r="N583" t="s">
        <v>358</v>
      </c>
      <c r="O583" t="s">
        <v>359</v>
      </c>
    </row>
    <row r="584" spans="1:15" x14ac:dyDescent="0.3">
      <c r="A584" t="s">
        <v>248</v>
      </c>
      <c r="B584" t="s">
        <v>28</v>
      </c>
      <c r="C584" s="2">
        <v>45519</v>
      </c>
      <c r="D584" t="s">
        <v>36</v>
      </c>
      <c r="E584" t="s">
        <v>65</v>
      </c>
      <c r="F584">
        <v>914</v>
      </c>
      <c r="G584">
        <v>464</v>
      </c>
      <c r="H584">
        <v>246</v>
      </c>
      <c r="I584">
        <v>11882</v>
      </c>
      <c r="J584">
        <v>11500</v>
      </c>
      <c r="K584">
        <v>282</v>
      </c>
      <c r="L584" t="s">
        <v>32</v>
      </c>
      <c r="M584">
        <v>0.13667732704931829</v>
      </c>
      <c r="N584" t="s">
        <v>11</v>
      </c>
      <c r="O584" t="s">
        <v>48</v>
      </c>
    </row>
    <row r="585" spans="1:15" x14ac:dyDescent="0.3">
      <c r="A585" t="s">
        <v>248</v>
      </c>
      <c r="B585" t="s">
        <v>28</v>
      </c>
      <c r="C585" s="2">
        <v>45519</v>
      </c>
      <c r="D585" t="s">
        <v>36</v>
      </c>
      <c r="E585" t="s">
        <v>65</v>
      </c>
      <c r="F585">
        <v>914</v>
      </c>
      <c r="G585">
        <v>464</v>
      </c>
      <c r="H585">
        <v>246</v>
      </c>
      <c r="I585">
        <v>11882</v>
      </c>
      <c r="J585">
        <v>11500</v>
      </c>
      <c r="K585">
        <v>282</v>
      </c>
      <c r="L585" t="s">
        <v>32</v>
      </c>
      <c r="M585">
        <v>0.13667732704931829</v>
      </c>
      <c r="N585" t="s">
        <v>357</v>
      </c>
      <c r="O585" t="s">
        <v>25</v>
      </c>
    </row>
    <row r="586" spans="1:15" x14ac:dyDescent="0.3">
      <c r="A586" t="s">
        <v>248</v>
      </c>
      <c r="B586" t="s">
        <v>28</v>
      </c>
      <c r="C586" s="2">
        <v>45519</v>
      </c>
      <c r="D586" t="s">
        <v>36</v>
      </c>
      <c r="E586" t="s">
        <v>65</v>
      </c>
      <c r="F586">
        <v>914</v>
      </c>
      <c r="G586">
        <v>464</v>
      </c>
      <c r="H586">
        <v>246</v>
      </c>
      <c r="I586">
        <v>11882</v>
      </c>
      <c r="J586">
        <v>11500</v>
      </c>
      <c r="K586">
        <v>282</v>
      </c>
      <c r="L586" t="s">
        <v>32</v>
      </c>
      <c r="M586">
        <v>0.13667732704931829</v>
      </c>
      <c r="N586" t="s">
        <v>358</v>
      </c>
      <c r="O586" t="s">
        <v>354</v>
      </c>
    </row>
    <row r="587" spans="1:15" x14ac:dyDescent="0.3">
      <c r="A587" t="s">
        <v>249</v>
      </c>
      <c r="B587" t="s">
        <v>28</v>
      </c>
      <c r="C587" s="2">
        <v>45645</v>
      </c>
      <c r="D587" t="s">
        <v>19</v>
      </c>
      <c r="E587" t="s">
        <v>78</v>
      </c>
      <c r="F587">
        <v>1813</v>
      </c>
      <c r="G587">
        <v>623</v>
      </c>
      <c r="H587">
        <v>72</v>
      </c>
      <c r="I587">
        <v>19943</v>
      </c>
      <c r="J587">
        <v>18959</v>
      </c>
      <c r="K587">
        <v>85</v>
      </c>
      <c r="L587" t="s">
        <v>26</v>
      </c>
      <c r="M587">
        <v>0.12575841147269717</v>
      </c>
      <c r="N587" t="s">
        <v>11</v>
      </c>
      <c r="O587" t="s">
        <v>31</v>
      </c>
    </row>
    <row r="588" spans="1:15" x14ac:dyDescent="0.3">
      <c r="A588" t="s">
        <v>249</v>
      </c>
      <c r="B588" t="s">
        <v>28</v>
      </c>
      <c r="C588" s="2">
        <v>45645</v>
      </c>
      <c r="D588" t="s">
        <v>19</v>
      </c>
      <c r="E588" t="s">
        <v>78</v>
      </c>
      <c r="F588">
        <v>1813</v>
      </c>
      <c r="G588">
        <v>623</v>
      </c>
      <c r="H588">
        <v>72</v>
      </c>
      <c r="I588">
        <v>19943</v>
      </c>
      <c r="J588">
        <v>18959</v>
      </c>
      <c r="K588">
        <v>85</v>
      </c>
      <c r="L588" t="s">
        <v>26</v>
      </c>
      <c r="M588">
        <v>0.12575841147269717</v>
      </c>
      <c r="N588" t="s">
        <v>357</v>
      </c>
      <c r="O588" t="s">
        <v>359</v>
      </c>
    </row>
    <row r="589" spans="1:15" x14ac:dyDescent="0.3">
      <c r="A589" t="s">
        <v>249</v>
      </c>
      <c r="B589" t="s">
        <v>28</v>
      </c>
      <c r="C589" s="2">
        <v>45645</v>
      </c>
      <c r="D589" t="s">
        <v>19</v>
      </c>
      <c r="E589" t="s">
        <v>78</v>
      </c>
      <c r="F589">
        <v>1813</v>
      </c>
      <c r="G589">
        <v>623</v>
      </c>
      <c r="H589">
        <v>72</v>
      </c>
      <c r="I589">
        <v>19943</v>
      </c>
      <c r="J589">
        <v>18959</v>
      </c>
      <c r="K589">
        <v>85</v>
      </c>
      <c r="L589" t="s">
        <v>26</v>
      </c>
      <c r="M589">
        <v>0.12575841147269717</v>
      </c>
      <c r="N589" t="s">
        <v>358</v>
      </c>
      <c r="O589" t="s">
        <v>359</v>
      </c>
    </row>
    <row r="590" spans="1:15" x14ac:dyDescent="0.3">
      <c r="A590" t="s">
        <v>250</v>
      </c>
      <c r="B590" t="s">
        <v>14</v>
      </c>
      <c r="C590" s="2">
        <v>45587</v>
      </c>
      <c r="D590" t="s">
        <v>15</v>
      </c>
      <c r="E590" t="s">
        <v>16</v>
      </c>
      <c r="F590">
        <v>4782</v>
      </c>
      <c r="G590">
        <v>721</v>
      </c>
      <c r="H590">
        <v>82</v>
      </c>
      <c r="I590">
        <v>86076</v>
      </c>
      <c r="J590">
        <v>85339</v>
      </c>
      <c r="K590">
        <v>19</v>
      </c>
      <c r="L590" t="s">
        <v>17</v>
      </c>
      <c r="M590">
        <v>6.4884520656164318E-2</v>
      </c>
      <c r="N590" t="s">
        <v>11</v>
      </c>
      <c r="O590" t="s">
        <v>31</v>
      </c>
    </row>
    <row r="591" spans="1:15" x14ac:dyDescent="0.3">
      <c r="A591" t="s">
        <v>250</v>
      </c>
      <c r="B591" t="s">
        <v>14</v>
      </c>
      <c r="C591" s="2">
        <v>45587</v>
      </c>
      <c r="D591" t="s">
        <v>15</v>
      </c>
      <c r="E591" t="s">
        <v>16</v>
      </c>
      <c r="F591">
        <v>4782</v>
      </c>
      <c r="G591">
        <v>721</v>
      </c>
      <c r="H591">
        <v>82</v>
      </c>
      <c r="I591">
        <v>86076</v>
      </c>
      <c r="J591">
        <v>85339</v>
      </c>
      <c r="K591">
        <v>19</v>
      </c>
      <c r="L591" t="s">
        <v>17</v>
      </c>
      <c r="M591">
        <v>6.4884520656164318E-2</v>
      </c>
      <c r="N591" t="s">
        <v>357</v>
      </c>
      <c r="O591" t="s">
        <v>359</v>
      </c>
    </row>
    <row r="592" spans="1:15" x14ac:dyDescent="0.3">
      <c r="A592" t="s">
        <v>250</v>
      </c>
      <c r="B592" t="s">
        <v>14</v>
      </c>
      <c r="C592" s="2">
        <v>45587</v>
      </c>
      <c r="D592" t="s">
        <v>15</v>
      </c>
      <c r="E592" t="s">
        <v>16</v>
      </c>
      <c r="F592">
        <v>4782</v>
      </c>
      <c r="G592">
        <v>721</v>
      </c>
      <c r="H592">
        <v>82</v>
      </c>
      <c r="I592">
        <v>86076</v>
      </c>
      <c r="J592">
        <v>85339</v>
      </c>
      <c r="K592">
        <v>19</v>
      </c>
      <c r="L592" t="s">
        <v>17</v>
      </c>
      <c r="M592">
        <v>6.4884520656164318E-2</v>
      </c>
      <c r="N592" t="s">
        <v>358</v>
      </c>
      <c r="O592" t="s">
        <v>359</v>
      </c>
    </row>
    <row r="593" spans="1:15" x14ac:dyDescent="0.3">
      <c r="A593" t="s">
        <v>251</v>
      </c>
      <c r="B593" t="s">
        <v>14</v>
      </c>
      <c r="C593" s="2">
        <v>45549</v>
      </c>
      <c r="D593" t="s">
        <v>41</v>
      </c>
      <c r="E593" t="s">
        <v>88</v>
      </c>
      <c r="F593">
        <v>1048</v>
      </c>
      <c r="G593">
        <v>374</v>
      </c>
      <c r="H593">
        <v>450</v>
      </c>
      <c r="I593">
        <v>9432</v>
      </c>
      <c r="J593">
        <v>8882</v>
      </c>
      <c r="K593">
        <v>158</v>
      </c>
      <c r="L593" t="s">
        <v>26</v>
      </c>
      <c r="M593">
        <v>0.19847328244274809</v>
      </c>
      <c r="N593" t="s">
        <v>11</v>
      </c>
      <c r="O593" t="s">
        <v>25</v>
      </c>
    </row>
    <row r="594" spans="1:15" x14ac:dyDescent="0.3">
      <c r="A594" t="s">
        <v>251</v>
      </c>
      <c r="B594" t="s">
        <v>14</v>
      </c>
      <c r="C594" s="2">
        <v>45549</v>
      </c>
      <c r="D594" t="s">
        <v>41</v>
      </c>
      <c r="E594" t="s">
        <v>88</v>
      </c>
      <c r="F594">
        <v>1048</v>
      </c>
      <c r="G594">
        <v>374</v>
      </c>
      <c r="H594">
        <v>450</v>
      </c>
      <c r="I594">
        <v>9432</v>
      </c>
      <c r="J594">
        <v>8882</v>
      </c>
      <c r="K594">
        <v>158</v>
      </c>
      <c r="L594" t="s">
        <v>26</v>
      </c>
      <c r="M594">
        <v>0.19847328244274809</v>
      </c>
      <c r="N594" t="s">
        <v>357</v>
      </c>
      <c r="O594" t="s">
        <v>359</v>
      </c>
    </row>
    <row r="595" spans="1:15" x14ac:dyDescent="0.3">
      <c r="A595" t="s">
        <v>251</v>
      </c>
      <c r="B595" t="s">
        <v>14</v>
      </c>
      <c r="C595" s="2">
        <v>45549</v>
      </c>
      <c r="D595" t="s">
        <v>41</v>
      </c>
      <c r="E595" t="s">
        <v>88</v>
      </c>
      <c r="F595">
        <v>1048</v>
      </c>
      <c r="G595">
        <v>374</v>
      </c>
      <c r="H595">
        <v>450</v>
      </c>
      <c r="I595">
        <v>9432</v>
      </c>
      <c r="J595">
        <v>8882</v>
      </c>
      <c r="K595">
        <v>158</v>
      </c>
      <c r="L595" t="s">
        <v>26</v>
      </c>
      <c r="M595">
        <v>0.19847328244274809</v>
      </c>
      <c r="N595" t="s">
        <v>358</v>
      </c>
      <c r="O595" t="s">
        <v>359</v>
      </c>
    </row>
    <row r="596" spans="1:15" x14ac:dyDescent="0.3">
      <c r="A596" t="s">
        <v>252</v>
      </c>
      <c r="B596" t="s">
        <v>23</v>
      </c>
      <c r="C596" s="2">
        <v>45626</v>
      </c>
      <c r="D596" t="s">
        <v>36</v>
      </c>
      <c r="E596" t="s">
        <v>52</v>
      </c>
      <c r="F596">
        <v>2509</v>
      </c>
      <c r="G596">
        <v>324</v>
      </c>
      <c r="H596">
        <v>171</v>
      </c>
      <c r="I596">
        <v>35126</v>
      </c>
      <c r="J596">
        <v>34685</v>
      </c>
      <c r="K596">
        <v>277</v>
      </c>
      <c r="L596" t="s">
        <v>21</v>
      </c>
      <c r="M596">
        <v>8.5520696919660646E-2</v>
      </c>
      <c r="N596" t="s">
        <v>11</v>
      </c>
      <c r="O596" t="s">
        <v>25</v>
      </c>
    </row>
    <row r="597" spans="1:15" x14ac:dyDescent="0.3">
      <c r="A597" t="s">
        <v>252</v>
      </c>
      <c r="B597" t="s">
        <v>23</v>
      </c>
      <c r="C597" s="2">
        <v>45626</v>
      </c>
      <c r="D597" t="s">
        <v>36</v>
      </c>
      <c r="E597" t="s">
        <v>52</v>
      </c>
      <c r="F597">
        <v>2509</v>
      </c>
      <c r="G597">
        <v>324</v>
      </c>
      <c r="H597">
        <v>171</v>
      </c>
      <c r="I597">
        <v>35126</v>
      </c>
      <c r="J597">
        <v>34685</v>
      </c>
      <c r="K597">
        <v>277</v>
      </c>
      <c r="L597" t="s">
        <v>21</v>
      </c>
      <c r="M597">
        <v>8.5520696919660646E-2</v>
      </c>
      <c r="N597" t="s">
        <v>357</v>
      </c>
      <c r="O597" t="s">
        <v>359</v>
      </c>
    </row>
    <row r="598" spans="1:15" x14ac:dyDescent="0.3">
      <c r="A598" t="s">
        <v>252</v>
      </c>
      <c r="B598" t="s">
        <v>23</v>
      </c>
      <c r="C598" s="2">
        <v>45626</v>
      </c>
      <c r="D598" t="s">
        <v>36</v>
      </c>
      <c r="E598" t="s">
        <v>52</v>
      </c>
      <c r="F598">
        <v>2509</v>
      </c>
      <c r="G598">
        <v>324</v>
      </c>
      <c r="H598">
        <v>171</v>
      </c>
      <c r="I598">
        <v>35126</v>
      </c>
      <c r="J598">
        <v>34685</v>
      </c>
      <c r="K598">
        <v>277</v>
      </c>
      <c r="L598" t="s">
        <v>21</v>
      </c>
      <c r="M598">
        <v>8.5520696919660646E-2</v>
      </c>
      <c r="N598" t="s">
        <v>358</v>
      </c>
      <c r="O598" t="s">
        <v>359</v>
      </c>
    </row>
    <row r="599" spans="1:15" x14ac:dyDescent="0.3">
      <c r="A599" t="s">
        <v>253</v>
      </c>
      <c r="B599" t="s">
        <v>35</v>
      </c>
      <c r="C599" s="2">
        <v>45754</v>
      </c>
      <c r="D599" t="s">
        <v>15</v>
      </c>
      <c r="E599" t="s">
        <v>50</v>
      </c>
      <c r="F599">
        <v>3718</v>
      </c>
      <c r="G599">
        <v>385</v>
      </c>
      <c r="H599">
        <v>310</v>
      </c>
      <c r="I599">
        <v>70642</v>
      </c>
      <c r="J599">
        <v>69749</v>
      </c>
      <c r="K599">
        <v>233</v>
      </c>
      <c r="L599" t="s">
        <v>21</v>
      </c>
      <c r="M599">
        <v>6.246991874522239E-2</v>
      </c>
      <c r="N599" t="s">
        <v>11</v>
      </c>
      <c r="O599" t="s">
        <v>25</v>
      </c>
    </row>
    <row r="600" spans="1:15" x14ac:dyDescent="0.3">
      <c r="A600" t="s">
        <v>253</v>
      </c>
      <c r="B600" t="s">
        <v>35</v>
      </c>
      <c r="C600" s="2">
        <v>45754</v>
      </c>
      <c r="D600" t="s">
        <v>15</v>
      </c>
      <c r="E600" t="s">
        <v>50</v>
      </c>
      <c r="F600">
        <v>3718</v>
      </c>
      <c r="G600">
        <v>385</v>
      </c>
      <c r="H600">
        <v>310</v>
      </c>
      <c r="I600">
        <v>70642</v>
      </c>
      <c r="J600">
        <v>69749</v>
      </c>
      <c r="K600">
        <v>233</v>
      </c>
      <c r="L600" t="s">
        <v>21</v>
      </c>
      <c r="M600">
        <v>6.246991874522239E-2</v>
      </c>
      <c r="N600" t="s">
        <v>357</v>
      </c>
      <c r="O600" t="s">
        <v>359</v>
      </c>
    </row>
    <row r="601" spans="1:15" x14ac:dyDescent="0.3">
      <c r="A601" t="s">
        <v>253</v>
      </c>
      <c r="B601" t="s">
        <v>35</v>
      </c>
      <c r="C601" s="2">
        <v>45754</v>
      </c>
      <c r="D601" t="s">
        <v>15</v>
      </c>
      <c r="E601" t="s">
        <v>50</v>
      </c>
      <c r="F601">
        <v>3718</v>
      </c>
      <c r="G601">
        <v>385</v>
      </c>
      <c r="H601">
        <v>310</v>
      </c>
      <c r="I601">
        <v>70642</v>
      </c>
      <c r="J601">
        <v>69749</v>
      </c>
      <c r="K601">
        <v>233</v>
      </c>
      <c r="L601" t="s">
        <v>21</v>
      </c>
      <c r="M601">
        <v>6.246991874522239E-2</v>
      </c>
      <c r="N601" t="s">
        <v>358</v>
      </c>
      <c r="O601" t="s">
        <v>359</v>
      </c>
    </row>
    <row r="602" spans="1:15" x14ac:dyDescent="0.3">
      <c r="A602" t="s">
        <v>254</v>
      </c>
      <c r="B602" t="s">
        <v>14</v>
      </c>
      <c r="C602" s="2">
        <v>45672</v>
      </c>
      <c r="D602" t="s">
        <v>15</v>
      </c>
      <c r="E602" t="s">
        <v>16</v>
      </c>
      <c r="F602">
        <v>802</v>
      </c>
      <c r="G602">
        <v>262</v>
      </c>
      <c r="H602">
        <v>244</v>
      </c>
      <c r="I602">
        <v>14436</v>
      </c>
      <c r="J602">
        <v>14280</v>
      </c>
      <c r="K602">
        <v>49</v>
      </c>
      <c r="L602" t="s">
        <v>17</v>
      </c>
      <c r="M602">
        <v>9.0606816292601824E-2</v>
      </c>
      <c r="N602" t="s">
        <v>11</v>
      </c>
      <c r="O602" t="s">
        <v>31</v>
      </c>
    </row>
    <row r="603" spans="1:15" x14ac:dyDescent="0.3">
      <c r="A603" t="s">
        <v>254</v>
      </c>
      <c r="B603" t="s">
        <v>14</v>
      </c>
      <c r="C603" s="2">
        <v>45672</v>
      </c>
      <c r="D603" t="s">
        <v>15</v>
      </c>
      <c r="E603" t="s">
        <v>16</v>
      </c>
      <c r="F603">
        <v>802</v>
      </c>
      <c r="G603">
        <v>262</v>
      </c>
      <c r="H603">
        <v>244</v>
      </c>
      <c r="I603">
        <v>14436</v>
      </c>
      <c r="J603">
        <v>14280</v>
      </c>
      <c r="K603">
        <v>49</v>
      </c>
      <c r="L603" t="s">
        <v>17</v>
      </c>
      <c r="M603">
        <v>9.0606816292601824E-2</v>
      </c>
      <c r="N603" t="s">
        <v>357</v>
      </c>
      <c r="O603" t="s">
        <v>359</v>
      </c>
    </row>
    <row r="604" spans="1:15" x14ac:dyDescent="0.3">
      <c r="A604" t="s">
        <v>254</v>
      </c>
      <c r="B604" t="s">
        <v>14</v>
      </c>
      <c r="C604" s="2">
        <v>45672</v>
      </c>
      <c r="D604" t="s">
        <v>15</v>
      </c>
      <c r="E604" t="s">
        <v>16</v>
      </c>
      <c r="F604">
        <v>802</v>
      </c>
      <c r="G604">
        <v>262</v>
      </c>
      <c r="H604">
        <v>244</v>
      </c>
      <c r="I604">
        <v>14436</v>
      </c>
      <c r="J604">
        <v>14280</v>
      </c>
      <c r="K604">
        <v>49</v>
      </c>
      <c r="L604" t="s">
        <v>17</v>
      </c>
      <c r="M604">
        <v>9.0606816292601824E-2</v>
      </c>
      <c r="N604" t="s">
        <v>358</v>
      </c>
      <c r="O604" t="s">
        <v>359</v>
      </c>
    </row>
    <row r="605" spans="1:15" x14ac:dyDescent="0.3">
      <c r="A605" t="s">
        <v>255</v>
      </c>
      <c r="B605" t="s">
        <v>35</v>
      </c>
      <c r="C605" s="2">
        <v>45445</v>
      </c>
      <c r="D605" t="s">
        <v>41</v>
      </c>
      <c r="E605" t="s">
        <v>46</v>
      </c>
      <c r="F605">
        <v>1871</v>
      </c>
      <c r="G605">
        <v>252</v>
      </c>
      <c r="H605">
        <v>335</v>
      </c>
      <c r="I605">
        <v>29936</v>
      </c>
      <c r="J605">
        <v>29576</v>
      </c>
      <c r="K605">
        <v>288</v>
      </c>
      <c r="L605" t="s">
        <v>26</v>
      </c>
      <c r="M605">
        <v>8.2108498129342594E-2</v>
      </c>
      <c r="N605" t="s">
        <v>11</v>
      </c>
      <c r="O605" t="s">
        <v>31</v>
      </c>
    </row>
    <row r="606" spans="1:15" x14ac:dyDescent="0.3">
      <c r="A606" t="s">
        <v>255</v>
      </c>
      <c r="B606" t="s">
        <v>35</v>
      </c>
      <c r="C606" s="2">
        <v>45445</v>
      </c>
      <c r="D606" t="s">
        <v>41</v>
      </c>
      <c r="E606" t="s">
        <v>46</v>
      </c>
      <c r="F606">
        <v>1871</v>
      </c>
      <c r="G606">
        <v>252</v>
      </c>
      <c r="H606">
        <v>335</v>
      </c>
      <c r="I606">
        <v>29936</v>
      </c>
      <c r="J606">
        <v>29576</v>
      </c>
      <c r="K606">
        <v>288</v>
      </c>
      <c r="L606" t="s">
        <v>26</v>
      </c>
      <c r="M606">
        <v>8.2108498129342594E-2</v>
      </c>
      <c r="N606" t="s">
        <v>357</v>
      </c>
      <c r="O606" t="s">
        <v>359</v>
      </c>
    </row>
    <row r="607" spans="1:15" x14ac:dyDescent="0.3">
      <c r="A607" t="s">
        <v>255</v>
      </c>
      <c r="B607" t="s">
        <v>35</v>
      </c>
      <c r="C607" s="2">
        <v>45445</v>
      </c>
      <c r="D607" t="s">
        <v>41</v>
      </c>
      <c r="E607" t="s">
        <v>46</v>
      </c>
      <c r="F607">
        <v>1871</v>
      </c>
      <c r="G607">
        <v>252</v>
      </c>
      <c r="H607">
        <v>335</v>
      </c>
      <c r="I607">
        <v>29936</v>
      </c>
      <c r="J607">
        <v>29576</v>
      </c>
      <c r="K607">
        <v>288</v>
      </c>
      <c r="L607" t="s">
        <v>26</v>
      </c>
      <c r="M607">
        <v>8.2108498129342594E-2</v>
      </c>
      <c r="N607" t="s">
        <v>358</v>
      </c>
      <c r="O607" t="s">
        <v>359</v>
      </c>
    </row>
    <row r="608" spans="1:15" x14ac:dyDescent="0.3">
      <c r="A608" t="s">
        <v>256</v>
      </c>
      <c r="B608" t="s">
        <v>28</v>
      </c>
      <c r="C608" s="2">
        <v>45617</v>
      </c>
      <c r="D608" t="s">
        <v>36</v>
      </c>
      <c r="E608" t="s">
        <v>65</v>
      </c>
      <c r="F608">
        <v>3773</v>
      </c>
      <c r="G608">
        <v>299</v>
      </c>
      <c r="H608">
        <v>38</v>
      </c>
      <c r="I608">
        <v>71687</v>
      </c>
      <c r="J608">
        <v>71447</v>
      </c>
      <c r="K608">
        <v>286</v>
      </c>
      <c r="L608" t="s">
        <v>17</v>
      </c>
      <c r="M608">
        <v>5.7332570758993957E-2</v>
      </c>
      <c r="N608" t="s">
        <v>11</v>
      </c>
      <c r="O608" t="s">
        <v>48</v>
      </c>
    </row>
    <row r="609" spans="1:15" x14ac:dyDescent="0.3">
      <c r="A609" t="s">
        <v>256</v>
      </c>
      <c r="B609" t="s">
        <v>28</v>
      </c>
      <c r="C609" s="2">
        <v>45617</v>
      </c>
      <c r="D609" t="s">
        <v>36</v>
      </c>
      <c r="E609" t="s">
        <v>65</v>
      </c>
      <c r="F609">
        <v>3773</v>
      </c>
      <c r="G609">
        <v>299</v>
      </c>
      <c r="H609">
        <v>38</v>
      </c>
      <c r="I609">
        <v>71687</v>
      </c>
      <c r="J609">
        <v>71447</v>
      </c>
      <c r="K609">
        <v>286</v>
      </c>
      <c r="L609" t="s">
        <v>17</v>
      </c>
      <c r="M609">
        <v>5.7332570758993957E-2</v>
      </c>
      <c r="N609" t="s">
        <v>357</v>
      </c>
      <c r="O609" t="s">
        <v>359</v>
      </c>
    </row>
    <row r="610" spans="1:15" x14ac:dyDescent="0.3">
      <c r="A610" t="s">
        <v>256</v>
      </c>
      <c r="B610" t="s">
        <v>28</v>
      </c>
      <c r="C610" s="2">
        <v>45617</v>
      </c>
      <c r="D610" t="s">
        <v>36</v>
      </c>
      <c r="E610" t="s">
        <v>65</v>
      </c>
      <c r="F610">
        <v>3773</v>
      </c>
      <c r="G610">
        <v>299</v>
      </c>
      <c r="H610">
        <v>38</v>
      </c>
      <c r="I610">
        <v>71687</v>
      </c>
      <c r="J610">
        <v>71447</v>
      </c>
      <c r="K610">
        <v>286</v>
      </c>
      <c r="L610" t="s">
        <v>17</v>
      </c>
      <c r="M610">
        <v>5.7332570758993957E-2</v>
      </c>
      <c r="N610" t="s">
        <v>358</v>
      </c>
      <c r="O610" t="s">
        <v>359</v>
      </c>
    </row>
    <row r="611" spans="1:15" x14ac:dyDescent="0.3">
      <c r="A611" t="s">
        <v>257</v>
      </c>
      <c r="B611" t="s">
        <v>28</v>
      </c>
      <c r="C611" s="2">
        <v>45658</v>
      </c>
      <c r="D611" t="s">
        <v>36</v>
      </c>
      <c r="E611" t="s">
        <v>65</v>
      </c>
      <c r="F611">
        <v>2234</v>
      </c>
      <c r="G611">
        <v>653</v>
      </c>
      <c r="H611">
        <v>432</v>
      </c>
      <c r="I611">
        <v>11170</v>
      </c>
      <c r="J611">
        <v>10569</v>
      </c>
      <c r="K611">
        <v>198</v>
      </c>
      <c r="L611" t="s">
        <v>26</v>
      </c>
      <c r="M611">
        <v>0.29713518352730528</v>
      </c>
      <c r="N611" t="s">
        <v>11</v>
      </c>
      <c r="O611" t="s">
        <v>48</v>
      </c>
    </row>
    <row r="612" spans="1:15" x14ac:dyDescent="0.3">
      <c r="A612" t="s">
        <v>257</v>
      </c>
      <c r="B612" t="s">
        <v>28</v>
      </c>
      <c r="C612" s="2">
        <v>45658</v>
      </c>
      <c r="D612" t="s">
        <v>36</v>
      </c>
      <c r="E612" t="s">
        <v>65</v>
      </c>
      <c r="F612">
        <v>2234</v>
      </c>
      <c r="G612">
        <v>653</v>
      </c>
      <c r="H612">
        <v>432</v>
      </c>
      <c r="I612">
        <v>11170</v>
      </c>
      <c r="J612">
        <v>10569</v>
      </c>
      <c r="K612">
        <v>198</v>
      </c>
      <c r="L612" t="s">
        <v>26</v>
      </c>
      <c r="M612">
        <v>0.29713518352730528</v>
      </c>
      <c r="N612" t="s">
        <v>357</v>
      </c>
      <c r="O612" t="s">
        <v>359</v>
      </c>
    </row>
    <row r="613" spans="1:15" x14ac:dyDescent="0.3">
      <c r="A613" t="s">
        <v>257</v>
      </c>
      <c r="B613" t="s">
        <v>28</v>
      </c>
      <c r="C613" s="2">
        <v>45658</v>
      </c>
      <c r="D613" t="s">
        <v>36</v>
      </c>
      <c r="E613" t="s">
        <v>65</v>
      </c>
      <c r="F613">
        <v>2234</v>
      </c>
      <c r="G613">
        <v>653</v>
      </c>
      <c r="H613">
        <v>432</v>
      </c>
      <c r="I613">
        <v>11170</v>
      </c>
      <c r="J613">
        <v>10569</v>
      </c>
      <c r="K613">
        <v>198</v>
      </c>
      <c r="L613" t="s">
        <v>26</v>
      </c>
      <c r="M613">
        <v>0.29713518352730528</v>
      </c>
      <c r="N613" t="s">
        <v>358</v>
      </c>
      <c r="O613" t="s">
        <v>359</v>
      </c>
    </row>
    <row r="614" spans="1:15" x14ac:dyDescent="0.3">
      <c r="A614" t="s">
        <v>258</v>
      </c>
      <c r="B614" t="s">
        <v>14</v>
      </c>
      <c r="C614" s="2">
        <v>45771</v>
      </c>
      <c r="D614" t="s">
        <v>56</v>
      </c>
      <c r="E614" t="s">
        <v>95</v>
      </c>
      <c r="F614">
        <v>3820</v>
      </c>
      <c r="G614">
        <v>697</v>
      </c>
      <c r="H614">
        <v>268</v>
      </c>
      <c r="I614">
        <v>45840</v>
      </c>
      <c r="J614">
        <v>45631</v>
      </c>
      <c r="K614">
        <v>171</v>
      </c>
      <c r="L614" t="s">
        <v>32</v>
      </c>
      <c r="M614">
        <v>0.1043848167539267</v>
      </c>
      <c r="N614" t="s">
        <v>11</v>
      </c>
      <c r="O614" t="s">
        <v>25</v>
      </c>
    </row>
    <row r="615" spans="1:15" x14ac:dyDescent="0.3">
      <c r="A615" t="s">
        <v>258</v>
      </c>
      <c r="B615" t="s">
        <v>14</v>
      </c>
      <c r="C615" s="2">
        <v>45771</v>
      </c>
      <c r="D615" t="s">
        <v>56</v>
      </c>
      <c r="E615" t="s">
        <v>95</v>
      </c>
      <c r="F615">
        <v>3820</v>
      </c>
      <c r="G615">
        <v>697</v>
      </c>
      <c r="H615">
        <v>268</v>
      </c>
      <c r="I615">
        <v>45840</v>
      </c>
      <c r="J615">
        <v>45631</v>
      </c>
      <c r="K615">
        <v>171</v>
      </c>
      <c r="L615" t="s">
        <v>32</v>
      </c>
      <c r="M615">
        <v>0.1043848167539267</v>
      </c>
      <c r="N615" t="s">
        <v>357</v>
      </c>
      <c r="O615" t="s">
        <v>356</v>
      </c>
    </row>
    <row r="616" spans="1:15" x14ac:dyDescent="0.3">
      <c r="A616" t="s">
        <v>258</v>
      </c>
      <c r="B616" t="s">
        <v>14</v>
      </c>
      <c r="C616" s="2">
        <v>45771</v>
      </c>
      <c r="D616" t="s">
        <v>56</v>
      </c>
      <c r="E616" t="s">
        <v>95</v>
      </c>
      <c r="F616">
        <v>3820</v>
      </c>
      <c r="G616">
        <v>697</v>
      </c>
      <c r="H616">
        <v>268</v>
      </c>
      <c r="I616">
        <v>45840</v>
      </c>
      <c r="J616">
        <v>45631</v>
      </c>
      <c r="K616">
        <v>171</v>
      </c>
      <c r="L616" t="s">
        <v>32</v>
      </c>
      <c r="M616">
        <v>0.1043848167539267</v>
      </c>
      <c r="N616" t="s">
        <v>358</v>
      </c>
      <c r="O616" t="s">
        <v>359</v>
      </c>
    </row>
    <row r="617" spans="1:15" x14ac:dyDescent="0.3">
      <c r="A617" t="s">
        <v>259</v>
      </c>
      <c r="B617" t="s">
        <v>14</v>
      </c>
      <c r="C617" s="2">
        <v>45467</v>
      </c>
      <c r="D617" t="s">
        <v>19</v>
      </c>
      <c r="E617" t="s">
        <v>20</v>
      </c>
      <c r="F617">
        <v>941</v>
      </c>
      <c r="G617">
        <v>121</v>
      </c>
      <c r="H617">
        <v>458</v>
      </c>
      <c r="I617">
        <v>14115</v>
      </c>
      <c r="J617">
        <v>13838</v>
      </c>
      <c r="K617">
        <v>87</v>
      </c>
      <c r="L617" t="s">
        <v>17</v>
      </c>
      <c r="M617">
        <v>0.10768685795253277</v>
      </c>
      <c r="N617" t="s">
        <v>11</v>
      </c>
      <c r="O617" t="s">
        <v>31</v>
      </c>
    </row>
    <row r="618" spans="1:15" x14ac:dyDescent="0.3">
      <c r="A618" t="s">
        <v>259</v>
      </c>
      <c r="B618" t="s">
        <v>14</v>
      </c>
      <c r="C618" s="2">
        <v>45467</v>
      </c>
      <c r="D618" t="s">
        <v>19</v>
      </c>
      <c r="E618" t="s">
        <v>20</v>
      </c>
      <c r="F618">
        <v>941</v>
      </c>
      <c r="G618">
        <v>121</v>
      </c>
      <c r="H618">
        <v>458</v>
      </c>
      <c r="I618">
        <v>14115</v>
      </c>
      <c r="J618">
        <v>13838</v>
      </c>
      <c r="K618">
        <v>87</v>
      </c>
      <c r="L618" t="s">
        <v>17</v>
      </c>
      <c r="M618">
        <v>0.10768685795253277</v>
      </c>
      <c r="N618" t="s">
        <v>357</v>
      </c>
      <c r="O618" t="s">
        <v>359</v>
      </c>
    </row>
    <row r="619" spans="1:15" x14ac:dyDescent="0.3">
      <c r="A619" t="s">
        <v>259</v>
      </c>
      <c r="B619" t="s">
        <v>14</v>
      </c>
      <c r="C619" s="2">
        <v>45467</v>
      </c>
      <c r="D619" t="s">
        <v>19</v>
      </c>
      <c r="E619" t="s">
        <v>20</v>
      </c>
      <c r="F619">
        <v>941</v>
      </c>
      <c r="G619">
        <v>121</v>
      </c>
      <c r="H619">
        <v>458</v>
      </c>
      <c r="I619">
        <v>14115</v>
      </c>
      <c r="J619">
        <v>13838</v>
      </c>
      <c r="K619">
        <v>87</v>
      </c>
      <c r="L619" t="s">
        <v>17</v>
      </c>
      <c r="M619">
        <v>0.10768685795253277</v>
      </c>
      <c r="N619" t="s">
        <v>358</v>
      </c>
      <c r="O619" t="s">
        <v>359</v>
      </c>
    </row>
    <row r="620" spans="1:15" x14ac:dyDescent="0.3">
      <c r="A620" t="s">
        <v>260</v>
      </c>
      <c r="B620" t="s">
        <v>14</v>
      </c>
      <c r="C620" s="2">
        <v>45655</v>
      </c>
      <c r="D620" t="s">
        <v>36</v>
      </c>
      <c r="E620" t="s">
        <v>39</v>
      </c>
      <c r="F620">
        <v>4274</v>
      </c>
      <c r="G620">
        <v>340</v>
      </c>
      <c r="H620">
        <v>281</v>
      </c>
      <c r="I620">
        <v>34192</v>
      </c>
      <c r="J620">
        <v>33446</v>
      </c>
      <c r="K620">
        <v>129</v>
      </c>
      <c r="L620" t="s">
        <v>26</v>
      </c>
      <c r="M620">
        <v>0.14316214319138981</v>
      </c>
      <c r="N620" t="s">
        <v>11</v>
      </c>
      <c r="O620" t="s">
        <v>25</v>
      </c>
    </row>
    <row r="621" spans="1:15" x14ac:dyDescent="0.3">
      <c r="A621" t="s">
        <v>260</v>
      </c>
      <c r="B621" t="s">
        <v>14</v>
      </c>
      <c r="C621" s="2">
        <v>45655</v>
      </c>
      <c r="D621" t="s">
        <v>36</v>
      </c>
      <c r="E621" t="s">
        <v>39</v>
      </c>
      <c r="F621">
        <v>4274</v>
      </c>
      <c r="G621">
        <v>340</v>
      </c>
      <c r="H621">
        <v>281</v>
      </c>
      <c r="I621">
        <v>34192</v>
      </c>
      <c r="J621">
        <v>33446</v>
      </c>
      <c r="K621">
        <v>129</v>
      </c>
      <c r="L621" t="s">
        <v>26</v>
      </c>
      <c r="M621">
        <v>0.14316214319138981</v>
      </c>
      <c r="N621" t="s">
        <v>357</v>
      </c>
      <c r="O621" t="s">
        <v>356</v>
      </c>
    </row>
    <row r="622" spans="1:15" x14ac:dyDescent="0.3">
      <c r="A622" t="s">
        <v>260</v>
      </c>
      <c r="B622" t="s">
        <v>14</v>
      </c>
      <c r="C622" s="2">
        <v>45655</v>
      </c>
      <c r="D622" t="s">
        <v>36</v>
      </c>
      <c r="E622" t="s">
        <v>39</v>
      </c>
      <c r="F622">
        <v>4274</v>
      </c>
      <c r="G622">
        <v>340</v>
      </c>
      <c r="H622">
        <v>281</v>
      </c>
      <c r="I622">
        <v>34192</v>
      </c>
      <c r="J622">
        <v>33446</v>
      </c>
      <c r="K622">
        <v>129</v>
      </c>
      <c r="L622" t="s">
        <v>26</v>
      </c>
      <c r="M622">
        <v>0.14316214319138981</v>
      </c>
      <c r="N622" t="s">
        <v>358</v>
      </c>
      <c r="O622" t="s">
        <v>359</v>
      </c>
    </row>
    <row r="623" spans="1:15" x14ac:dyDescent="0.3">
      <c r="A623" t="s">
        <v>261</v>
      </c>
      <c r="B623" t="s">
        <v>23</v>
      </c>
      <c r="C623" s="2">
        <v>45467</v>
      </c>
      <c r="D623" t="s">
        <v>56</v>
      </c>
      <c r="E623" t="s">
        <v>136</v>
      </c>
      <c r="F623">
        <v>2949</v>
      </c>
      <c r="G623">
        <v>476</v>
      </c>
      <c r="H623">
        <v>403</v>
      </c>
      <c r="I623">
        <v>44235</v>
      </c>
      <c r="J623">
        <v>43705</v>
      </c>
      <c r="K623">
        <v>135</v>
      </c>
      <c r="L623" t="s">
        <v>21</v>
      </c>
      <c r="M623">
        <v>8.6537809426924378E-2</v>
      </c>
      <c r="N623" t="s">
        <v>11</v>
      </c>
      <c r="O623" t="s">
        <v>25</v>
      </c>
    </row>
    <row r="624" spans="1:15" x14ac:dyDescent="0.3">
      <c r="A624" t="s">
        <v>261</v>
      </c>
      <c r="B624" t="s">
        <v>23</v>
      </c>
      <c r="C624" s="2">
        <v>45467</v>
      </c>
      <c r="D624" t="s">
        <v>56</v>
      </c>
      <c r="E624" t="s">
        <v>136</v>
      </c>
      <c r="F624">
        <v>2949</v>
      </c>
      <c r="G624">
        <v>476</v>
      </c>
      <c r="H624">
        <v>403</v>
      </c>
      <c r="I624">
        <v>44235</v>
      </c>
      <c r="J624">
        <v>43705</v>
      </c>
      <c r="K624">
        <v>135</v>
      </c>
      <c r="L624" t="s">
        <v>21</v>
      </c>
      <c r="M624">
        <v>8.6537809426924378E-2</v>
      </c>
      <c r="N624" t="s">
        <v>357</v>
      </c>
      <c r="O624" t="s">
        <v>359</v>
      </c>
    </row>
    <row r="625" spans="1:15" x14ac:dyDescent="0.3">
      <c r="A625" t="s">
        <v>261</v>
      </c>
      <c r="B625" t="s">
        <v>23</v>
      </c>
      <c r="C625" s="2">
        <v>45467</v>
      </c>
      <c r="D625" t="s">
        <v>56</v>
      </c>
      <c r="E625" t="s">
        <v>136</v>
      </c>
      <c r="F625">
        <v>2949</v>
      </c>
      <c r="G625">
        <v>476</v>
      </c>
      <c r="H625">
        <v>403</v>
      </c>
      <c r="I625">
        <v>44235</v>
      </c>
      <c r="J625">
        <v>43705</v>
      </c>
      <c r="K625">
        <v>135</v>
      </c>
      <c r="L625" t="s">
        <v>21</v>
      </c>
      <c r="M625">
        <v>8.6537809426924378E-2</v>
      </c>
      <c r="N625" t="s">
        <v>358</v>
      </c>
      <c r="O625" t="s">
        <v>359</v>
      </c>
    </row>
    <row r="626" spans="1:15" x14ac:dyDescent="0.3">
      <c r="A626" t="s">
        <v>262</v>
      </c>
      <c r="B626" t="s">
        <v>14</v>
      </c>
      <c r="C626" s="2">
        <v>45735</v>
      </c>
      <c r="D626" t="s">
        <v>56</v>
      </c>
      <c r="E626" t="s">
        <v>95</v>
      </c>
      <c r="F626">
        <v>3160</v>
      </c>
      <c r="G626">
        <v>204</v>
      </c>
      <c r="H626">
        <v>297</v>
      </c>
      <c r="I626">
        <v>44240</v>
      </c>
      <c r="J626">
        <v>43666</v>
      </c>
      <c r="K626">
        <v>49</v>
      </c>
      <c r="L626" t="s">
        <v>32</v>
      </c>
      <c r="M626">
        <v>8.2753164556962022E-2</v>
      </c>
      <c r="N626" t="s">
        <v>11</v>
      </c>
      <c r="O626" t="s">
        <v>48</v>
      </c>
    </row>
    <row r="627" spans="1:15" x14ac:dyDescent="0.3">
      <c r="A627" t="s">
        <v>262</v>
      </c>
      <c r="B627" t="s">
        <v>14</v>
      </c>
      <c r="C627" s="2">
        <v>45735</v>
      </c>
      <c r="D627" t="s">
        <v>56</v>
      </c>
      <c r="E627" t="s">
        <v>95</v>
      </c>
      <c r="F627">
        <v>3160</v>
      </c>
      <c r="G627">
        <v>204</v>
      </c>
      <c r="H627">
        <v>297</v>
      </c>
      <c r="I627">
        <v>44240</v>
      </c>
      <c r="J627">
        <v>43666</v>
      </c>
      <c r="K627">
        <v>49</v>
      </c>
      <c r="L627" t="s">
        <v>32</v>
      </c>
      <c r="M627">
        <v>8.2753164556962022E-2</v>
      </c>
      <c r="N627" t="s">
        <v>357</v>
      </c>
      <c r="O627" t="s">
        <v>354</v>
      </c>
    </row>
    <row r="628" spans="1:15" x14ac:dyDescent="0.3">
      <c r="A628" t="s">
        <v>262</v>
      </c>
      <c r="B628" t="s">
        <v>14</v>
      </c>
      <c r="C628" s="2">
        <v>45735</v>
      </c>
      <c r="D628" t="s">
        <v>56</v>
      </c>
      <c r="E628" t="s">
        <v>95</v>
      </c>
      <c r="F628">
        <v>3160</v>
      </c>
      <c r="G628">
        <v>204</v>
      </c>
      <c r="H628">
        <v>297</v>
      </c>
      <c r="I628">
        <v>44240</v>
      </c>
      <c r="J628">
        <v>43666</v>
      </c>
      <c r="K628">
        <v>49</v>
      </c>
      <c r="L628" t="s">
        <v>32</v>
      </c>
      <c r="M628">
        <v>8.2753164556962022E-2</v>
      </c>
      <c r="N628" t="s">
        <v>358</v>
      </c>
      <c r="O628" t="s">
        <v>359</v>
      </c>
    </row>
    <row r="629" spans="1:15" x14ac:dyDescent="0.3">
      <c r="A629" t="s">
        <v>263</v>
      </c>
      <c r="B629" t="s">
        <v>23</v>
      </c>
      <c r="C629" s="2">
        <v>45707</v>
      </c>
      <c r="D629" t="s">
        <v>41</v>
      </c>
      <c r="E629" t="s">
        <v>42</v>
      </c>
      <c r="F629">
        <v>257</v>
      </c>
      <c r="G629">
        <v>966</v>
      </c>
      <c r="H629">
        <v>398</v>
      </c>
      <c r="I629">
        <v>3341</v>
      </c>
      <c r="J629">
        <v>2753</v>
      </c>
      <c r="K629">
        <v>287</v>
      </c>
      <c r="L629" t="s">
        <v>17</v>
      </c>
      <c r="M629">
        <v>0.48518407662376534</v>
      </c>
      <c r="N629" t="s">
        <v>11</v>
      </c>
      <c r="O629" t="s">
        <v>48</v>
      </c>
    </row>
    <row r="630" spans="1:15" x14ac:dyDescent="0.3">
      <c r="A630" t="s">
        <v>263</v>
      </c>
      <c r="B630" t="s">
        <v>23</v>
      </c>
      <c r="C630" s="2">
        <v>45707</v>
      </c>
      <c r="D630" t="s">
        <v>41</v>
      </c>
      <c r="E630" t="s">
        <v>42</v>
      </c>
      <c r="F630">
        <v>257</v>
      </c>
      <c r="G630">
        <v>966</v>
      </c>
      <c r="H630">
        <v>398</v>
      </c>
      <c r="I630">
        <v>3341</v>
      </c>
      <c r="J630">
        <v>2753</v>
      </c>
      <c r="K630">
        <v>287</v>
      </c>
      <c r="L630" t="s">
        <v>17</v>
      </c>
      <c r="M630">
        <v>0.48518407662376534</v>
      </c>
      <c r="N630" t="s">
        <v>357</v>
      </c>
      <c r="O630" t="s">
        <v>359</v>
      </c>
    </row>
    <row r="631" spans="1:15" x14ac:dyDescent="0.3">
      <c r="A631" t="s">
        <v>263</v>
      </c>
      <c r="B631" t="s">
        <v>23</v>
      </c>
      <c r="C631" s="2">
        <v>45707</v>
      </c>
      <c r="D631" t="s">
        <v>41</v>
      </c>
      <c r="E631" t="s">
        <v>42</v>
      </c>
      <c r="F631">
        <v>257</v>
      </c>
      <c r="G631">
        <v>966</v>
      </c>
      <c r="H631">
        <v>398</v>
      </c>
      <c r="I631">
        <v>3341</v>
      </c>
      <c r="J631">
        <v>2753</v>
      </c>
      <c r="K631">
        <v>287</v>
      </c>
      <c r="L631" t="s">
        <v>17</v>
      </c>
      <c r="M631">
        <v>0.48518407662376534</v>
      </c>
      <c r="N631" t="s">
        <v>358</v>
      </c>
      <c r="O631" t="s">
        <v>359</v>
      </c>
    </row>
    <row r="632" spans="1:15" x14ac:dyDescent="0.3">
      <c r="A632" t="s">
        <v>264</v>
      </c>
      <c r="B632" t="s">
        <v>14</v>
      </c>
      <c r="C632" s="2">
        <v>45491</v>
      </c>
      <c r="D632" t="s">
        <v>36</v>
      </c>
      <c r="E632" t="s">
        <v>39</v>
      </c>
      <c r="F632">
        <v>2120</v>
      </c>
      <c r="G632">
        <v>38</v>
      </c>
      <c r="H632">
        <v>212</v>
      </c>
      <c r="I632">
        <v>12720</v>
      </c>
      <c r="J632">
        <v>12564</v>
      </c>
      <c r="K632">
        <v>21</v>
      </c>
      <c r="L632" t="s">
        <v>32</v>
      </c>
      <c r="M632">
        <v>0.18632075471698112</v>
      </c>
      <c r="N632" t="s">
        <v>11</v>
      </c>
      <c r="O632" t="s">
        <v>48</v>
      </c>
    </row>
    <row r="633" spans="1:15" x14ac:dyDescent="0.3">
      <c r="A633" t="s">
        <v>264</v>
      </c>
      <c r="B633" t="s">
        <v>14</v>
      </c>
      <c r="C633" s="2">
        <v>45491</v>
      </c>
      <c r="D633" t="s">
        <v>36</v>
      </c>
      <c r="E633" t="s">
        <v>39</v>
      </c>
      <c r="F633">
        <v>2120</v>
      </c>
      <c r="G633">
        <v>38</v>
      </c>
      <c r="H633">
        <v>212</v>
      </c>
      <c r="I633">
        <v>12720</v>
      </c>
      <c r="J633">
        <v>12564</v>
      </c>
      <c r="K633">
        <v>21</v>
      </c>
      <c r="L633" t="s">
        <v>32</v>
      </c>
      <c r="M633">
        <v>0.18632075471698112</v>
      </c>
      <c r="N633" t="s">
        <v>357</v>
      </c>
      <c r="O633" t="s">
        <v>359</v>
      </c>
    </row>
    <row r="634" spans="1:15" x14ac:dyDescent="0.3">
      <c r="A634" t="s">
        <v>264</v>
      </c>
      <c r="B634" t="s">
        <v>14</v>
      </c>
      <c r="C634" s="2">
        <v>45491</v>
      </c>
      <c r="D634" t="s">
        <v>36</v>
      </c>
      <c r="E634" t="s">
        <v>39</v>
      </c>
      <c r="F634">
        <v>2120</v>
      </c>
      <c r="G634">
        <v>38</v>
      </c>
      <c r="H634">
        <v>212</v>
      </c>
      <c r="I634">
        <v>12720</v>
      </c>
      <c r="J634">
        <v>12564</v>
      </c>
      <c r="K634">
        <v>21</v>
      </c>
      <c r="L634" t="s">
        <v>32</v>
      </c>
      <c r="M634">
        <v>0.18632075471698112</v>
      </c>
      <c r="N634" t="s">
        <v>358</v>
      </c>
      <c r="O634" t="s">
        <v>359</v>
      </c>
    </row>
    <row r="635" spans="1:15" x14ac:dyDescent="0.3">
      <c r="A635" t="s">
        <v>265</v>
      </c>
      <c r="B635" t="s">
        <v>23</v>
      </c>
      <c r="C635" s="2">
        <v>45719</v>
      </c>
      <c r="D635" t="s">
        <v>56</v>
      </c>
      <c r="E635" t="s">
        <v>136</v>
      </c>
      <c r="F635">
        <v>3874</v>
      </c>
      <c r="G635">
        <v>884</v>
      </c>
      <c r="H635">
        <v>19</v>
      </c>
      <c r="I635">
        <v>38740</v>
      </c>
      <c r="J635">
        <v>38552</v>
      </c>
      <c r="K635">
        <v>219</v>
      </c>
      <c r="L635" t="s">
        <v>21</v>
      </c>
      <c r="M635">
        <v>0.123309241094476</v>
      </c>
      <c r="N635" t="s">
        <v>11</v>
      </c>
      <c r="O635" t="s">
        <v>25</v>
      </c>
    </row>
    <row r="636" spans="1:15" x14ac:dyDescent="0.3">
      <c r="A636" t="s">
        <v>265</v>
      </c>
      <c r="B636" t="s">
        <v>23</v>
      </c>
      <c r="C636" s="2">
        <v>45719</v>
      </c>
      <c r="D636" t="s">
        <v>56</v>
      </c>
      <c r="E636" t="s">
        <v>136</v>
      </c>
      <c r="F636">
        <v>3874</v>
      </c>
      <c r="G636">
        <v>884</v>
      </c>
      <c r="H636">
        <v>19</v>
      </c>
      <c r="I636">
        <v>38740</v>
      </c>
      <c r="J636">
        <v>38552</v>
      </c>
      <c r="K636">
        <v>219</v>
      </c>
      <c r="L636" t="s">
        <v>21</v>
      </c>
      <c r="M636">
        <v>0.123309241094476</v>
      </c>
      <c r="N636" t="s">
        <v>357</v>
      </c>
      <c r="O636" t="s">
        <v>359</v>
      </c>
    </row>
    <row r="637" spans="1:15" x14ac:dyDescent="0.3">
      <c r="A637" t="s">
        <v>265</v>
      </c>
      <c r="B637" t="s">
        <v>23</v>
      </c>
      <c r="C637" s="2">
        <v>45719</v>
      </c>
      <c r="D637" t="s">
        <v>56</v>
      </c>
      <c r="E637" t="s">
        <v>136</v>
      </c>
      <c r="F637">
        <v>3874</v>
      </c>
      <c r="G637">
        <v>884</v>
      </c>
      <c r="H637">
        <v>19</v>
      </c>
      <c r="I637">
        <v>38740</v>
      </c>
      <c r="J637">
        <v>38552</v>
      </c>
      <c r="K637">
        <v>219</v>
      </c>
      <c r="L637" t="s">
        <v>21</v>
      </c>
      <c r="M637">
        <v>0.123309241094476</v>
      </c>
      <c r="N637" t="s">
        <v>358</v>
      </c>
      <c r="O637" t="s">
        <v>359</v>
      </c>
    </row>
    <row r="638" spans="1:15" x14ac:dyDescent="0.3">
      <c r="A638" t="s">
        <v>266</v>
      </c>
      <c r="B638" t="s">
        <v>35</v>
      </c>
      <c r="C638" s="2">
        <v>45778</v>
      </c>
      <c r="D638" t="s">
        <v>36</v>
      </c>
      <c r="E638" t="s">
        <v>37</v>
      </c>
      <c r="F638">
        <v>2696</v>
      </c>
      <c r="G638">
        <v>628</v>
      </c>
      <c r="H638">
        <v>443</v>
      </c>
      <c r="I638">
        <v>45832</v>
      </c>
      <c r="J638">
        <v>45632</v>
      </c>
      <c r="K638">
        <v>248</v>
      </c>
      <c r="L638" t="s">
        <v>32</v>
      </c>
      <c r="M638">
        <v>8.21914819340199E-2</v>
      </c>
      <c r="N638" t="s">
        <v>11</v>
      </c>
      <c r="O638" t="s">
        <v>31</v>
      </c>
    </row>
    <row r="639" spans="1:15" x14ac:dyDescent="0.3">
      <c r="A639" t="s">
        <v>266</v>
      </c>
      <c r="B639" t="s">
        <v>35</v>
      </c>
      <c r="C639" s="2">
        <v>45778</v>
      </c>
      <c r="D639" t="s">
        <v>36</v>
      </c>
      <c r="E639" t="s">
        <v>37</v>
      </c>
      <c r="F639">
        <v>2696</v>
      </c>
      <c r="G639">
        <v>628</v>
      </c>
      <c r="H639">
        <v>443</v>
      </c>
      <c r="I639">
        <v>45832</v>
      </c>
      <c r="J639">
        <v>45632</v>
      </c>
      <c r="K639">
        <v>248</v>
      </c>
      <c r="L639" t="s">
        <v>32</v>
      </c>
      <c r="M639">
        <v>8.21914819340199E-2</v>
      </c>
      <c r="N639" t="s">
        <v>357</v>
      </c>
      <c r="O639" t="s">
        <v>359</v>
      </c>
    </row>
    <row r="640" spans="1:15" x14ac:dyDescent="0.3">
      <c r="A640" t="s">
        <v>266</v>
      </c>
      <c r="B640" t="s">
        <v>35</v>
      </c>
      <c r="C640" s="2">
        <v>45778</v>
      </c>
      <c r="D640" t="s">
        <v>36</v>
      </c>
      <c r="E640" t="s">
        <v>37</v>
      </c>
      <c r="F640">
        <v>2696</v>
      </c>
      <c r="G640">
        <v>628</v>
      </c>
      <c r="H640">
        <v>443</v>
      </c>
      <c r="I640">
        <v>45832</v>
      </c>
      <c r="J640">
        <v>45632</v>
      </c>
      <c r="K640">
        <v>248</v>
      </c>
      <c r="L640" t="s">
        <v>32</v>
      </c>
      <c r="M640">
        <v>8.21914819340199E-2</v>
      </c>
      <c r="N640" t="s">
        <v>358</v>
      </c>
      <c r="O640" t="s">
        <v>359</v>
      </c>
    </row>
    <row r="641" spans="1:15" x14ac:dyDescent="0.3">
      <c r="A641" t="s">
        <v>267</v>
      </c>
      <c r="B641" t="s">
        <v>28</v>
      </c>
      <c r="C641" s="2">
        <v>45649</v>
      </c>
      <c r="D641" t="s">
        <v>41</v>
      </c>
      <c r="E641" t="s">
        <v>134</v>
      </c>
      <c r="F641">
        <v>521</v>
      </c>
      <c r="G641">
        <v>746</v>
      </c>
      <c r="H641">
        <v>315</v>
      </c>
      <c r="I641">
        <v>4168</v>
      </c>
      <c r="J641">
        <v>3399</v>
      </c>
      <c r="K641">
        <v>282</v>
      </c>
      <c r="L641" t="s">
        <v>21</v>
      </c>
      <c r="M641">
        <v>0.37955854126679461</v>
      </c>
      <c r="N641" t="s">
        <v>11</v>
      </c>
      <c r="O641" t="s">
        <v>48</v>
      </c>
    </row>
    <row r="642" spans="1:15" x14ac:dyDescent="0.3">
      <c r="A642" t="s">
        <v>267</v>
      </c>
      <c r="B642" t="s">
        <v>28</v>
      </c>
      <c r="C642" s="2">
        <v>45649</v>
      </c>
      <c r="D642" t="s">
        <v>41</v>
      </c>
      <c r="E642" t="s">
        <v>134</v>
      </c>
      <c r="F642">
        <v>521</v>
      </c>
      <c r="G642">
        <v>746</v>
      </c>
      <c r="H642">
        <v>315</v>
      </c>
      <c r="I642">
        <v>4168</v>
      </c>
      <c r="J642">
        <v>3399</v>
      </c>
      <c r="K642">
        <v>282</v>
      </c>
      <c r="L642" t="s">
        <v>21</v>
      </c>
      <c r="M642">
        <v>0.37955854126679461</v>
      </c>
      <c r="N642" t="s">
        <v>357</v>
      </c>
      <c r="O642" t="s">
        <v>359</v>
      </c>
    </row>
    <row r="643" spans="1:15" x14ac:dyDescent="0.3">
      <c r="A643" t="s">
        <v>267</v>
      </c>
      <c r="B643" t="s">
        <v>28</v>
      </c>
      <c r="C643" s="2">
        <v>45649</v>
      </c>
      <c r="D643" t="s">
        <v>41</v>
      </c>
      <c r="E643" t="s">
        <v>134</v>
      </c>
      <c r="F643">
        <v>521</v>
      </c>
      <c r="G643">
        <v>746</v>
      </c>
      <c r="H643">
        <v>315</v>
      </c>
      <c r="I643">
        <v>4168</v>
      </c>
      <c r="J643">
        <v>3399</v>
      </c>
      <c r="K643">
        <v>282</v>
      </c>
      <c r="L643" t="s">
        <v>21</v>
      </c>
      <c r="M643">
        <v>0.37955854126679461</v>
      </c>
      <c r="N643" t="s">
        <v>358</v>
      </c>
      <c r="O643" t="s">
        <v>359</v>
      </c>
    </row>
    <row r="644" spans="1:15" x14ac:dyDescent="0.3">
      <c r="A644" t="s">
        <v>268</v>
      </c>
      <c r="B644" t="s">
        <v>35</v>
      </c>
      <c r="C644" s="2">
        <v>45783</v>
      </c>
      <c r="D644" t="s">
        <v>41</v>
      </c>
      <c r="E644" t="s">
        <v>46</v>
      </c>
      <c r="F644">
        <v>4872</v>
      </c>
      <c r="G644">
        <v>925</v>
      </c>
      <c r="H644">
        <v>176</v>
      </c>
      <c r="I644">
        <v>82824</v>
      </c>
      <c r="J644">
        <v>82543</v>
      </c>
      <c r="K644">
        <v>89</v>
      </c>
      <c r="L644" t="s">
        <v>21</v>
      </c>
      <c r="M644">
        <v>7.2116777745580993E-2</v>
      </c>
      <c r="N644" t="s">
        <v>11</v>
      </c>
      <c r="O644" t="s">
        <v>31</v>
      </c>
    </row>
    <row r="645" spans="1:15" x14ac:dyDescent="0.3">
      <c r="A645" t="s">
        <v>268</v>
      </c>
      <c r="B645" t="s">
        <v>35</v>
      </c>
      <c r="C645" s="2">
        <v>45783</v>
      </c>
      <c r="D645" t="s">
        <v>41</v>
      </c>
      <c r="E645" t="s">
        <v>46</v>
      </c>
      <c r="F645">
        <v>4872</v>
      </c>
      <c r="G645">
        <v>925</v>
      </c>
      <c r="H645">
        <v>176</v>
      </c>
      <c r="I645">
        <v>82824</v>
      </c>
      <c r="J645">
        <v>82543</v>
      </c>
      <c r="K645">
        <v>89</v>
      </c>
      <c r="L645" t="s">
        <v>21</v>
      </c>
      <c r="M645">
        <v>7.2116777745580993E-2</v>
      </c>
      <c r="N645" t="s">
        <v>357</v>
      </c>
      <c r="O645" t="s">
        <v>359</v>
      </c>
    </row>
    <row r="646" spans="1:15" x14ac:dyDescent="0.3">
      <c r="A646" t="s">
        <v>268</v>
      </c>
      <c r="B646" t="s">
        <v>35</v>
      </c>
      <c r="C646" s="2">
        <v>45783</v>
      </c>
      <c r="D646" t="s">
        <v>41</v>
      </c>
      <c r="E646" t="s">
        <v>46</v>
      </c>
      <c r="F646">
        <v>4872</v>
      </c>
      <c r="G646">
        <v>925</v>
      </c>
      <c r="H646">
        <v>176</v>
      </c>
      <c r="I646">
        <v>82824</v>
      </c>
      <c r="J646">
        <v>82543</v>
      </c>
      <c r="K646">
        <v>89</v>
      </c>
      <c r="L646" t="s">
        <v>21</v>
      </c>
      <c r="M646">
        <v>7.2116777745580993E-2</v>
      </c>
      <c r="N646" t="s">
        <v>358</v>
      </c>
      <c r="O646" t="s">
        <v>359</v>
      </c>
    </row>
    <row r="647" spans="1:15" x14ac:dyDescent="0.3">
      <c r="A647" t="s">
        <v>269</v>
      </c>
      <c r="B647" t="s">
        <v>23</v>
      </c>
      <c r="C647" s="2">
        <v>45502</v>
      </c>
      <c r="D647" t="s">
        <v>29</v>
      </c>
      <c r="E647" t="s">
        <v>101</v>
      </c>
      <c r="F647">
        <v>1509</v>
      </c>
      <c r="G647">
        <v>88</v>
      </c>
      <c r="H647">
        <v>163</v>
      </c>
      <c r="I647">
        <v>30180</v>
      </c>
      <c r="J647">
        <v>29689</v>
      </c>
      <c r="K647">
        <v>119</v>
      </c>
      <c r="L647" t="s">
        <v>21</v>
      </c>
      <c r="M647">
        <v>5.8316766070245198E-2</v>
      </c>
      <c r="N647" t="s">
        <v>11</v>
      </c>
      <c r="O647" t="s">
        <v>31</v>
      </c>
    </row>
    <row r="648" spans="1:15" x14ac:dyDescent="0.3">
      <c r="A648" t="s">
        <v>269</v>
      </c>
      <c r="B648" t="s">
        <v>23</v>
      </c>
      <c r="C648" s="2">
        <v>45502</v>
      </c>
      <c r="D648" t="s">
        <v>29</v>
      </c>
      <c r="E648" t="s">
        <v>101</v>
      </c>
      <c r="F648">
        <v>1509</v>
      </c>
      <c r="G648">
        <v>88</v>
      </c>
      <c r="H648">
        <v>163</v>
      </c>
      <c r="I648">
        <v>30180</v>
      </c>
      <c r="J648">
        <v>29689</v>
      </c>
      <c r="K648">
        <v>119</v>
      </c>
      <c r="L648" t="s">
        <v>21</v>
      </c>
      <c r="M648">
        <v>5.8316766070245198E-2</v>
      </c>
      <c r="N648" t="s">
        <v>357</v>
      </c>
      <c r="O648" t="s">
        <v>359</v>
      </c>
    </row>
    <row r="649" spans="1:15" x14ac:dyDescent="0.3">
      <c r="A649" t="s">
        <v>269</v>
      </c>
      <c r="B649" t="s">
        <v>23</v>
      </c>
      <c r="C649" s="2">
        <v>45502</v>
      </c>
      <c r="D649" t="s">
        <v>29</v>
      </c>
      <c r="E649" t="s">
        <v>101</v>
      </c>
      <c r="F649">
        <v>1509</v>
      </c>
      <c r="G649">
        <v>88</v>
      </c>
      <c r="H649">
        <v>163</v>
      </c>
      <c r="I649">
        <v>30180</v>
      </c>
      <c r="J649">
        <v>29689</v>
      </c>
      <c r="K649">
        <v>119</v>
      </c>
      <c r="L649" t="s">
        <v>21</v>
      </c>
      <c r="M649">
        <v>5.8316766070245198E-2</v>
      </c>
      <c r="N649" t="s">
        <v>358</v>
      </c>
      <c r="O649" t="s">
        <v>359</v>
      </c>
    </row>
    <row r="650" spans="1:15" x14ac:dyDescent="0.3">
      <c r="A650" t="s">
        <v>270</v>
      </c>
      <c r="B650" t="s">
        <v>35</v>
      </c>
      <c r="C650" s="2">
        <v>45629</v>
      </c>
      <c r="D650" t="s">
        <v>41</v>
      </c>
      <c r="E650" t="s">
        <v>46</v>
      </c>
      <c r="F650">
        <v>4606</v>
      </c>
      <c r="G650">
        <v>931</v>
      </c>
      <c r="H650">
        <v>230</v>
      </c>
      <c r="I650">
        <v>92120</v>
      </c>
      <c r="J650">
        <v>91440</v>
      </c>
      <c r="K650">
        <v>56</v>
      </c>
      <c r="L650" t="s">
        <v>360</v>
      </c>
      <c r="M650">
        <v>6.2603126356925748E-2</v>
      </c>
      <c r="N650" t="s">
        <v>11</v>
      </c>
      <c r="O650" t="s">
        <v>25</v>
      </c>
    </row>
    <row r="651" spans="1:15" x14ac:dyDescent="0.3">
      <c r="A651" t="s">
        <v>270</v>
      </c>
      <c r="B651" t="s">
        <v>35</v>
      </c>
      <c r="C651" s="2">
        <v>45629</v>
      </c>
      <c r="D651" t="s">
        <v>41</v>
      </c>
      <c r="E651" t="s">
        <v>46</v>
      </c>
      <c r="F651">
        <v>4606</v>
      </c>
      <c r="G651">
        <v>931</v>
      </c>
      <c r="H651">
        <v>230</v>
      </c>
      <c r="I651">
        <v>92120</v>
      </c>
      <c r="J651">
        <v>91440</v>
      </c>
      <c r="K651">
        <v>56</v>
      </c>
      <c r="L651" t="s">
        <v>360</v>
      </c>
      <c r="M651">
        <v>6.2603126356925748E-2</v>
      </c>
      <c r="N651" t="s">
        <v>357</v>
      </c>
      <c r="O651" t="s">
        <v>359</v>
      </c>
    </row>
    <row r="652" spans="1:15" x14ac:dyDescent="0.3">
      <c r="A652" t="s">
        <v>270</v>
      </c>
      <c r="B652" t="s">
        <v>35</v>
      </c>
      <c r="C652" s="2">
        <v>45629</v>
      </c>
      <c r="D652" t="s">
        <v>41</v>
      </c>
      <c r="E652" t="s">
        <v>46</v>
      </c>
      <c r="F652">
        <v>4606</v>
      </c>
      <c r="G652">
        <v>931</v>
      </c>
      <c r="H652">
        <v>230</v>
      </c>
      <c r="I652">
        <v>92120</v>
      </c>
      <c r="J652">
        <v>91440</v>
      </c>
      <c r="K652">
        <v>56</v>
      </c>
      <c r="L652" t="s">
        <v>360</v>
      </c>
      <c r="M652">
        <v>6.2603126356925748E-2</v>
      </c>
      <c r="N652" t="s">
        <v>358</v>
      </c>
      <c r="O652" t="s">
        <v>359</v>
      </c>
    </row>
    <row r="653" spans="1:15" x14ac:dyDescent="0.3">
      <c r="A653" t="s">
        <v>271</v>
      </c>
      <c r="B653" t="s">
        <v>35</v>
      </c>
      <c r="C653" s="2">
        <v>45454</v>
      </c>
      <c r="D653" t="s">
        <v>36</v>
      </c>
      <c r="E653" t="s">
        <v>37</v>
      </c>
      <c r="F653">
        <v>1869</v>
      </c>
      <c r="G653">
        <v>453</v>
      </c>
      <c r="H653">
        <v>490</v>
      </c>
      <c r="I653">
        <v>14952</v>
      </c>
      <c r="J653">
        <v>14309</v>
      </c>
      <c r="K653">
        <v>275</v>
      </c>
      <c r="L653" t="s">
        <v>32</v>
      </c>
      <c r="M653">
        <v>0.18806848582129482</v>
      </c>
      <c r="N653" t="s">
        <v>11</v>
      </c>
      <c r="O653" t="s">
        <v>25</v>
      </c>
    </row>
    <row r="654" spans="1:15" x14ac:dyDescent="0.3">
      <c r="A654" t="s">
        <v>271</v>
      </c>
      <c r="B654" t="s">
        <v>35</v>
      </c>
      <c r="C654" s="2">
        <v>45454</v>
      </c>
      <c r="D654" t="s">
        <v>36</v>
      </c>
      <c r="E654" t="s">
        <v>37</v>
      </c>
      <c r="F654">
        <v>1869</v>
      </c>
      <c r="G654">
        <v>453</v>
      </c>
      <c r="H654">
        <v>490</v>
      </c>
      <c r="I654">
        <v>14952</v>
      </c>
      <c r="J654">
        <v>14309</v>
      </c>
      <c r="K654">
        <v>275</v>
      </c>
      <c r="L654" t="s">
        <v>32</v>
      </c>
      <c r="M654">
        <v>0.18806848582129482</v>
      </c>
      <c r="N654" t="s">
        <v>357</v>
      </c>
      <c r="O654" t="s">
        <v>359</v>
      </c>
    </row>
    <row r="655" spans="1:15" x14ac:dyDescent="0.3">
      <c r="A655" t="s">
        <v>271</v>
      </c>
      <c r="B655" t="s">
        <v>35</v>
      </c>
      <c r="C655" s="2">
        <v>45454</v>
      </c>
      <c r="D655" t="s">
        <v>36</v>
      </c>
      <c r="E655" t="s">
        <v>37</v>
      </c>
      <c r="F655">
        <v>1869</v>
      </c>
      <c r="G655">
        <v>453</v>
      </c>
      <c r="H655">
        <v>490</v>
      </c>
      <c r="I655">
        <v>14952</v>
      </c>
      <c r="J655">
        <v>14309</v>
      </c>
      <c r="K655">
        <v>275</v>
      </c>
      <c r="L655" t="s">
        <v>32</v>
      </c>
      <c r="M655">
        <v>0.18806848582129482</v>
      </c>
      <c r="N655" t="s">
        <v>358</v>
      </c>
      <c r="O655" t="s">
        <v>359</v>
      </c>
    </row>
    <row r="656" spans="1:15" x14ac:dyDescent="0.3">
      <c r="A656" t="s">
        <v>272</v>
      </c>
      <c r="B656" t="s">
        <v>14</v>
      </c>
      <c r="C656" s="2">
        <v>45685</v>
      </c>
      <c r="D656" t="s">
        <v>15</v>
      </c>
      <c r="E656" t="s">
        <v>16</v>
      </c>
      <c r="F656">
        <v>1188</v>
      </c>
      <c r="G656">
        <v>470</v>
      </c>
      <c r="H656">
        <v>174</v>
      </c>
      <c r="I656">
        <v>7128</v>
      </c>
      <c r="J656">
        <v>6145</v>
      </c>
      <c r="K656">
        <v>270</v>
      </c>
      <c r="L656" t="s">
        <v>32</v>
      </c>
      <c r="M656">
        <v>0.25701459034792368</v>
      </c>
      <c r="N656" t="s">
        <v>11</v>
      </c>
      <c r="O656" t="s">
        <v>25</v>
      </c>
    </row>
    <row r="657" spans="1:15" x14ac:dyDescent="0.3">
      <c r="A657" t="s">
        <v>272</v>
      </c>
      <c r="B657" t="s">
        <v>14</v>
      </c>
      <c r="C657" s="2">
        <v>45685</v>
      </c>
      <c r="D657" t="s">
        <v>15</v>
      </c>
      <c r="E657" t="s">
        <v>16</v>
      </c>
      <c r="F657">
        <v>1188</v>
      </c>
      <c r="G657">
        <v>470</v>
      </c>
      <c r="H657">
        <v>174</v>
      </c>
      <c r="I657">
        <v>7128</v>
      </c>
      <c r="J657">
        <v>6145</v>
      </c>
      <c r="K657">
        <v>270</v>
      </c>
      <c r="L657" t="s">
        <v>32</v>
      </c>
      <c r="M657">
        <v>0.25701459034792368</v>
      </c>
      <c r="N657" t="s">
        <v>357</v>
      </c>
      <c r="O657" t="s">
        <v>359</v>
      </c>
    </row>
    <row r="658" spans="1:15" x14ac:dyDescent="0.3">
      <c r="A658" t="s">
        <v>272</v>
      </c>
      <c r="B658" t="s">
        <v>14</v>
      </c>
      <c r="C658" s="2">
        <v>45685</v>
      </c>
      <c r="D658" t="s">
        <v>15</v>
      </c>
      <c r="E658" t="s">
        <v>16</v>
      </c>
      <c r="F658">
        <v>1188</v>
      </c>
      <c r="G658">
        <v>470</v>
      </c>
      <c r="H658">
        <v>174</v>
      </c>
      <c r="I658">
        <v>7128</v>
      </c>
      <c r="J658">
        <v>6145</v>
      </c>
      <c r="K658">
        <v>270</v>
      </c>
      <c r="L658" t="s">
        <v>32</v>
      </c>
      <c r="M658">
        <v>0.25701459034792368</v>
      </c>
      <c r="N658" t="s">
        <v>358</v>
      </c>
      <c r="O658" t="s">
        <v>359</v>
      </c>
    </row>
    <row r="659" spans="1:15" x14ac:dyDescent="0.3">
      <c r="A659" t="s">
        <v>273</v>
      </c>
      <c r="B659" t="s">
        <v>28</v>
      </c>
      <c r="C659" s="2">
        <v>45445</v>
      </c>
      <c r="D659" t="s">
        <v>29</v>
      </c>
      <c r="E659" t="s">
        <v>30</v>
      </c>
      <c r="F659">
        <v>84</v>
      </c>
      <c r="G659">
        <v>897</v>
      </c>
      <c r="H659">
        <v>85</v>
      </c>
      <c r="I659">
        <v>588</v>
      </c>
      <c r="J659">
        <v>8</v>
      </c>
      <c r="K659">
        <v>12</v>
      </c>
      <c r="L659" t="s">
        <v>360</v>
      </c>
      <c r="M659">
        <v>1.8129251700680271</v>
      </c>
      <c r="N659" t="s">
        <v>11</v>
      </c>
      <c r="O659" t="s">
        <v>31</v>
      </c>
    </row>
    <row r="660" spans="1:15" x14ac:dyDescent="0.3">
      <c r="A660" t="s">
        <v>273</v>
      </c>
      <c r="B660" t="s">
        <v>28</v>
      </c>
      <c r="C660" s="2">
        <v>45445</v>
      </c>
      <c r="D660" t="s">
        <v>29</v>
      </c>
      <c r="E660" t="s">
        <v>30</v>
      </c>
      <c r="F660">
        <v>84</v>
      </c>
      <c r="G660">
        <v>897</v>
      </c>
      <c r="H660">
        <v>85</v>
      </c>
      <c r="I660">
        <v>588</v>
      </c>
      <c r="J660">
        <v>8</v>
      </c>
      <c r="K660">
        <v>12</v>
      </c>
      <c r="L660" t="s">
        <v>360</v>
      </c>
      <c r="M660">
        <v>1.8129251700680271</v>
      </c>
      <c r="N660" t="s">
        <v>357</v>
      </c>
      <c r="O660" t="s">
        <v>359</v>
      </c>
    </row>
    <row r="661" spans="1:15" x14ac:dyDescent="0.3">
      <c r="A661" t="s">
        <v>273</v>
      </c>
      <c r="B661" t="s">
        <v>28</v>
      </c>
      <c r="C661" s="2">
        <v>45445</v>
      </c>
      <c r="D661" t="s">
        <v>29</v>
      </c>
      <c r="E661" t="s">
        <v>30</v>
      </c>
      <c r="F661">
        <v>84</v>
      </c>
      <c r="G661">
        <v>897</v>
      </c>
      <c r="H661">
        <v>85</v>
      </c>
      <c r="I661">
        <v>588</v>
      </c>
      <c r="J661">
        <v>8</v>
      </c>
      <c r="K661">
        <v>12</v>
      </c>
      <c r="L661" t="s">
        <v>360</v>
      </c>
      <c r="M661">
        <v>1.8129251700680271</v>
      </c>
      <c r="N661" t="s">
        <v>358</v>
      </c>
      <c r="O661" t="s">
        <v>359</v>
      </c>
    </row>
    <row r="662" spans="1:15" x14ac:dyDescent="0.3">
      <c r="A662" t="s">
        <v>274</v>
      </c>
      <c r="B662" t="s">
        <v>35</v>
      </c>
      <c r="C662" s="2">
        <v>45739</v>
      </c>
      <c r="D662" t="s">
        <v>56</v>
      </c>
      <c r="E662" t="s">
        <v>57</v>
      </c>
      <c r="F662">
        <v>4453</v>
      </c>
      <c r="G662">
        <v>111</v>
      </c>
      <c r="H662">
        <v>420</v>
      </c>
      <c r="I662">
        <v>31171</v>
      </c>
      <c r="J662">
        <v>30565</v>
      </c>
      <c r="K662">
        <v>23</v>
      </c>
      <c r="L662" t="s">
        <v>360</v>
      </c>
      <c r="M662">
        <v>0.15989220750056141</v>
      </c>
      <c r="N662" t="s">
        <v>11</v>
      </c>
      <c r="O662" t="s">
        <v>25</v>
      </c>
    </row>
    <row r="663" spans="1:15" x14ac:dyDescent="0.3">
      <c r="A663" t="s">
        <v>274</v>
      </c>
      <c r="B663" t="s">
        <v>35</v>
      </c>
      <c r="C663" s="2">
        <v>45739</v>
      </c>
      <c r="D663" t="s">
        <v>56</v>
      </c>
      <c r="E663" t="s">
        <v>57</v>
      </c>
      <c r="F663">
        <v>4453</v>
      </c>
      <c r="G663">
        <v>111</v>
      </c>
      <c r="H663">
        <v>420</v>
      </c>
      <c r="I663">
        <v>31171</v>
      </c>
      <c r="J663">
        <v>30565</v>
      </c>
      <c r="K663">
        <v>23</v>
      </c>
      <c r="L663" t="s">
        <v>360</v>
      </c>
      <c r="M663">
        <v>0.15989220750056141</v>
      </c>
      <c r="N663" t="s">
        <v>357</v>
      </c>
      <c r="O663" t="s">
        <v>359</v>
      </c>
    </row>
    <row r="664" spans="1:15" x14ac:dyDescent="0.3">
      <c r="A664" t="s">
        <v>274</v>
      </c>
      <c r="B664" t="s">
        <v>35</v>
      </c>
      <c r="C664" s="2">
        <v>45739</v>
      </c>
      <c r="D664" t="s">
        <v>56</v>
      </c>
      <c r="E664" t="s">
        <v>57</v>
      </c>
      <c r="F664">
        <v>4453</v>
      </c>
      <c r="G664">
        <v>111</v>
      </c>
      <c r="H664">
        <v>420</v>
      </c>
      <c r="I664">
        <v>31171</v>
      </c>
      <c r="J664">
        <v>30565</v>
      </c>
      <c r="K664">
        <v>23</v>
      </c>
      <c r="L664" t="s">
        <v>360</v>
      </c>
      <c r="M664">
        <v>0.15989220750056141</v>
      </c>
      <c r="N664" t="s">
        <v>358</v>
      </c>
      <c r="O664" t="s">
        <v>359</v>
      </c>
    </row>
    <row r="665" spans="1:15" x14ac:dyDescent="0.3">
      <c r="A665" t="s">
        <v>275</v>
      </c>
      <c r="B665" t="s">
        <v>35</v>
      </c>
      <c r="C665" s="2">
        <v>45573</v>
      </c>
      <c r="D665" t="s">
        <v>15</v>
      </c>
      <c r="E665" t="s">
        <v>50</v>
      </c>
      <c r="F665">
        <v>1814</v>
      </c>
      <c r="G665">
        <v>653</v>
      </c>
      <c r="H665">
        <v>363</v>
      </c>
      <c r="I665">
        <v>25396</v>
      </c>
      <c r="J665">
        <v>25286</v>
      </c>
      <c r="K665">
        <v>39</v>
      </c>
      <c r="L665" t="s">
        <v>17</v>
      </c>
      <c r="M665">
        <v>0.11143487163332809</v>
      </c>
      <c r="N665" t="s">
        <v>11</v>
      </c>
      <c r="O665" t="s">
        <v>48</v>
      </c>
    </row>
    <row r="666" spans="1:15" x14ac:dyDescent="0.3">
      <c r="A666" t="s">
        <v>275</v>
      </c>
      <c r="B666" t="s">
        <v>35</v>
      </c>
      <c r="C666" s="2">
        <v>45573</v>
      </c>
      <c r="D666" t="s">
        <v>15</v>
      </c>
      <c r="E666" t="s">
        <v>50</v>
      </c>
      <c r="F666">
        <v>1814</v>
      </c>
      <c r="G666">
        <v>653</v>
      </c>
      <c r="H666">
        <v>363</v>
      </c>
      <c r="I666">
        <v>25396</v>
      </c>
      <c r="J666">
        <v>25286</v>
      </c>
      <c r="K666">
        <v>39</v>
      </c>
      <c r="L666" t="s">
        <v>17</v>
      </c>
      <c r="M666">
        <v>0.11143487163332809</v>
      </c>
      <c r="N666" t="s">
        <v>357</v>
      </c>
      <c r="O666" t="s">
        <v>356</v>
      </c>
    </row>
    <row r="667" spans="1:15" x14ac:dyDescent="0.3">
      <c r="A667" t="s">
        <v>275</v>
      </c>
      <c r="B667" t="s">
        <v>35</v>
      </c>
      <c r="C667" s="2">
        <v>45573</v>
      </c>
      <c r="D667" t="s">
        <v>15</v>
      </c>
      <c r="E667" t="s">
        <v>50</v>
      </c>
      <c r="F667">
        <v>1814</v>
      </c>
      <c r="G667">
        <v>653</v>
      </c>
      <c r="H667">
        <v>363</v>
      </c>
      <c r="I667">
        <v>25396</v>
      </c>
      <c r="J667">
        <v>25286</v>
      </c>
      <c r="K667">
        <v>39</v>
      </c>
      <c r="L667" t="s">
        <v>17</v>
      </c>
      <c r="M667">
        <v>0.11143487163332809</v>
      </c>
      <c r="N667" t="s">
        <v>358</v>
      </c>
      <c r="O667" t="s">
        <v>359</v>
      </c>
    </row>
    <row r="668" spans="1:15" x14ac:dyDescent="0.3">
      <c r="A668" t="s">
        <v>276</v>
      </c>
      <c r="B668" t="s">
        <v>14</v>
      </c>
      <c r="C668" s="2">
        <v>45608</v>
      </c>
      <c r="D668" t="s">
        <v>41</v>
      </c>
      <c r="E668" t="s">
        <v>88</v>
      </c>
      <c r="F668">
        <v>3338</v>
      </c>
      <c r="G668">
        <v>277</v>
      </c>
      <c r="H668">
        <v>118</v>
      </c>
      <c r="I668">
        <v>60084</v>
      </c>
      <c r="J668">
        <v>59842</v>
      </c>
      <c r="K668">
        <v>252</v>
      </c>
      <c r="L668" t="s">
        <v>360</v>
      </c>
      <c r="M668">
        <v>6.2129685107516146E-2</v>
      </c>
      <c r="N668" t="s">
        <v>11</v>
      </c>
      <c r="O668" t="s">
        <v>25</v>
      </c>
    </row>
    <row r="669" spans="1:15" x14ac:dyDescent="0.3">
      <c r="A669" t="s">
        <v>276</v>
      </c>
      <c r="B669" t="s">
        <v>14</v>
      </c>
      <c r="C669" s="2">
        <v>45608</v>
      </c>
      <c r="D669" t="s">
        <v>41</v>
      </c>
      <c r="E669" t="s">
        <v>88</v>
      </c>
      <c r="F669">
        <v>3338</v>
      </c>
      <c r="G669">
        <v>277</v>
      </c>
      <c r="H669">
        <v>118</v>
      </c>
      <c r="I669">
        <v>60084</v>
      </c>
      <c r="J669">
        <v>59842</v>
      </c>
      <c r="K669">
        <v>252</v>
      </c>
      <c r="L669" t="s">
        <v>360</v>
      </c>
      <c r="M669">
        <v>6.2129685107516146E-2</v>
      </c>
      <c r="N669" t="s">
        <v>357</v>
      </c>
      <c r="O669" t="s">
        <v>359</v>
      </c>
    </row>
    <row r="670" spans="1:15" x14ac:dyDescent="0.3">
      <c r="A670" t="s">
        <v>276</v>
      </c>
      <c r="B670" t="s">
        <v>14</v>
      </c>
      <c r="C670" s="2">
        <v>45608</v>
      </c>
      <c r="D670" t="s">
        <v>41</v>
      </c>
      <c r="E670" t="s">
        <v>88</v>
      </c>
      <c r="F670">
        <v>3338</v>
      </c>
      <c r="G670">
        <v>277</v>
      </c>
      <c r="H670">
        <v>118</v>
      </c>
      <c r="I670">
        <v>60084</v>
      </c>
      <c r="J670">
        <v>59842</v>
      </c>
      <c r="K670">
        <v>252</v>
      </c>
      <c r="L670" t="s">
        <v>360</v>
      </c>
      <c r="M670">
        <v>6.2129685107516146E-2</v>
      </c>
      <c r="N670" t="s">
        <v>358</v>
      </c>
      <c r="O670" t="s">
        <v>359</v>
      </c>
    </row>
    <row r="671" spans="1:15" x14ac:dyDescent="0.3">
      <c r="A671" t="s">
        <v>277</v>
      </c>
      <c r="B671" t="s">
        <v>35</v>
      </c>
      <c r="C671" s="2">
        <v>45790</v>
      </c>
      <c r="D671" t="s">
        <v>41</v>
      </c>
      <c r="E671" t="s">
        <v>46</v>
      </c>
      <c r="F671">
        <v>602</v>
      </c>
      <c r="G671">
        <v>594</v>
      </c>
      <c r="H671">
        <v>156</v>
      </c>
      <c r="I671">
        <v>4214</v>
      </c>
      <c r="J671">
        <v>3363</v>
      </c>
      <c r="K671">
        <v>164</v>
      </c>
      <c r="L671" t="s">
        <v>26</v>
      </c>
      <c r="M671">
        <v>0.32083531086853345</v>
      </c>
      <c r="N671" t="s">
        <v>11</v>
      </c>
      <c r="O671" t="s">
        <v>25</v>
      </c>
    </row>
    <row r="672" spans="1:15" x14ac:dyDescent="0.3">
      <c r="A672" t="s">
        <v>277</v>
      </c>
      <c r="B672" t="s">
        <v>35</v>
      </c>
      <c r="C672" s="2">
        <v>45790</v>
      </c>
      <c r="D672" t="s">
        <v>41</v>
      </c>
      <c r="E672" t="s">
        <v>46</v>
      </c>
      <c r="F672">
        <v>602</v>
      </c>
      <c r="G672">
        <v>594</v>
      </c>
      <c r="H672">
        <v>156</v>
      </c>
      <c r="I672">
        <v>4214</v>
      </c>
      <c r="J672">
        <v>3363</v>
      </c>
      <c r="K672">
        <v>164</v>
      </c>
      <c r="L672" t="s">
        <v>26</v>
      </c>
      <c r="M672">
        <v>0.32083531086853345</v>
      </c>
      <c r="N672" t="s">
        <v>357</v>
      </c>
      <c r="O672" t="s">
        <v>359</v>
      </c>
    </row>
    <row r="673" spans="1:15" x14ac:dyDescent="0.3">
      <c r="A673" t="s">
        <v>277</v>
      </c>
      <c r="B673" t="s">
        <v>35</v>
      </c>
      <c r="C673" s="2">
        <v>45790</v>
      </c>
      <c r="D673" t="s">
        <v>41</v>
      </c>
      <c r="E673" t="s">
        <v>46</v>
      </c>
      <c r="F673">
        <v>602</v>
      </c>
      <c r="G673">
        <v>594</v>
      </c>
      <c r="H673">
        <v>156</v>
      </c>
      <c r="I673">
        <v>4214</v>
      </c>
      <c r="J673">
        <v>3363</v>
      </c>
      <c r="K673">
        <v>164</v>
      </c>
      <c r="L673" t="s">
        <v>26</v>
      </c>
      <c r="M673">
        <v>0.32083531086853345</v>
      </c>
      <c r="N673" t="s">
        <v>358</v>
      </c>
      <c r="O673" t="s">
        <v>359</v>
      </c>
    </row>
    <row r="674" spans="1:15" x14ac:dyDescent="0.3">
      <c r="A674" t="s">
        <v>278</v>
      </c>
      <c r="B674" t="s">
        <v>14</v>
      </c>
      <c r="C674" s="2">
        <v>45463</v>
      </c>
      <c r="D674" t="s">
        <v>36</v>
      </c>
      <c r="E674" t="s">
        <v>39</v>
      </c>
      <c r="F674">
        <v>4672</v>
      </c>
      <c r="G674">
        <v>325</v>
      </c>
      <c r="H674">
        <v>32</v>
      </c>
      <c r="I674">
        <v>88768</v>
      </c>
      <c r="J674">
        <v>87833</v>
      </c>
      <c r="K674">
        <v>118</v>
      </c>
      <c r="L674" t="s">
        <v>360</v>
      </c>
      <c r="M674">
        <v>5.6653298485940883E-2</v>
      </c>
      <c r="N674" t="s">
        <v>11</v>
      </c>
      <c r="O674" t="s">
        <v>31</v>
      </c>
    </row>
    <row r="675" spans="1:15" x14ac:dyDescent="0.3">
      <c r="A675" t="s">
        <v>278</v>
      </c>
      <c r="B675" t="s">
        <v>14</v>
      </c>
      <c r="C675" s="2">
        <v>45463</v>
      </c>
      <c r="D675" t="s">
        <v>36</v>
      </c>
      <c r="E675" t="s">
        <v>39</v>
      </c>
      <c r="F675">
        <v>4672</v>
      </c>
      <c r="G675">
        <v>325</v>
      </c>
      <c r="H675">
        <v>32</v>
      </c>
      <c r="I675">
        <v>88768</v>
      </c>
      <c r="J675">
        <v>87833</v>
      </c>
      <c r="K675">
        <v>118</v>
      </c>
      <c r="L675" t="s">
        <v>360</v>
      </c>
      <c r="M675">
        <v>5.6653298485940883E-2</v>
      </c>
      <c r="N675" t="s">
        <v>357</v>
      </c>
      <c r="O675" t="s">
        <v>359</v>
      </c>
    </row>
    <row r="676" spans="1:15" x14ac:dyDescent="0.3">
      <c r="A676" t="s">
        <v>278</v>
      </c>
      <c r="B676" t="s">
        <v>14</v>
      </c>
      <c r="C676" s="2">
        <v>45463</v>
      </c>
      <c r="D676" t="s">
        <v>36</v>
      </c>
      <c r="E676" t="s">
        <v>39</v>
      </c>
      <c r="F676">
        <v>4672</v>
      </c>
      <c r="G676">
        <v>325</v>
      </c>
      <c r="H676">
        <v>32</v>
      </c>
      <c r="I676">
        <v>88768</v>
      </c>
      <c r="J676">
        <v>87833</v>
      </c>
      <c r="K676">
        <v>118</v>
      </c>
      <c r="L676" t="s">
        <v>360</v>
      </c>
      <c r="M676">
        <v>5.6653298485940883E-2</v>
      </c>
      <c r="N676" t="s">
        <v>358</v>
      </c>
      <c r="O676" t="s">
        <v>359</v>
      </c>
    </row>
    <row r="677" spans="1:15" x14ac:dyDescent="0.3">
      <c r="A677" t="s">
        <v>279</v>
      </c>
      <c r="B677" t="s">
        <v>28</v>
      </c>
      <c r="C677" s="2">
        <v>45511</v>
      </c>
      <c r="D677" t="s">
        <v>36</v>
      </c>
      <c r="E677" t="s">
        <v>65</v>
      </c>
      <c r="F677">
        <v>1741</v>
      </c>
      <c r="G677">
        <v>164</v>
      </c>
      <c r="H677">
        <v>318</v>
      </c>
      <c r="I677">
        <v>8705</v>
      </c>
      <c r="J677">
        <v>8272</v>
      </c>
      <c r="K677">
        <v>121</v>
      </c>
      <c r="L677" t="s">
        <v>360</v>
      </c>
      <c r="M677">
        <v>0.25537047673750718</v>
      </c>
      <c r="N677" t="s">
        <v>11</v>
      </c>
      <c r="O677" t="s">
        <v>25</v>
      </c>
    </row>
    <row r="678" spans="1:15" x14ac:dyDescent="0.3">
      <c r="A678" t="s">
        <v>279</v>
      </c>
      <c r="B678" t="s">
        <v>28</v>
      </c>
      <c r="C678" s="2">
        <v>45511</v>
      </c>
      <c r="D678" t="s">
        <v>36</v>
      </c>
      <c r="E678" t="s">
        <v>65</v>
      </c>
      <c r="F678">
        <v>1741</v>
      </c>
      <c r="G678">
        <v>164</v>
      </c>
      <c r="H678">
        <v>318</v>
      </c>
      <c r="I678">
        <v>8705</v>
      </c>
      <c r="J678">
        <v>8272</v>
      </c>
      <c r="K678">
        <v>121</v>
      </c>
      <c r="L678" t="s">
        <v>360</v>
      </c>
      <c r="M678">
        <v>0.25537047673750718</v>
      </c>
      <c r="N678" t="s">
        <v>357</v>
      </c>
      <c r="O678" t="s">
        <v>359</v>
      </c>
    </row>
    <row r="679" spans="1:15" x14ac:dyDescent="0.3">
      <c r="A679" t="s">
        <v>279</v>
      </c>
      <c r="B679" t="s">
        <v>28</v>
      </c>
      <c r="C679" s="2">
        <v>45511</v>
      </c>
      <c r="D679" t="s">
        <v>36</v>
      </c>
      <c r="E679" t="s">
        <v>65</v>
      </c>
      <c r="F679">
        <v>1741</v>
      </c>
      <c r="G679">
        <v>164</v>
      </c>
      <c r="H679">
        <v>318</v>
      </c>
      <c r="I679">
        <v>8705</v>
      </c>
      <c r="J679">
        <v>8272</v>
      </c>
      <c r="K679">
        <v>121</v>
      </c>
      <c r="L679" t="s">
        <v>360</v>
      </c>
      <c r="M679">
        <v>0.25537047673750718</v>
      </c>
      <c r="N679" t="s">
        <v>358</v>
      </c>
      <c r="O679" t="s">
        <v>359</v>
      </c>
    </row>
    <row r="680" spans="1:15" x14ac:dyDescent="0.3">
      <c r="A680" t="s">
        <v>280</v>
      </c>
      <c r="B680" t="s">
        <v>28</v>
      </c>
      <c r="C680" s="2">
        <v>45455</v>
      </c>
      <c r="D680" t="s">
        <v>19</v>
      </c>
      <c r="E680" t="s">
        <v>78</v>
      </c>
      <c r="F680">
        <v>246</v>
      </c>
      <c r="G680">
        <v>149</v>
      </c>
      <c r="H680">
        <v>130</v>
      </c>
      <c r="I680">
        <v>4674</v>
      </c>
      <c r="J680">
        <v>4390</v>
      </c>
      <c r="K680">
        <v>217</v>
      </c>
      <c r="L680" t="s">
        <v>26</v>
      </c>
      <c r="M680">
        <v>0.11232349165596919</v>
      </c>
      <c r="N680" t="s">
        <v>11</v>
      </c>
      <c r="O680" t="s">
        <v>48</v>
      </c>
    </row>
    <row r="681" spans="1:15" x14ac:dyDescent="0.3">
      <c r="A681" t="s">
        <v>280</v>
      </c>
      <c r="B681" t="s">
        <v>28</v>
      </c>
      <c r="C681" s="2">
        <v>45455</v>
      </c>
      <c r="D681" t="s">
        <v>19</v>
      </c>
      <c r="E681" t="s">
        <v>78</v>
      </c>
      <c r="F681">
        <v>246</v>
      </c>
      <c r="G681">
        <v>149</v>
      </c>
      <c r="H681">
        <v>130</v>
      </c>
      <c r="I681">
        <v>4674</v>
      </c>
      <c r="J681">
        <v>4390</v>
      </c>
      <c r="K681">
        <v>217</v>
      </c>
      <c r="L681" t="s">
        <v>26</v>
      </c>
      <c r="M681">
        <v>0.11232349165596919</v>
      </c>
      <c r="N681" t="s">
        <v>357</v>
      </c>
      <c r="O681" t="s">
        <v>359</v>
      </c>
    </row>
    <row r="682" spans="1:15" x14ac:dyDescent="0.3">
      <c r="A682" t="s">
        <v>280</v>
      </c>
      <c r="B682" t="s">
        <v>28</v>
      </c>
      <c r="C682" s="2">
        <v>45455</v>
      </c>
      <c r="D682" t="s">
        <v>19</v>
      </c>
      <c r="E682" t="s">
        <v>78</v>
      </c>
      <c r="F682">
        <v>246</v>
      </c>
      <c r="G682">
        <v>149</v>
      </c>
      <c r="H682">
        <v>130</v>
      </c>
      <c r="I682">
        <v>4674</v>
      </c>
      <c r="J682">
        <v>4390</v>
      </c>
      <c r="K682">
        <v>217</v>
      </c>
      <c r="L682" t="s">
        <v>26</v>
      </c>
      <c r="M682">
        <v>0.11232349165596919</v>
      </c>
      <c r="N682" t="s">
        <v>358</v>
      </c>
      <c r="O682" t="s">
        <v>359</v>
      </c>
    </row>
    <row r="683" spans="1:15" x14ac:dyDescent="0.3">
      <c r="A683" t="s">
        <v>281</v>
      </c>
      <c r="B683" t="s">
        <v>28</v>
      </c>
      <c r="C683" s="2">
        <v>45474</v>
      </c>
      <c r="D683" t="s">
        <v>29</v>
      </c>
      <c r="E683" t="s">
        <v>30</v>
      </c>
      <c r="F683">
        <v>4808</v>
      </c>
      <c r="G683">
        <v>772</v>
      </c>
      <c r="H683">
        <v>320</v>
      </c>
      <c r="I683">
        <v>72120</v>
      </c>
      <c r="J683">
        <v>71696</v>
      </c>
      <c r="K683">
        <v>195</v>
      </c>
      <c r="L683" t="s">
        <v>17</v>
      </c>
      <c r="M683">
        <v>8.1808097615085965E-2</v>
      </c>
      <c r="N683" t="s">
        <v>11</v>
      </c>
      <c r="O683" t="s">
        <v>31</v>
      </c>
    </row>
    <row r="684" spans="1:15" x14ac:dyDescent="0.3">
      <c r="A684" t="s">
        <v>281</v>
      </c>
      <c r="B684" t="s">
        <v>28</v>
      </c>
      <c r="C684" s="2">
        <v>45474</v>
      </c>
      <c r="D684" t="s">
        <v>29</v>
      </c>
      <c r="E684" t="s">
        <v>30</v>
      </c>
      <c r="F684">
        <v>4808</v>
      </c>
      <c r="G684">
        <v>772</v>
      </c>
      <c r="H684">
        <v>320</v>
      </c>
      <c r="I684">
        <v>72120</v>
      </c>
      <c r="J684">
        <v>71696</v>
      </c>
      <c r="K684">
        <v>195</v>
      </c>
      <c r="L684" t="s">
        <v>17</v>
      </c>
      <c r="M684">
        <v>8.1808097615085965E-2</v>
      </c>
      <c r="N684" t="s">
        <v>357</v>
      </c>
      <c r="O684" t="s">
        <v>359</v>
      </c>
    </row>
    <row r="685" spans="1:15" x14ac:dyDescent="0.3">
      <c r="A685" t="s">
        <v>281</v>
      </c>
      <c r="B685" t="s">
        <v>28</v>
      </c>
      <c r="C685" s="2">
        <v>45474</v>
      </c>
      <c r="D685" t="s">
        <v>29</v>
      </c>
      <c r="E685" t="s">
        <v>30</v>
      </c>
      <c r="F685">
        <v>4808</v>
      </c>
      <c r="G685">
        <v>772</v>
      </c>
      <c r="H685">
        <v>320</v>
      </c>
      <c r="I685">
        <v>72120</v>
      </c>
      <c r="J685">
        <v>71696</v>
      </c>
      <c r="K685">
        <v>195</v>
      </c>
      <c r="L685" t="s">
        <v>17</v>
      </c>
      <c r="M685">
        <v>8.1808097615085965E-2</v>
      </c>
      <c r="N685" t="s">
        <v>358</v>
      </c>
      <c r="O685" t="s">
        <v>359</v>
      </c>
    </row>
    <row r="686" spans="1:15" x14ac:dyDescent="0.3">
      <c r="A686" t="s">
        <v>282</v>
      </c>
      <c r="B686" t="s">
        <v>28</v>
      </c>
      <c r="C686" s="2">
        <v>45476</v>
      </c>
      <c r="D686" t="s">
        <v>36</v>
      </c>
      <c r="E686" t="s">
        <v>65</v>
      </c>
      <c r="F686">
        <v>4799</v>
      </c>
      <c r="G686">
        <v>694</v>
      </c>
      <c r="H686">
        <v>289</v>
      </c>
      <c r="I686">
        <v>43191</v>
      </c>
      <c r="J686">
        <v>42228</v>
      </c>
      <c r="K686">
        <v>118</v>
      </c>
      <c r="L686" t="s">
        <v>360</v>
      </c>
      <c r="M686">
        <v>0.13387048227640017</v>
      </c>
      <c r="N686" t="s">
        <v>11</v>
      </c>
      <c r="O686" t="s">
        <v>25</v>
      </c>
    </row>
    <row r="687" spans="1:15" x14ac:dyDescent="0.3">
      <c r="A687" t="s">
        <v>282</v>
      </c>
      <c r="B687" t="s">
        <v>28</v>
      </c>
      <c r="C687" s="2">
        <v>45476</v>
      </c>
      <c r="D687" t="s">
        <v>36</v>
      </c>
      <c r="E687" t="s">
        <v>65</v>
      </c>
      <c r="F687">
        <v>4799</v>
      </c>
      <c r="G687">
        <v>694</v>
      </c>
      <c r="H687">
        <v>289</v>
      </c>
      <c r="I687">
        <v>43191</v>
      </c>
      <c r="J687">
        <v>42228</v>
      </c>
      <c r="K687">
        <v>118</v>
      </c>
      <c r="L687" t="s">
        <v>360</v>
      </c>
      <c r="M687">
        <v>0.13387048227640017</v>
      </c>
      <c r="N687" t="s">
        <v>357</v>
      </c>
      <c r="O687" t="s">
        <v>359</v>
      </c>
    </row>
    <row r="688" spans="1:15" x14ac:dyDescent="0.3">
      <c r="A688" t="s">
        <v>282</v>
      </c>
      <c r="B688" t="s">
        <v>28</v>
      </c>
      <c r="C688" s="2">
        <v>45476</v>
      </c>
      <c r="D688" t="s">
        <v>36</v>
      </c>
      <c r="E688" t="s">
        <v>65</v>
      </c>
      <c r="F688">
        <v>4799</v>
      </c>
      <c r="G688">
        <v>694</v>
      </c>
      <c r="H688">
        <v>289</v>
      </c>
      <c r="I688">
        <v>43191</v>
      </c>
      <c r="J688">
        <v>42228</v>
      </c>
      <c r="K688">
        <v>118</v>
      </c>
      <c r="L688" t="s">
        <v>360</v>
      </c>
      <c r="M688">
        <v>0.13387048227640017</v>
      </c>
      <c r="N688" t="s">
        <v>358</v>
      </c>
      <c r="O688" t="s">
        <v>359</v>
      </c>
    </row>
    <row r="689" spans="1:15" x14ac:dyDescent="0.3">
      <c r="A689" t="s">
        <v>283</v>
      </c>
      <c r="B689" t="s">
        <v>35</v>
      </c>
      <c r="C689" s="2">
        <v>45488</v>
      </c>
      <c r="D689" t="s">
        <v>15</v>
      </c>
      <c r="E689" t="s">
        <v>50</v>
      </c>
      <c r="F689">
        <v>3663</v>
      </c>
      <c r="G689">
        <v>17</v>
      </c>
      <c r="H689">
        <v>295</v>
      </c>
      <c r="I689">
        <v>51282</v>
      </c>
      <c r="J689">
        <v>50567</v>
      </c>
      <c r="K689">
        <v>84</v>
      </c>
      <c r="L689" t="s">
        <v>26</v>
      </c>
      <c r="M689">
        <v>7.7512577512577507E-2</v>
      </c>
      <c r="N689" t="s">
        <v>11</v>
      </c>
      <c r="O689" t="s">
        <v>31</v>
      </c>
    </row>
    <row r="690" spans="1:15" x14ac:dyDescent="0.3">
      <c r="A690" t="s">
        <v>283</v>
      </c>
      <c r="B690" t="s">
        <v>35</v>
      </c>
      <c r="C690" s="2">
        <v>45488</v>
      </c>
      <c r="D690" t="s">
        <v>15</v>
      </c>
      <c r="E690" t="s">
        <v>50</v>
      </c>
      <c r="F690">
        <v>3663</v>
      </c>
      <c r="G690">
        <v>17</v>
      </c>
      <c r="H690">
        <v>295</v>
      </c>
      <c r="I690">
        <v>51282</v>
      </c>
      <c r="J690">
        <v>50567</v>
      </c>
      <c r="K690">
        <v>84</v>
      </c>
      <c r="L690" t="s">
        <v>26</v>
      </c>
      <c r="M690">
        <v>7.7512577512577507E-2</v>
      </c>
      <c r="N690" t="s">
        <v>357</v>
      </c>
      <c r="O690" t="s">
        <v>359</v>
      </c>
    </row>
    <row r="691" spans="1:15" x14ac:dyDescent="0.3">
      <c r="A691" t="s">
        <v>283</v>
      </c>
      <c r="B691" t="s">
        <v>35</v>
      </c>
      <c r="C691" s="2">
        <v>45488</v>
      </c>
      <c r="D691" t="s">
        <v>15</v>
      </c>
      <c r="E691" t="s">
        <v>50</v>
      </c>
      <c r="F691">
        <v>3663</v>
      </c>
      <c r="G691">
        <v>17</v>
      </c>
      <c r="H691">
        <v>295</v>
      </c>
      <c r="I691">
        <v>51282</v>
      </c>
      <c r="J691">
        <v>50567</v>
      </c>
      <c r="K691">
        <v>84</v>
      </c>
      <c r="L691" t="s">
        <v>26</v>
      </c>
      <c r="M691">
        <v>7.7512577512577507E-2</v>
      </c>
      <c r="N691" t="s">
        <v>358</v>
      </c>
      <c r="O691" t="s">
        <v>359</v>
      </c>
    </row>
    <row r="692" spans="1:15" x14ac:dyDescent="0.3">
      <c r="A692" t="s">
        <v>284</v>
      </c>
      <c r="B692" t="s">
        <v>28</v>
      </c>
      <c r="C692" s="2">
        <v>45778</v>
      </c>
      <c r="D692" t="s">
        <v>19</v>
      </c>
      <c r="E692" t="s">
        <v>78</v>
      </c>
      <c r="F692">
        <v>1430</v>
      </c>
      <c r="G692">
        <v>376</v>
      </c>
      <c r="H692">
        <v>33</v>
      </c>
      <c r="I692">
        <v>21450</v>
      </c>
      <c r="J692">
        <v>20509</v>
      </c>
      <c r="K692">
        <v>251</v>
      </c>
      <c r="L692" t="s">
        <v>17</v>
      </c>
      <c r="M692">
        <v>8.5734265734265735E-2</v>
      </c>
      <c r="N692" t="s">
        <v>11</v>
      </c>
      <c r="O692" t="s">
        <v>48</v>
      </c>
    </row>
    <row r="693" spans="1:15" x14ac:dyDescent="0.3">
      <c r="A693" t="s">
        <v>284</v>
      </c>
      <c r="B693" t="s">
        <v>28</v>
      </c>
      <c r="C693" s="2">
        <v>45778</v>
      </c>
      <c r="D693" t="s">
        <v>19</v>
      </c>
      <c r="E693" t="s">
        <v>78</v>
      </c>
      <c r="F693">
        <v>1430</v>
      </c>
      <c r="G693">
        <v>376</v>
      </c>
      <c r="H693">
        <v>33</v>
      </c>
      <c r="I693">
        <v>21450</v>
      </c>
      <c r="J693">
        <v>20509</v>
      </c>
      <c r="K693">
        <v>251</v>
      </c>
      <c r="L693" t="s">
        <v>17</v>
      </c>
      <c r="M693">
        <v>8.5734265734265735E-2</v>
      </c>
      <c r="N693" t="s">
        <v>357</v>
      </c>
      <c r="O693" t="s">
        <v>359</v>
      </c>
    </row>
    <row r="694" spans="1:15" x14ac:dyDescent="0.3">
      <c r="A694" t="s">
        <v>284</v>
      </c>
      <c r="B694" t="s">
        <v>28</v>
      </c>
      <c r="C694" s="2">
        <v>45778</v>
      </c>
      <c r="D694" t="s">
        <v>19</v>
      </c>
      <c r="E694" t="s">
        <v>78</v>
      </c>
      <c r="F694">
        <v>1430</v>
      </c>
      <c r="G694">
        <v>376</v>
      </c>
      <c r="H694">
        <v>33</v>
      </c>
      <c r="I694">
        <v>21450</v>
      </c>
      <c r="J694">
        <v>20509</v>
      </c>
      <c r="K694">
        <v>251</v>
      </c>
      <c r="L694" t="s">
        <v>17</v>
      </c>
      <c r="M694">
        <v>8.5734265734265735E-2</v>
      </c>
      <c r="N694" t="s">
        <v>358</v>
      </c>
      <c r="O694" t="s">
        <v>359</v>
      </c>
    </row>
    <row r="695" spans="1:15" x14ac:dyDescent="0.3">
      <c r="A695" t="s">
        <v>285</v>
      </c>
      <c r="B695" t="s">
        <v>14</v>
      </c>
      <c r="C695" s="2">
        <v>45776</v>
      </c>
      <c r="D695" t="s">
        <v>29</v>
      </c>
      <c r="E695" t="s">
        <v>98</v>
      </c>
      <c r="F695">
        <v>249</v>
      </c>
      <c r="G695">
        <v>592</v>
      </c>
      <c r="H695">
        <v>230</v>
      </c>
      <c r="I695">
        <v>1494</v>
      </c>
      <c r="J695">
        <v>1044</v>
      </c>
      <c r="K695">
        <v>201</v>
      </c>
      <c r="L695" t="s">
        <v>32</v>
      </c>
      <c r="M695">
        <v>0.7168674698795181</v>
      </c>
      <c r="N695" t="s">
        <v>11</v>
      </c>
      <c r="O695" t="s">
        <v>31</v>
      </c>
    </row>
    <row r="696" spans="1:15" x14ac:dyDescent="0.3">
      <c r="A696" t="s">
        <v>285</v>
      </c>
      <c r="B696" t="s">
        <v>14</v>
      </c>
      <c r="C696" s="2">
        <v>45776</v>
      </c>
      <c r="D696" t="s">
        <v>29</v>
      </c>
      <c r="E696" t="s">
        <v>98</v>
      </c>
      <c r="F696">
        <v>249</v>
      </c>
      <c r="G696">
        <v>592</v>
      </c>
      <c r="H696">
        <v>230</v>
      </c>
      <c r="I696">
        <v>1494</v>
      </c>
      <c r="J696">
        <v>1044</v>
      </c>
      <c r="K696">
        <v>201</v>
      </c>
      <c r="L696" t="s">
        <v>32</v>
      </c>
      <c r="M696">
        <v>0.7168674698795181</v>
      </c>
      <c r="N696" t="s">
        <v>357</v>
      </c>
      <c r="O696" t="s">
        <v>359</v>
      </c>
    </row>
    <row r="697" spans="1:15" x14ac:dyDescent="0.3">
      <c r="A697" t="s">
        <v>285</v>
      </c>
      <c r="B697" t="s">
        <v>14</v>
      </c>
      <c r="C697" s="2">
        <v>45776</v>
      </c>
      <c r="D697" t="s">
        <v>29</v>
      </c>
      <c r="E697" t="s">
        <v>98</v>
      </c>
      <c r="F697">
        <v>249</v>
      </c>
      <c r="G697">
        <v>592</v>
      </c>
      <c r="H697">
        <v>230</v>
      </c>
      <c r="I697">
        <v>1494</v>
      </c>
      <c r="J697">
        <v>1044</v>
      </c>
      <c r="K697">
        <v>201</v>
      </c>
      <c r="L697" t="s">
        <v>32</v>
      </c>
      <c r="M697">
        <v>0.7168674698795181</v>
      </c>
      <c r="N697" t="s">
        <v>358</v>
      </c>
      <c r="O697" t="s">
        <v>359</v>
      </c>
    </row>
    <row r="698" spans="1:15" x14ac:dyDescent="0.3">
      <c r="A698" t="s">
        <v>286</v>
      </c>
      <c r="B698" t="s">
        <v>35</v>
      </c>
      <c r="C698" s="2">
        <v>45724</v>
      </c>
      <c r="D698" t="s">
        <v>41</v>
      </c>
      <c r="E698" t="s">
        <v>46</v>
      </c>
      <c r="F698">
        <v>2382</v>
      </c>
      <c r="G698">
        <v>265</v>
      </c>
      <c r="H698">
        <v>134</v>
      </c>
      <c r="I698">
        <v>38112</v>
      </c>
      <c r="J698">
        <v>37437</v>
      </c>
      <c r="K698">
        <v>249</v>
      </c>
      <c r="L698" t="s">
        <v>32</v>
      </c>
      <c r="M698">
        <v>7.2969143576826198E-2</v>
      </c>
      <c r="N698" t="s">
        <v>11</v>
      </c>
      <c r="O698" t="s">
        <v>48</v>
      </c>
    </row>
    <row r="699" spans="1:15" x14ac:dyDescent="0.3">
      <c r="A699" t="s">
        <v>286</v>
      </c>
      <c r="B699" t="s">
        <v>35</v>
      </c>
      <c r="C699" s="2">
        <v>45724</v>
      </c>
      <c r="D699" t="s">
        <v>41</v>
      </c>
      <c r="E699" t="s">
        <v>46</v>
      </c>
      <c r="F699">
        <v>2382</v>
      </c>
      <c r="G699">
        <v>265</v>
      </c>
      <c r="H699">
        <v>134</v>
      </c>
      <c r="I699">
        <v>38112</v>
      </c>
      <c r="J699">
        <v>37437</v>
      </c>
      <c r="K699">
        <v>249</v>
      </c>
      <c r="L699" t="s">
        <v>32</v>
      </c>
      <c r="M699">
        <v>7.2969143576826198E-2</v>
      </c>
      <c r="N699" t="s">
        <v>357</v>
      </c>
      <c r="O699" t="s">
        <v>359</v>
      </c>
    </row>
    <row r="700" spans="1:15" x14ac:dyDescent="0.3">
      <c r="A700" t="s">
        <v>286</v>
      </c>
      <c r="B700" t="s">
        <v>35</v>
      </c>
      <c r="C700" s="2">
        <v>45724</v>
      </c>
      <c r="D700" t="s">
        <v>41</v>
      </c>
      <c r="E700" t="s">
        <v>46</v>
      </c>
      <c r="F700">
        <v>2382</v>
      </c>
      <c r="G700">
        <v>265</v>
      </c>
      <c r="H700">
        <v>134</v>
      </c>
      <c r="I700">
        <v>38112</v>
      </c>
      <c r="J700">
        <v>37437</v>
      </c>
      <c r="K700">
        <v>249</v>
      </c>
      <c r="L700" t="s">
        <v>32</v>
      </c>
      <c r="M700">
        <v>7.2969143576826198E-2</v>
      </c>
      <c r="N700" t="s">
        <v>358</v>
      </c>
      <c r="O700" t="s">
        <v>359</v>
      </c>
    </row>
    <row r="701" spans="1:15" x14ac:dyDescent="0.3">
      <c r="A701" t="s">
        <v>287</v>
      </c>
      <c r="B701" t="s">
        <v>35</v>
      </c>
      <c r="C701" s="2">
        <v>45444</v>
      </c>
      <c r="D701" t="s">
        <v>19</v>
      </c>
      <c r="E701" t="s">
        <v>44</v>
      </c>
      <c r="F701">
        <v>1272</v>
      </c>
      <c r="G701">
        <v>465</v>
      </c>
      <c r="H701">
        <v>99</v>
      </c>
      <c r="I701">
        <v>24168</v>
      </c>
      <c r="J701">
        <v>23719</v>
      </c>
      <c r="K701">
        <v>42</v>
      </c>
      <c r="L701" t="s">
        <v>360</v>
      </c>
      <c r="M701">
        <v>7.5968222442899705E-2</v>
      </c>
      <c r="N701" t="s">
        <v>11</v>
      </c>
      <c r="O701" t="s">
        <v>25</v>
      </c>
    </row>
    <row r="702" spans="1:15" x14ac:dyDescent="0.3">
      <c r="A702" t="s">
        <v>287</v>
      </c>
      <c r="B702" t="s">
        <v>35</v>
      </c>
      <c r="C702" s="2">
        <v>45444</v>
      </c>
      <c r="D702" t="s">
        <v>19</v>
      </c>
      <c r="E702" t="s">
        <v>44</v>
      </c>
      <c r="F702">
        <v>1272</v>
      </c>
      <c r="G702">
        <v>465</v>
      </c>
      <c r="H702">
        <v>99</v>
      </c>
      <c r="I702">
        <v>24168</v>
      </c>
      <c r="J702">
        <v>23719</v>
      </c>
      <c r="K702">
        <v>42</v>
      </c>
      <c r="L702" t="s">
        <v>360</v>
      </c>
      <c r="M702">
        <v>7.5968222442899705E-2</v>
      </c>
      <c r="N702" t="s">
        <v>357</v>
      </c>
      <c r="O702" t="s">
        <v>359</v>
      </c>
    </row>
    <row r="703" spans="1:15" x14ac:dyDescent="0.3">
      <c r="A703" t="s">
        <v>287</v>
      </c>
      <c r="B703" t="s">
        <v>35</v>
      </c>
      <c r="C703" s="2">
        <v>45444</v>
      </c>
      <c r="D703" t="s">
        <v>19</v>
      </c>
      <c r="E703" t="s">
        <v>44</v>
      </c>
      <c r="F703">
        <v>1272</v>
      </c>
      <c r="G703">
        <v>465</v>
      </c>
      <c r="H703">
        <v>99</v>
      </c>
      <c r="I703">
        <v>24168</v>
      </c>
      <c r="J703">
        <v>23719</v>
      </c>
      <c r="K703">
        <v>42</v>
      </c>
      <c r="L703" t="s">
        <v>360</v>
      </c>
      <c r="M703">
        <v>7.5968222442899705E-2</v>
      </c>
      <c r="N703" t="s">
        <v>358</v>
      </c>
      <c r="O703" t="s">
        <v>359</v>
      </c>
    </row>
    <row r="704" spans="1:15" x14ac:dyDescent="0.3">
      <c r="A704" t="s">
        <v>288</v>
      </c>
      <c r="B704" t="s">
        <v>35</v>
      </c>
      <c r="C704" s="2">
        <v>45648</v>
      </c>
      <c r="D704" t="s">
        <v>41</v>
      </c>
      <c r="E704" t="s">
        <v>46</v>
      </c>
      <c r="F704">
        <v>3196</v>
      </c>
      <c r="G704">
        <v>941</v>
      </c>
      <c r="H704">
        <v>376</v>
      </c>
      <c r="I704">
        <v>35156</v>
      </c>
      <c r="J704">
        <v>34444</v>
      </c>
      <c r="K704">
        <v>241</v>
      </c>
      <c r="L704" t="s">
        <v>26</v>
      </c>
      <c r="M704">
        <v>0.1283706906360223</v>
      </c>
      <c r="N704" t="s">
        <v>11</v>
      </c>
      <c r="O704" t="s">
        <v>25</v>
      </c>
    </row>
    <row r="705" spans="1:15" x14ac:dyDescent="0.3">
      <c r="A705" t="s">
        <v>288</v>
      </c>
      <c r="B705" t="s">
        <v>35</v>
      </c>
      <c r="C705" s="2">
        <v>45648</v>
      </c>
      <c r="D705" t="s">
        <v>41</v>
      </c>
      <c r="E705" t="s">
        <v>46</v>
      </c>
      <c r="F705">
        <v>3196</v>
      </c>
      <c r="G705">
        <v>941</v>
      </c>
      <c r="H705">
        <v>376</v>
      </c>
      <c r="I705">
        <v>35156</v>
      </c>
      <c r="J705">
        <v>34444</v>
      </c>
      <c r="K705">
        <v>241</v>
      </c>
      <c r="L705" t="s">
        <v>26</v>
      </c>
      <c r="M705">
        <v>0.1283706906360223</v>
      </c>
      <c r="N705" t="s">
        <v>357</v>
      </c>
      <c r="O705" t="s">
        <v>359</v>
      </c>
    </row>
    <row r="706" spans="1:15" x14ac:dyDescent="0.3">
      <c r="A706" t="s">
        <v>288</v>
      </c>
      <c r="B706" t="s">
        <v>35</v>
      </c>
      <c r="C706" s="2">
        <v>45648</v>
      </c>
      <c r="D706" t="s">
        <v>41</v>
      </c>
      <c r="E706" t="s">
        <v>46</v>
      </c>
      <c r="F706">
        <v>3196</v>
      </c>
      <c r="G706">
        <v>941</v>
      </c>
      <c r="H706">
        <v>376</v>
      </c>
      <c r="I706">
        <v>35156</v>
      </c>
      <c r="J706">
        <v>34444</v>
      </c>
      <c r="K706">
        <v>241</v>
      </c>
      <c r="L706" t="s">
        <v>26</v>
      </c>
      <c r="M706">
        <v>0.1283706906360223</v>
      </c>
      <c r="N706" t="s">
        <v>358</v>
      </c>
      <c r="O706" t="s">
        <v>359</v>
      </c>
    </row>
    <row r="707" spans="1:15" x14ac:dyDescent="0.3">
      <c r="A707" t="s">
        <v>289</v>
      </c>
      <c r="B707" t="s">
        <v>35</v>
      </c>
      <c r="C707" s="2">
        <v>45523</v>
      </c>
      <c r="D707" t="s">
        <v>19</v>
      </c>
      <c r="E707" t="s">
        <v>44</v>
      </c>
      <c r="F707">
        <v>1257</v>
      </c>
      <c r="G707">
        <v>19</v>
      </c>
      <c r="H707">
        <v>351</v>
      </c>
      <c r="I707">
        <v>12570</v>
      </c>
      <c r="J707">
        <v>11660</v>
      </c>
      <c r="K707">
        <v>194</v>
      </c>
      <c r="L707" t="s">
        <v>21</v>
      </c>
      <c r="M707">
        <v>0.12943516308671441</v>
      </c>
      <c r="N707" t="s">
        <v>11</v>
      </c>
      <c r="O707" t="s">
        <v>48</v>
      </c>
    </row>
    <row r="708" spans="1:15" x14ac:dyDescent="0.3">
      <c r="A708" t="s">
        <v>289</v>
      </c>
      <c r="B708" t="s">
        <v>35</v>
      </c>
      <c r="C708" s="2">
        <v>45523</v>
      </c>
      <c r="D708" t="s">
        <v>19</v>
      </c>
      <c r="E708" t="s">
        <v>44</v>
      </c>
      <c r="F708">
        <v>1257</v>
      </c>
      <c r="G708">
        <v>19</v>
      </c>
      <c r="H708">
        <v>351</v>
      </c>
      <c r="I708">
        <v>12570</v>
      </c>
      <c r="J708">
        <v>11660</v>
      </c>
      <c r="K708">
        <v>194</v>
      </c>
      <c r="L708" t="s">
        <v>21</v>
      </c>
      <c r="M708">
        <v>0.12943516308671441</v>
      </c>
      <c r="N708" t="s">
        <v>357</v>
      </c>
      <c r="O708" t="s">
        <v>354</v>
      </c>
    </row>
    <row r="709" spans="1:15" x14ac:dyDescent="0.3">
      <c r="A709" t="s">
        <v>289</v>
      </c>
      <c r="B709" t="s">
        <v>35</v>
      </c>
      <c r="C709" s="2">
        <v>45523</v>
      </c>
      <c r="D709" t="s">
        <v>19</v>
      </c>
      <c r="E709" t="s">
        <v>44</v>
      </c>
      <c r="F709">
        <v>1257</v>
      </c>
      <c r="G709">
        <v>19</v>
      </c>
      <c r="H709">
        <v>351</v>
      </c>
      <c r="I709">
        <v>12570</v>
      </c>
      <c r="J709">
        <v>11660</v>
      </c>
      <c r="K709">
        <v>194</v>
      </c>
      <c r="L709" t="s">
        <v>21</v>
      </c>
      <c r="M709">
        <v>0.12943516308671441</v>
      </c>
      <c r="N709" t="s">
        <v>358</v>
      </c>
      <c r="O709" t="s">
        <v>31</v>
      </c>
    </row>
    <row r="710" spans="1:15" x14ac:dyDescent="0.3">
      <c r="A710" t="s">
        <v>290</v>
      </c>
      <c r="B710" t="s">
        <v>28</v>
      </c>
      <c r="C710" s="2">
        <v>45587</v>
      </c>
      <c r="D710" t="s">
        <v>29</v>
      </c>
      <c r="E710" t="s">
        <v>30</v>
      </c>
      <c r="F710">
        <v>3770</v>
      </c>
      <c r="G710">
        <v>917</v>
      </c>
      <c r="H710">
        <v>129</v>
      </c>
      <c r="I710">
        <v>71630</v>
      </c>
      <c r="J710">
        <v>71322</v>
      </c>
      <c r="K710">
        <v>76</v>
      </c>
      <c r="L710" t="s">
        <v>17</v>
      </c>
      <c r="M710">
        <v>6.7234398994834563E-2</v>
      </c>
      <c r="N710" t="s">
        <v>11</v>
      </c>
      <c r="O710" t="s">
        <v>48</v>
      </c>
    </row>
    <row r="711" spans="1:15" x14ac:dyDescent="0.3">
      <c r="A711" t="s">
        <v>290</v>
      </c>
      <c r="B711" t="s">
        <v>28</v>
      </c>
      <c r="C711" s="2">
        <v>45587</v>
      </c>
      <c r="D711" t="s">
        <v>29</v>
      </c>
      <c r="E711" t="s">
        <v>30</v>
      </c>
      <c r="F711">
        <v>3770</v>
      </c>
      <c r="G711">
        <v>917</v>
      </c>
      <c r="H711">
        <v>129</v>
      </c>
      <c r="I711">
        <v>71630</v>
      </c>
      <c r="J711">
        <v>71322</v>
      </c>
      <c r="K711">
        <v>76</v>
      </c>
      <c r="L711" t="s">
        <v>17</v>
      </c>
      <c r="M711">
        <v>6.7234398994834563E-2</v>
      </c>
      <c r="N711" t="s">
        <v>357</v>
      </c>
      <c r="O711" t="s">
        <v>359</v>
      </c>
    </row>
    <row r="712" spans="1:15" x14ac:dyDescent="0.3">
      <c r="A712" t="s">
        <v>290</v>
      </c>
      <c r="B712" t="s">
        <v>28</v>
      </c>
      <c r="C712" s="2">
        <v>45587</v>
      </c>
      <c r="D712" t="s">
        <v>29</v>
      </c>
      <c r="E712" t="s">
        <v>30</v>
      </c>
      <c r="F712">
        <v>3770</v>
      </c>
      <c r="G712">
        <v>917</v>
      </c>
      <c r="H712">
        <v>129</v>
      </c>
      <c r="I712">
        <v>71630</v>
      </c>
      <c r="J712">
        <v>71322</v>
      </c>
      <c r="K712">
        <v>76</v>
      </c>
      <c r="L712" t="s">
        <v>17</v>
      </c>
      <c r="M712">
        <v>6.7234398994834563E-2</v>
      </c>
      <c r="N712" t="s">
        <v>358</v>
      </c>
      <c r="O712" t="s">
        <v>359</v>
      </c>
    </row>
    <row r="713" spans="1:15" x14ac:dyDescent="0.3">
      <c r="A713" t="s">
        <v>291</v>
      </c>
      <c r="B713" t="s">
        <v>14</v>
      </c>
      <c r="C713" s="2">
        <v>45489</v>
      </c>
      <c r="D713" t="s">
        <v>19</v>
      </c>
      <c r="E713" t="s">
        <v>20</v>
      </c>
      <c r="F713">
        <v>4725</v>
      </c>
      <c r="G713">
        <v>400</v>
      </c>
      <c r="H713">
        <v>362</v>
      </c>
      <c r="I713">
        <v>75600</v>
      </c>
      <c r="J713">
        <v>74927</v>
      </c>
      <c r="K713">
        <v>43</v>
      </c>
      <c r="L713" t="s">
        <v>32</v>
      </c>
      <c r="M713">
        <v>7.2579365079365077E-2</v>
      </c>
      <c r="N713" t="s">
        <v>11</v>
      </c>
      <c r="O713" t="s">
        <v>48</v>
      </c>
    </row>
    <row r="714" spans="1:15" x14ac:dyDescent="0.3">
      <c r="A714" t="s">
        <v>291</v>
      </c>
      <c r="B714" t="s">
        <v>14</v>
      </c>
      <c r="C714" s="2">
        <v>45489</v>
      </c>
      <c r="D714" t="s">
        <v>19</v>
      </c>
      <c r="E714" t="s">
        <v>20</v>
      </c>
      <c r="F714">
        <v>4725</v>
      </c>
      <c r="G714">
        <v>400</v>
      </c>
      <c r="H714">
        <v>362</v>
      </c>
      <c r="I714">
        <v>75600</v>
      </c>
      <c r="J714">
        <v>74927</v>
      </c>
      <c r="K714">
        <v>43</v>
      </c>
      <c r="L714" t="s">
        <v>32</v>
      </c>
      <c r="M714">
        <v>7.2579365079365077E-2</v>
      </c>
      <c r="N714" t="s">
        <v>357</v>
      </c>
      <c r="O714" t="s">
        <v>359</v>
      </c>
    </row>
    <row r="715" spans="1:15" x14ac:dyDescent="0.3">
      <c r="A715" t="s">
        <v>291</v>
      </c>
      <c r="B715" t="s">
        <v>14</v>
      </c>
      <c r="C715" s="2">
        <v>45489</v>
      </c>
      <c r="D715" t="s">
        <v>19</v>
      </c>
      <c r="E715" t="s">
        <v>20</v>
      </c>
      <c r="F715">
        <v>4725</v>
      </c>
      <c r="G715">
        <v>400</v>
      </c>
      <c r="H715">
        <v>362</v>
      </c>
      <c r="I715">
        <v>75600</v>
      </c>
      <c r="J715">
        <v>74927</v>
      </c>
      <c r="K715">
        <v>43</v>
      </c>
      <c r="L715" t="s">
        <v>32</v>
      </c>
      <c r="M715">
        <v>7.2579365079365077E-2</v>
      </c>
      <c r="N715" t="s">
        <v>358</v>
      </c>
      <c r="O715" t="s">
        <v>359</v>
      </c>
    </row>
    <row r="716" spans="1:15" x14ac:dyDescent="0.3">
      <c r="A716" t="s">
        <v>292</v>
      </c>
      <c r="B716" t="s">
        <v>23</v>
      </c>
      <c r="C716" s="2">
        <v>45712</v>
      </c>
      <c r="D716" t="s">
        <v>19</v>
      </c>
      <c r="E716" t="s">
        <v>73</v>
      </c>
      <c r="F716">
        <v>4188</v>
      </c>
      <c r="G716">
        <v>942</v>
      </c>
      <c r="H716">
        <v>118</v>
      </c>
      <c r="I716">
        <v>20940</v>
      </c>
      <c r="J716">
        <v>20471</v>
      </c>
      <c r="K716">
        <v>102</v>
      </c>
      <c r="L716" t="s">
        <v>360</v>
      </c>
      <c r="M716">
        <v>0.25062082139446035</v>
      </c>
      <c r="N716" t="s">
        <v>11</v>
      </c>
      <c r="O716" t="s">
        <v>48</v>
      </c>
    </row>
    <row r="717" spans="1:15" x14ac:dyDescent="0.3">
      <c r="A717" t="s">
        <v>292</v>
      </c>
      <c r="B717" t="s">
        <v>23</v>
      </c>
      <c r="C717" s="2">
        <v>45712</v>
      </c>
      <c r="D717" t="s">
        <v>19</v>
      </c>
      <c r="E717" t="s">
        <v>73</v>
      </c>
      <c r="F717">
        <v>4188</v>
      </c>
      <c r="G717">
        <v>942</v>
      </c>
      <c r="H717">
        <v>118</v>
      </c>
      <c r="I717">
        <v>20940</v>
      </c>
      <c r="J717">
        <v>20471</v>
      </c>
      <c r="K717">
        <v>102</v>
      </c>
      <c r="L717" t="s">
        <v>360</v>
      </c>
      <c r="M717">
        <v>0.25062082139446035</v>
      </c>
      <c r="N717" t="s">
        <v>357</v>
      </c>
      <c r="O717" t="s">
        <v>359</v>
      </c>
    </row>
    <row r="718" spans="1:15" x14ac:dyDescent="0.3">
      <c r="A718" t="s">
        <v>292</v>
      </c>
      <c r="B718" t="s">
        <v>23</v>
      </c>
      <c r="C718" s="2">
        <v>45712</v>
      </c>
      <c r="D718" t="s">
        <v>19</v>
      </c>
      <c r="E718" t="s">
        <v>73</v>
      </c>
      <c r="F718">
        <v>4188</v>
      </c>
      <c r="G718">
        <v>942</v>
      </c>
      <c r="H718">
        <v>118</v>
      </c>
      <c r="I718">
        <v>20940</v>
      </c>
      <c r="J718">
        <v>20471</v>
      </c>
      <c r="K718">
        <v>102</v>
      </c>
      <c r="L718" t="s">
        <v>360</v>
      </c>
      <c r="M718">
        <v>0.25062082139446035</v>
      </c>
      <c r="N718" t="s">
        <v>358</v>
      </c>
      <c r="O718" t="s">
        <v>359</v>
      </c>
    </row>
    <row r="719" spans="1:15" x14ac:dyDescent="0.3">
      <c r="A719" t="s">
        <v>293</v>
      </c>
      <c r="B719" t="s">
        <v>14</v>
      </c>
      <c r="C719" s="2">
        <v>45530</v>
      </c>
      <c r="D719" t="s">
        <v>36</v>
      </c>
      <c r="E719" t="s">
        <v>39</v>
      </c>
      <c r="F719">
        <v>929</v>
      </c>
      <c r="G719">
        <v>192</v>
      </c>
      <c r="H719">
        <v>322</v>
      </c>
      <c r="I719">
        <v>16722</v>
      </c>
      <c r="J719">
        <v>15996</v>
      </c>
      <c r="K719">
        <v>145</v>
      </c>
      <c r="L719" t="s">
        <v>26</v>
      </c>
      <c r="M719">
        <v>8.6293505561535699E-2</v>
      </c>
      <c r="N719" t="s">
        <v>11</v>
      </c>
      <c r="O719" t="s">
        <v>31</v>
      </c>
    </row>
    <row r="720" spans="1:15" x14ac:dyDescent="0.3">
      <c r="A720" t="s">
        <v>293</v>
      </c>
      <c r="B720" t="s">
        <v>14</v>
      </c>
      <c r="C720" s="2">
        <v>45530</v>
      </c>
      <c r="D720" t="s">
        <v>36</v>
      </c>
      <c r="E720" t="s">
        <v>39</v>
      </c>
      <c r="F720">
        <v>929</v>
      </c>
      <c r="G720">
        <v>192</v>
      </c>
      <c r="H720">
        <v>322</v>
      </c>
      <c r="I720">
        <v>16722</v>
      </c>
      <c r="J720">
        <v>15996</v>
      </c>
      <c r="K720">
        <v>145</v>
      </c>
      <c r="L720" t="s">
        <v>26</v>
      </c>
      <c r="M720">
        <v>8.6293505561535699E-2</v>
      </c>
      <c r="N720" t="s">
        <v>357</v>
      </c>
      <c r="O720" t="s">
        <v>25</v>
      </c>
    </row>
    <row r="721" spans="1:15" x14ac:dyDescent="0.3">
      <c r="A721" t="s">
        <v>293</v>
      </c>
      <c r="B721" t="s">
        <v>14</v>
      </c>
      <c r="C721" s="2">
        <v>45530</v>
      </c>
      <c r="D721" t="s">
        <v>36</v>
      </c>
      <c r="E721" t="s">
        <v>39</v>
      </c>
      <c r="F721">
        <v>929</v>
      </c>
      <c r="G721">
        <v>192</v>
      </c>
      <c r="H721">
        <v>322</v>
      </c>
      <c r="I721">
        <v>16722</v>
      </c>
      <c r="J721">
        <v>15996</v>
      </c>
      <c r="K721">
        <v>145</v>
      </c>
      <c r="L721" t="s">
        <v>26</v>
      </c>
      <c r="M721">
        <v>8.6293505561535699E-2</v>
      </c>
      <c r="N721" t="s">
        <v>358</v>
      </c>
      <c r="O721" t="s">
        <v>354</v>
      </c>
    </row>
    <row r="722" spans="1:15" x14ac:dyDescent="0.3">
      <c r="A722" t="s">
        <v>294</v>
      </c>
      <c r="B722" t="s">
        <v>35</v>
      </c>
      <c r="C722" s="2">
        <v>45675</v>
      </c>
      <c r="D722" t="s">
        <v>29</v>
      </c>
      <c r="E722" t="s">
        <v>54</v>
      </c>
      <c r="F722">
        <v>4321</v>
      </c>
      <c r="G722">
        <v>874</v>
      </c>
      <c r="H722">
        <v>172</v>
      </c>
      <c r="I722">
        <v>30247</v>
      </c>
      <c r="J722">
        <v>29254</v>
      </c>
      <c r="K722">
        <v>122</v>
      </c>
      <c r="L722" t="s">
        <v>32</v>
      </c>
      <c r="M722">
        <v>0.17743908486792079</v>
      </c>
      <c r="N722" t="s">
        <v>11</v>
      </c>
      <c r="O722" t="s">
        <v>25</v>
      </c>
    </row>
    <row r="723" spans="1:15" x14ac:dyDescent="0.3">
      <c r="A723" t="s">
        <v>294</v>
      </c>
      <c r="B723" t="s">
        <v>35</v>
      </c>
      <c r="C723" s="2">
        <v>45675</v>
      </c>
      <c r="D723" t="s">
        <v>29</v>
      </c>
      <c r="E723" t="s">
        <v>54</v>
      </c>
      <c r="F723">
        <v>4321</v>
      </c>
      <c r="G723">
        <v>874</v>
      </c>
      <c r="H723">
        <v>172</v>
      </c>
      <c r="I723">
        <v>30247</v>
      </c>
      <c r="J723">
        <v>29254</v>
      </c>
      <c r="K723">
        <v>122</v>
      </c>
      <c r="L723" t="s">
        <v>32</v>
      </c>
      <c r="M723">
        <v>0.17743908486792079</v>
      </c>
      <c r="N723" t="s">
        <v>357</v>
      </c>
      <c r="O723" t="s">
        <v>359</v>
      </c>
    </row>
    <row r="724" spans="1:15" x14ac:dyDescent="0.3">
      <c r="A724" t="s">
        <v>294</v>
      </c>
      <c r="B724" t="s">
        <v>35</v>
      </c>
      <c r="C724" s="2">
        <v>45675</v>
      </c>
      <c r="D724" t="s">
        <v>29</v>
      </c>
      <c r="E724" t="s">
        <v>54</v>
      </c>
      <c r="F724">
        <v>4321</v>
      </c>
      <c r="G724">
        <v>874</v>
      </c>
      <c r="H724">
        <v>172</v>
      </c>
      <c r="I724">
        <v>30247</v>
      </c>
      <c r="J724">
        <v>29254</v>
      </c>
      <c r="K724">
        <v>122</v>
      </c>
      <c r="L724" t="s">
        <v>32</v>
      </c>
      <c r="M724">
        <v>0.17743908486792079</v>
      </c>
      <c r="N724" t="s">
        <v>358</v>
      </c>
      <c r="O724" t="s">
        <v>359</v>
      </c>
    </row>
    <row r="725" spans="1:15" x14ac:dyDescent="0.3">
      <c r="A725" t="s">
        <v>295</v>
      </c>
      <c r="B725" t="s">
        <v>35</v>
      </c>
      <c r="C725" s="2">
        <v>45480</v>
      </c>
      <c r="D725" t="s">
        <v>15</v>
      </c>
      <c r="E725" t="s">
        <v>50</v>
      </c>
      <c r="F725">
        <v>4767</v>
      </c>
      <c r="G725">
        <v>190</v>
      </c>
      <c r="H725">
        <v>340</v>
      </c>
      <c r="I725">
        <v>28602</v>
      </c>
      <c r="J725">
        <v>28044</v>
      </c>
      <c r="K725">
        <v>210</v>
      </c>
      <c r="L725" t="s">
        <v>26</v>
      </c>
      <c r="M725">
        <v>0.18519683938186141</v>
      </c>
      <c r="N725" t="s">
        <v>11</v>
      </c>
      <c r="O725" t="s">
        <v>31</v>
      </c>
    </row>
    <row r="726" spans="1:15" x14ac:dyDescent="0.3">
      <c r="A726" t="s">
        <v>295</v>
      </c>
      <c r="B726" t="s">
        <v>35</v>
      </c>
      <c r="C726" s="2">
        <v>45480</v>
      </c>
      <c r="D726" t="s">
        <v>15</v>
      </c>
      <c r="E726" t="s">
        <v>50</v>
      </c>
      <c r="F726">
        <v>4767</v>
      </c>
      <c r="G726">
        <v>190</v>
      </c>
      <c r="H726">
        <v>340</v>
      </c>
      <c r="I726">
        <v>28602</v>
      </c>
      <c r="J726">
        <v>28044</v>
      </c>
      <c r="K726">
        <v>210</v>
      </c>
      <c r="L726" t="s">
        <v>26</v>
      </c>
      <c r="M726">
        <v>0.18519683938186141</v>
      </c>
      <c r="N726" t="s">
        <v>357</v>
      </c>
      <c r="O726" t="s">
        <v>359</v>
      </c>
    </row>
    <row r="727" spans="1:15" x14ac:dyDescent="0.3">
      <c r="A727" t="s">
        <v>295</v>
      </c>
      <c r="B727" t="s">
        <v>35</v>
      </c>
      <c r="C727" s="2">
        <v>45480</v>
      </c>
      <c r="D727" t="s">
        <v>15</v>
      </c>
      <c r="E727" t="s">
        <v>50</v>
      </c>
      <c r="F727">
        <v>4767</v>
      </c>
      <c r="G727">
        <v>190</v>
      </c>
      <c r="H727">
        <v>340</v>
      </c>
      <c r="I727">
        <v>28602</v>
      </c>
      <c r="J727">
        <v>28044</v>
      </c>
      <c r="K727">
        <v>210</v>
      </c>
      <c r="L727" t="s">
        <v>26</v>
      </c>
      <c r="M727">
        <v>0.18519683938186141</v>
      </c>
      <c r="N727" t="s">
        <v>358</v>
      </c>
      <c r="O727" t="s">
        <v>359</v>
      </c>
    </row>
    <row r="728" spans="1:15" x14ac:dyDescent="0.3">
      <c r="A728" t="s">
        <v>296</v>
      </c>
      <c r="B728" t="s">
        <v>14</v>
      </c>
      <c r="C728" s="2">
        <v>45722</v>
      </c>
      <c r="D728" t="s">
        <v>41</v>
      </c>
      <c r="E728" t="s">
        <v>88</v>
      </c>
      <c r="F728">
        <v>3592</v>
      </c>
      <c r="G728">
        <v>911</v>
      </c>
      <c r="H728">
        <v>375</v>
      </c>
      <c r="I728">
        <v>50288</v>
      </c>
      <c r="J728">
        <v>49490</v>
      </c>
      <c r="K728">
        <v>32</v>
      </c>
      <c r="L728" t="s">
        <v>32</v>
      </c>
      <c r="M728">
        <v>9.7001272669424113E-2</v>
      </c>
      <c r="N728" t="s">
        <v>11</v>
      </c>
      <c r="O728" t="s">
        <v>48</v>
      </c>
    </row>
    <row r="729" spans="1:15" x14ac:dyDescent="0.3">
      <c r="A729" t="s">
        <v>296</v>
      </c>
      <c r="B729" t="s">
        <v>14</v>
      </c>
      <c r="C729" s="2">
        <v>45722</v>
      </c>
      <c r="D729" t="s">
        <v>41</v>
      </c>
      <c r="E729" t="s">
        <v>88</v>
      </c>
      <c r="F729">
        <v>3592</v>
      </c>
      <c r="G729">
        <v>911</v>
      </c>
      <c r="H729">
        <v>375</v>
      </c>
      <c r="I729">
        <v>50288</v>
      </c>
      <c r="J729">
        <v>49490</v>
      </c>
      <c r="K729">
        <v>32</v>
      </c>
      <c r="L729" t="s">
        <v>32</v>
      </c>
      <c r="M729">
        <v>9.7001272669424113E-2</v>
      </c>
      <c r="N729" t="s">
        <v>357</v>
      </c>
      <c r="O729" t="s">
        <v>359</v>
      </c>
    </row>
    <row r="730" spans="1:15" x14ac:dyDescent="0.3">
      <c r="A730" t="s">
        <v>296</v>
      </c>
      <c r="B730" t="s">
        <v>14</v>
      </c>
      <c r="C730" s="2">
        <v>45722</v>
      </c>
      <c r="D730" t="s">
        <v>41</v>
      </c>
      <c r="E730" t="s">
        <v>88</v>
      </c>
      <c r="F730">
        <v>3592</v>
      </c>
      <c r="G730">
        <v>911</v>
      </c>
      <c r="H730">
        <v>375</v>
      </c>
      <c r="I730">
        <v>50288</v>
      </c>
      <c r="J730">
        <v>49490</v>
      </c>
      <c r="K730">
        <v>32</v>
      </c>
      <c r="L730" t="s">
        <v>32</v>
      </c>
      <c r="M730">
        <v>9.7001272669424113E-2</v>
      </c>
      <c r="N730" t="s">
        <v>358</v>
      </c>
      <c r="O730" t="s">
        <v>359</v>
      </c>
    </row>
    <row r="731" spans="1:15" x14ac:dyDescent="0.3">
      <c r="A731" t="s">
        <v>297</v>
      </c>
      <c r="B731" t="s">
        <v>23</v>
      </c>
      <c r="C731" s="2">
        <v>45590</v>
      </c>
      <c r="D731" t="s">
        <v>56</v>
      </c>
      <c r="E731" t="s">
        <v>136</v>
      </c>
      <c r="F731">
        <v>4661</v>
      </c>
      <c r="G731">
        <v>935</v>
      </c>
      <c r="H731">
        <v>433</v>
      </c>
      <c r="I731">
        <v>23305</v>
      </c>
      <c r="J731">
        <v>22583</v>
      </c>
      <c r="K731">
        <v>63</v>
      </c>
      <c r="L731" t="s">
        <v>26</v>
      </c>
      <c r="M731">
        <v>0.25869984981763572</v>
      </c>
      <c r="N731" t="s">
        <v>11</v>
      </c>
      <c r="O731" t="s">
        <v>48</v>
      </c>
    </row>
    <row r="732" spans="1:15" x14ac:dyDescent="0.3">
      <c r="A732" t="s">
        <v>297</v>
      </c>
      <c r="B732" t="s">
        <v>23</v>
      </c>
      <c r="C732" s="2">
        <v>45590</v>
      </c>
      <c r="D732" t="s">
        <v>56</v>
      </c>
      <c r="E732" t="s">
        <v>136</v>
      </c>
      <c r="F732">
        <v>4661</v>
      </c>
      <c r="G732">
        <v>935</v>
      </c>
      <c r="H732">
        <v>433</v>
      </c>
      <c r="I732">
        <v>23305</v>
      </c>
      <c r="J732">
        <v>22583</v>
      </c>
      <c r="K732">
        <v>63</v>
      </c>
      <c r="L732" t="s">
        <v>26</v>
      </c>
      <c r="M732">
        <v>0.25869984981763572</v>
      </c>
      <c r="N732" t="s">
        <v>357</v>
      </c>
      <c r="O732" t="s">
        <v>359</v>
      </c>
    </row>
    <row r="733" spans="1:15" x14ac:dyDescent="0.3">
      <c r="A733" t="s">
        <v>297</v>
      </c>
      <c r="B733" t="s">
        <v>23</v>
      </c>
      <c r="C733" s="2">
        <v>45590</v>
      </c>
      <c r="D733" t="s">
        <v>56</v>
      </c>
      <c r="E733" t="s">
        <v>136</v>
      </c>
      <c r="F733">
        <v>4661</v>
      </c>
      <c r="G733">
        <v>935</v>
      </c>
      <c r="H733">
        <v>433</v>
      </c>
      <c r="I733">
        <v>23305</v>
      </c>
      <c r="J733">
        <v>22583</v>
      </c>
      <c r="K733">
        <v>63</v>
      </c>
      <c r="L733" t="s">
        <v>26</v>
      </c>
      <c r="M733">
        <v>0.25869984981763572</v>
      </c>
      <c r="N733" t="s">
        <v>358</v>
      </c>
      <c r="O733" t="s">
        <v>359</v>
      </c>
    </row>
    <row r="734" spans="1:15" x14ac:dyDescent="0.3">
      <c r="A734" t="s">
        <v>298</v>
      </c>
      <c r="B734" t="s">
        <v>35</v>
      </c>
      <c r="C734" s="2">
        <v>45669</v>
      </c>
      <c r="D734" t="s">
        <v>15</v>
      </c>
      <c r="E734" t="s">
        <v>50</v>
      </c>
      <c r="F734">
        <v>4134</v>
      </c>
      <c r="G734">
        <v>824</v>
      </c>
      <c r="H734">
        <v>99</v>
      </c>
      <c r="I734">
        <v>41340</v>
      </c>
      <c r="J734">
        <v>41050</v>
      </c>
      <c r="K734">
        <v>177</v>
      </c>
      <c r="L734" t="s">
        <v>17</v>
      </c>
      <c r="M734">
        <v>0.12232704402515723</v>
      </c>
      <c r="N734" t="s">
        <v>11</v>
      </c>
      <c r="O734" t="s">
        <v>31</v>
      </c>
    </row>
    <row r="735" spans="1:15" x14ac:dyDescent="0.3">
      <c r="A735" t="s">
        <v>298</v>
      </c>
      <c r="B735" t="s">
        <v>35</v>
      </c>
      <c r="C735" s="2">
        <v>45669</v>
      </c>
      <c r="D735" t="s">
        <v>15</v>
      </c>
      <c r="E735" t="s">
        <v>50</v>
      </c>
      <c r="F735">
        <v>4134</v>
      </c>
      <c r="G735">
        <v>824</v>
      </c>
      <c r="H735">
        <v>99</v>
      </c>
      <c r="I735">
        <v>41340</v>
      </c>
      <c r="J735">
        <v>41050</v>
      </c>
      <c r="K735">
        <v>177</v>
      </c>
      <c r="L735" t="s">
        <v>17</v>
      </c>
      <c r="M735">
        <v>0.12232704402515723</v>
      </c>
      <c r="N735" t="s">
        <v>357</v>
      </c>
      <c r="O735" t="s">
        <v>359</v>
      </c>
    </row>
    <row r="736" spans="1:15" x14ac:dyDescent="0.3">
      <c r="A736" t="s">
        <v>298</v>
      </c>
      <c r="B736" t="s">
        <v>35</v>
      </c>
      <c r="C736" s="2">
        <v>45669</v>
      </c>
      <c r="D736" t="s">
        <v>15</v>
      </c>
      <c r="E736" t="s">
        <v>50</v>
      </c>
      <c r="F736">
        <v>4134</v>
      </c>
      <c r="G736">
        <v>824</v>
      </c>
      <c r="H736">
        <v>99</v>
      </c>
      <c r="I736">
        <v>41340</v>
      </c>
      <c r="J736">
        <v>41050</v>
      </c>
      <c r="K736">
        <v>177</v>
      </c>
      <c r="L736" t="s">
        <v>17</v>
      </c>
      <c r="M736">
        <v>0.12232704402515723</v>
      </c>
      <c r="N736" t="s">
        <v>358</v>
      </c>
      <c r="O736" t="s">
        <v>359</v>
      </c>
    </row>
    <row r="737" spans="1:15" x14ac:dyDescent="0.3">
      <c r="A737" t="s">
        <v>299</v>
      </c>
      <c r="B737" t="s">
        <v>35</v>
      </c>
      <c r="C737" s="2">
        <v>45576</v>
      </c>
      <c r="D737" t="s">
        <v>41</v>
      </c>
      <c r="E737" t="s">
        <v>46</v>
      </c>
      <c r="F737">
        <v>400</v>
      </c>
      <c r="G737">
        <v>680</v>
      </c>
      <c r="H737">
        <v>434</v>
      </c>
      <c r="I737">
        <v>6400</v>
      </c>
      <c r="J737">
        <v>5472</v>
      </c>
      <c r="K737">
        <v>160</v>
      </c>
      <c r="L737" t="s">
        <v>21</v>
      </c>
      <c r="M737">
        <v>0.23656250000000001</v>
      </c>
      <c r="N737" t="s">
        <v>11</v>
      </c>
      <c r="O737" t="s">
        <v>48</v>
      </c>
    </row>
    <row r="738" spans="1:15" x14ac:dyDescent="0.3">
      <c r="A738" t="s">
        <v>299</v>
      </c>
      <c r="B738" t="s">
        <v>35</v>
      </c>
      <c r="C738" s="2">
        <v>45576</v>
      </c>
      <c r="D738" t="s">
        <v>41</v>
      </c>
      <c r="E738" t="s">
        <v>46</v>
      </c>
      <c r="F738">
        <v>400</v>
      </c>
      <c r="G738">
        <v>680</v>
      </c>
      <c r="H738">
        <v>434</v>
      </c>
      <c r="I738">
        <v>6400</v>
      </c>
      <c r="J738">
        <v>5472</v>
      </c>
      <c r="K738">
        <v>160</v>
      </c>
      <c r="L738" t="s">
        <v>21</v>
      </c>
      <c r="M738">
        <v>0.23656250000000001</v>
      </c>
      <c r="N738" t="s">
        <v>357</v>
      </c>
      <c r="O738" t="s">
        <v>359</v>
      </c>
    </row>
    <row r="739" spans="1:15" x14ac:dyDescent="0.3">
      <c r="A739" t="s">
        <v>299</v>
      </c>
      <c r="B739" t="s">
        <v>35</v>
      </c>
      <c r="C739" s="2">
        <v>45576</v>
      </c>
      <c r="D739" t="s">
        <v>41</v>
      </c>
      <c r="E739" t="s">
        <v>46</v>
      </c>
      <c r="F739">
        <v>400</v>
      </c>
      <c r="G739">
        <v>680</v>
      </c>
      <c r="H739">
        <v>434</v>
      </c>
      <c r="I739">
        <v>6400</v>
      </c>
      <c r="J739">
        <v>5472</v>
      </c>
      <c r="K739">
        <v>160</v>
      </c>
      <c r="L739" t="s">
        <v>21</v>
      </c>
      <c r="M739">
        <v>0.23656250000000001</v>
      </c>
      <c r="N739" t="s">
        <v>358</v>
      </c>
      <c r="O739" t="s">
        <v>359</v>
      </c>
    </row>
    <row r="740" spans="1:15" x14ac:dyDescent="0.3">
      <c r="A740" t="s">
        <v>300</v>
      </c>
      <c r="B740" t="s">
        <v>35</v>
      </c>
      <c r="C740" s="2">
        <v>45531</v>
      </c>
      <c r="D740" t="s">
        <v>15</v>
      </c>
      <c r="E740" t="s">
        <v>50</v>
      </c>
      <c r="F740">
        <v>3960</v>
      </c>
      <c r="G740">
        <v>266</v>
      </c>
      <c r="H740">
        <v>8</v>
      </c>
      <c r="I740">
        <v>35640</v>
      </c>
      <c r="J740">
        <v>34850</v>
      </c>
      <c r="K740">
        <v>208</v>
      </c>
      <c r="L740" t="s">
        <v>360</v>
      </c>
      <c r="M740">
        <v>0.11879910213243547</v>
      </c>
      <c r="N740" t="s">
        <v>11</v>
      </c>
      <c r="O740" t="s">
        <v>48</v>
      </c>
    </row>
    <row r="741" spans="1:15" x14ac:dyDescent="0.3">
      <c r="A741" t="s">
        <v>300</v>
      </c>
      <c r="B741" t="s">
        <v>35</v>
      </c>
      <c r="C741" s="2">
        <v>45531</v>
      </c>
      <c r="D741" t="s">
        <v>15</v>
      </c>
      <c r="E741" t="s">
        <v>50</v>
      </c>
      <c r="F741">
        <v>3960</v>
      </c>
      <c r="G741">
        <v>266</v>
      </c>
      <c r="H741">
        <v>8</v>
      </c>
      <c r="I741">
        <v>35640</v>
      </c>
      <c r="J741">
        <v>34850</v>
      </c>
      <c r="K741">
        <v>208</v>
      </c>
      <c r="L741" t="s">
        <v>360</v>
      </c>
      <c r="M741">
        <v>0.11879910213243547</v>
      </c>
      <c r="N741" t="s">
        <v>357</v>
      </c>
      <c r="O741" t="s">
        <v>31</v>
      </c>
    </row>
    <row r="742" spans="1:15" x14ac:dyDescent="0.3">
      <c r="A742" t="s">
        <v>300</v>
      </c>
      <c r="B742" t="s">
        <v>35</v>
      </c>
      <c r="C742" s="2">
        <v>45531</v>
      </c>
      <c r="D742" t="s">
        <v>15</v>
      </c>
      <c r="E742" t="s">
        <v>50</v>
      </c>
      <c r="F742">
        <v>3960</v>
      </c>
      <c r="G742">
        <v>266</v>
      </c>
      <c r="H742">
        <v>8</v>
      </c>
      <c r="I742">
        <v>35640</v>
      </c>
      <c r="J742">
        <v>34850</v>
      </c>
      <c r="K742">
        <v>208</v>
      </c>
      <c r="L742" t="s">
        <v>360</v>
      </c>
      <c r="M742">
        <v>0.11879910213243547</v>
      </c>
      <c r="N742" t="s">
        <v>358</v>
      </c>
      <c r="O742" t="s">
        <v>355</v>
      </c>
    </row>
    <row r="743" spans="1:15" x14ac:dyDescent="0.3">
      <c r="A743" t="s">
        <v>301</v>
      </c>
      <c r="B743" t="s">
        <v>35</v>
      </c>
      <c r="C743" s="2">
        <v>45690</v>
      </c>
      <c r="D743" t="s">
        <v>29</v>
      </c>
      <c r="E743" t="s">
        <v>54</v>
      </c>
      <c r="F743">
        <v>886</v>
      </c>
      <c r="G743">
        <v>126</v>
      </c>
      <c r="H743">
        <v>153</v>
      </c>
      <c r="I743">
        <v>4430</v>
      </c>
      <c r="J743">
        <v>4037</v>
      </c>
      <c r="K743">
        <v>212</v>
      </c>
      <c r="L743" t="s">
        <v>360</v>
      </c>
      <c r="M743">
        <v>0.26297968397291194</v>
      </c>
      <c r="N743" t="s">
        <v>11</v>
      </c>
      <c r="O743" t="s">
        <v>31</v>
      </c>
    </row>
    <row r="744" spans="1:15" x14ac:dyDescent="0.3">
      <c r="A744" t="s">
        <v>301</v>
      </c>
      <c r="B744" t="s">
        <v>35</v>
      </c>
      <c r="C744" s="2">
        <v>45690</v>
      </c>
      <c r="D744" t="s">
        <v>29</v>
      </c>
      <c r="E744" t="s">
        <v>54</v>
      </c>
      <c r="F744">
        <v>886</v>
      </c>
      <c r="G744">
        <v>126</v>
      </c>
      <c r="H744">
        <v>153</v>
      </c>
      <c r="I744">
        <v>4430</v>
      </c>
      <c r="J744">
        <v>4037</v>
      </c>
      <c r="K744">
        <v>212</v>
      </c>
      <c r="L744" t="s">
        <v>360</v>
      </c>
      <c r="M744">
        <v>0.26297968397291194</v>
      </c>
      <c r="N744" t="s">
        <v>357</v>
      </c>
      <c r="O744" t="s">
        <v>359</v>
      </c>
    </row>
    <row r="745" spans="1:15" x14ac:dyDescent="0.3">
      <c r="A745" t="s">
        <v>301</v>
      </c>
      <c r="B745" t="s">
        <v>35</v>
      </c>
      <c r="C745" s="2">
        <v>45690</v>
      </c>
      <c r="D745" t="s">
        <v>29</v>
      </c>
      <c r="E745" t="s">
        <v>54</v>
      </c>
      <c r="F745">
        <v>886</v>
      </c>
      <c r="G745">
        <v>126</v>
      </c>
      <c r="H745">
        <v>153</v>
      </c>
      <c r="I745">
        <v>4430</v>
      </c>
      <c r="J745">
        <v>4037</v>
      </c>
      <c r="K745">
        <v>212</v>
      </c>
      <c r="L745" t="s">
        <v>360</v>
      </c>
      <c r="M745">
        <v>0.26297968397291194</v>
      </c>
      <c r="N745" t="s">
        <v>358</v>
      </c>
      <c r="O745" t="s">
        <v>359</v>
      </c>
    </row>
    <row r="746" spans="1:15" x14ac:dyDescent="0.3">
      <c r="A746" t="s">
        <v>302</v>
      </c>
      <c r="B746" t="s">
        <v>14</v>
      </c>
      <c r="C746" s="2">
        <v>45491</v>
      </c>
      <c r="D746" t="s">
        <v>41</v>
      </c>
      <c r="E746" t="s">
        <v>88</v>
      </c>
      <c r="F746">
        <v>827</v>
      </c>
      <c r="G746">
        <v>77</v>
      </c>
      <c r="H746">
        <v>402</v>
      </c>
      <c r="I746">
        <v>14886</v>
      </c>
      <c r="J746">
        <v>14129</v>
      </c>
      <c r="K746">
        <v>254</v>
      </c>
      <c r="L746" t="s">
        <v>21</v>
      </c>
      <c r="M746">
        <v>8.7733440816874911E-2</v>
      </c>
      <c r="N746" t="s">
        <v>11</v>
      </c>
      <c r="O746" t="s">
        <v>31</v>
      </c>
    </row>
    <row r="747" spans="1:15" x14ac:dyDescent="0.3">
      <c r="A747" t="s">
        <v>302</v>
      </c>
      <c r="B747" t="s">
        <v>14</v>
      </c>
      <c r="C747" s="2">
        <v>45491</v>
      </c>
      <c r="D747" t="s">
        <v>41</v>
      </c>
      <c r="E747" t="s">
        <v>88</v>
      </c>
      <c r="F747">
        <v>827</v>
      </c>
      <c r="G747">
        <v>77</v>
      </c>
      <c r="H747">
        <v>402</v>
      </c>
      <c r="I747">
        <v>14886</v>
      </c>
      <c r="J747">
        <v>14129</v>
      </c>
      <c r="K747">
        <v>254</v>
      </c>
      <c r="L747" t="s">
        <v>21</v>
      </c>
      <c r="M747">
        <v>8.7733440816874911E-2</v>
      </c>
      <c r="N747" t="s">
        <v>357</v>
      </c>
      <c r="O747" t="s">
        <v>359</v>
      </c>
    </row>
    <row r="748" spans="1:15" x14ac:dyDescent="0.3">
      <c r="A748" t="s">
        <v>302</v>
      </c>
      <c r="B748" t="s">
        <v>14</v>
      </c>
      <c r="C748" s="2">
        <v>45491</v>
      </c>
      <c r="D748" t="s">
        <v>41</v>
      </c>
      <c r="E748" t="s">
        <v>88</v>
      </c>
      <c r="F748">
        <v>827</v>
      </c>
      <c r="G748">
        <v>77</v>
      </c>
      <c r="H748">
        <v>402</v>
      </c>
      <c r="I748">
        <v>14886</v>
      </c>
      <c r="J748">
        <v>14129</v>
      </c>
      <c r="K748">
        <v>254</v>
      </c>
      <c r="L748" t="s">
        <v>21</v>
      </c>
      <c r="M748">
        <v>8.7733440816874911E-2</v>
      </c>
      <c r="N748" t="s">
        <v>358</v>
      </c>
      <c r="O748" t="s">
        <v>359</v>
      </c>
    </row>
    <row r="749" spans="1:15" x14ac:dyDescent="0.3">
      <c r="A749" t="s">
        <v>303</v>
      </c>
      <c r="B749" t="s">
        <v>35</v>
      </c>
      <c r="C749" s="2">
        <v>45465</v>
      </c>
      <c r="D749" t="s">
        <v>15</v>
      </c>
      <c r="E749" t="s">
        <v>50</v>
      </c>
      <c r="F749">
        <v>3813</v>
      </c>
      <c r="G749">
        <v>935</v>
      </c>
      <c r="H749">
        <v>274</v>
      </c>
      <c r="I749">
        <v>68634</v>
      </c>
      <c r="J749">
        <v>68488</v>
      </c>
      <c r="K749">
        <v>251</v>
      </c>
      <c r="L749" t="s">
        <v>360</v>
      </c>
      <c r="M749">
        <v>7.3170731707317069E-2</v>
      </c>
      <c r="N749" t="s">
        <v>11</v>
      </c>
      <c r="O749" t="s">
        <v>48</v>
      </c>
    </row>
    <row r="750" spans="1:15" x14ac:dyDescent="0.3">
      <c r="A750" t="s">
        <v>303</v>
      </c>
      <c r="B750" t="s">
        <v>35</v>
      </c>
      <c r="C750" s="2">
        <v>45465</v>
      </c>
      <c r="D750" t="s">
        <v>15</v>
      </c>
      <c r="E750" t="s">
        <v>50</v>
      </c>
      <c r="F750">
        <v>3813</v>
      </c>
      <c r="G750">
        <v>935</v>
      </c>
      <c r="H750">
        <v>274</v>
      </c>
      <c r="I750">
        <v>68634</v>
      </c>
      <c r="J750">
        <v>68488</v>
      </c>
      <c r="K750">
        <v>251</v>
      </c>
      <c r="L750" t="s">
        <v>360</v>
      </c>
      <c r="M750">
        <v>7.3170731707317069E-2</v>
      </c>
      <c r="N750" t="s">
        <v>357</v>
      </c>
      <c r="O750" t="s">
        <v>359</v>
      </c>
    </row>
    <row r="751" spans="1:15" x14ac:dyDescent="0.3">
      <c r="A751" t="s">
        <v>303</v>
      </c>
      <c r="B751" t="s">
        <v>35</v>
      </c>
      <c r="C751" s="2">
        <v>45465</v>
      </c>
      <c r="D751" t="s">
        <v>15</v>
      </c>
      <c r="E751" t="s">
        <v>50</v>
      </c>
      <c r="F751">
        <v>3813</v>
      </c>
      <c r="G751">
        <v>935</v>
      </c>
      <c r="H751">
        <v>274</v>
      </c>
      <c r="I751">
        <v>68634</v>
      </c>
      <c r="J751">
        <v>68488</v>
      </c>
      <c r="K751">
        <v>251</v>
      </c>
      <c r="L751" t="s">
        <v>360</v>
      </c>
      <c r="M751">
        <v>7.3170731707317069E-2</v>
      </c>
      <c r="N751" t="s">
        <v>358</v>
      </c>
      <c r="O751" t="s">
        <v>359</v>
      </c>
    </row>
    <row r="752" spans="1:15" x14ac:dyDescent="0.3">
      <c r="A752" t="s">
        <v>304</v>
      </c>
      <c r="B752" t="s">
        <v>28</v>
      </c>
      <c r="C752" s="2">
        <v>45743</v>
      </c>
      <c r="D752" t="s">
        <v>36</v>
      </c>
      <c r="E752" t="s">
        <v>65</v>
      </c>
      <c r="F752">
        <v>1377</v>
      </c>
      <c r="G752">
        <v>796</v>
      </c>
      <c r="H752">
        <v>387</v>
      </c>
      <c r="I752">
        <v>22032</v>
      </c>
      <c r="J752">
        <v>21869</v>
      </c>
      <c r="K752">
        <v>189</v>
      </c>
      <c r="L752" t="s">
        <v>360</v>
      </c>
      <c r="M752">
        <v>0.11619462599854757</v>
      </c>
      <c r="N752" t="s">
        <v>11</v>
      </c>
      <c r="O752" t="s">
        <v>48</v>
      </c>
    </row>
    <row r="753" spans="1:15" x14ac:dyDescent="0.3">
      <c r="A753" t="s">
        <v>304</v>
      </c>
      <c r="B753" t="s">
        <v>28</v>
      </c>
      <c r="C753" s="2">
        <v>45743</v>
      </c>
      <c r="D753" t="s">
        <v>36</v>
      </c>
      <c r="E753" t="s">
        <v>65</v>
      </c>
      <c r="F753">
        <v>1377</v>
      </c>
      <c r="G753">
        <v>796</v>
      </c>
      <c r="H753">
        <v>387</v>
      </c>
      <c r="I753">
        <v>22032</v>
      </c>
      <c r="J753">
        <v>21869</v>
      </c>
      <c r="K753">
        <v>189</v>
      </c>
      <c r="L753" t="s">
        <v>360</v>
      </c>
      <c r="M753">
        <v>0.11619462599854757</v>
      </c>
      <c r="N753" t="s">
        <v>357</v>
      </c>
      <c r="O753" t="s">
        <v>359</v>
      </c>
    </row>
    <row r="754" spans="1:15" x14ac:dyDescent="0.3">
      <c r="A754" t="s">
        <v>304</v>
      </c>
      <c r="B754" t="s">
        <v>28</v>
      </c>
      <c r="C754" s="2">
        <v>45743</v>
      </c>
      <c r="D754" t="s">
        <v>36</v>
      </c>
      <c r="E754" t="s">
        <v>65</v>
      </c>
      <c r="F754">
        <v>1377</v>
      </c>
      <c r="G754">
        <v>796</v>
      </c>
      <c r="H754">
        <v>387</v>
      </c>
      <c r="I754">
        <v>22032</v>
      </c>
      <c r="J754">
        <v>21869</v>
      </c>
      <c r="K754">
        <v>189</v>
      </c>
      <c r="L754" t="s">
        <v>360</v>
      </c>
      <c r="M754">
        <v>0.11619462599854757</v>
      </c>
      <c r="N754" t="s">
        <v>358</v>
      </c>
      <c r="O754" t="s">
        <v>359</v>
      </c>
    </row>
    <row r="755" spans="1:15" x14ac:dyDescent="0.3">
      <c r="A755" t="s">
        <v>305</v>
      </c>
      <c r="B755" t="s">
        <v>35</v>
      </c>
      <c r="C755" s="2">
        <v>45775</v>
      </c>
      <c r="D755" t="s">
        <v>36</v>
      </c>
      <c r="E755" t="s">
        <v>37</v>
      </c>
      <c r="F755">
        <v>2089</v>
      </c>
      <c r="G755">
        <v>476</v>
      </c>
      <c r="H755">
        <v>69</v>
      </c>
      <c r="I755">
        <v>16712</v>
      </c>
      <c r="J755">
        <v>16309</v>
      </c>
      <c r="K755">
        <v>64</v>
      </c>
      <c r="L755" t="s">
        <v>26</v>
      </c>
      <c r="M755">
        <v>0.15761129727142173</v>
      </c>
      <c r="N755" t="s">
        <v>11</v>
      </c>
      <c r="O755" t="s">
        <v>48</v>
      </c>
    </row>
    <row r="756" spans="1:15" x14ac:dyDescent="0.3">
      <c r="A756" t="s">
        <v>305</v>
      </c>
      <c r="B756" t="s">
        <v>35</v>
      </c>
      <c r="C756" s="2">
        <v>45775</v>
      </c>
      <c r="D756" t="s">
        <v>36</v>
      </c>
      <c r="E756" t="s">
        <v>37</v>
      </c>
      <c r="F756">
        <v>2089</v>
      </c>
      <c r="G756">
        <v>476</v>
      </c>
      <c r="H756">
        <v>69</v>
      </c>
      <c r="I756">
        <v>16712</v>
      </c>
      <c r="J756">
        <v>16309</v>
      </c>
      <c r="K756">
        <v>64</v>
      </c>
      <c r="L756" t="s">
        <v>26</v>
      </c>
      <c r="M756">
        <v>0.15761129727142173</v>
      </c>
      <c r="N756" t="s">
        <v>357</v>
      </c>
      <c r="O756" t="s">
        <v>359</v>
      </c>
    </row>
    <row r="757" spans="1:15" x14ac:dyDescent="0.3">
      <c r="A757" t="s">
        <v>305</v>
      </c>
      <c r="B757" t="s">
        <v>35</v>
      </c>
      <c r="C757" s="2">
        <v>45775</v>
      </c>
      <c r="D757" t="s">
        <v>36</v>
      </c>
      <c r="E757" t="s">
        <v>37</v>
      </c>
      <c r="F757">
        <v>2089</v>
      </c>
      <c r="G757">
        <v>476</v>
      </c>
      <c r="H757">
        <v>69</v>
      </c>
      <c r="I757">
        <v>16712</v>
      </c>
      <c r="J757">
        <v>16309</v>
      </c>
      <c r="K757">
        <v>64</v>
      </c>
      <c r="L757" t="s">
        <v>26</v>
      </c>
      <c r="M757">
        <v>0.15761129727142173</v>
      </c>
      <c r="N757" t="s">
        <v>358</v>
      </c>
      <c r="O757" t="s">
        <v>359</v>
      </c>
    </row>
    <row r="758" spans="1:15" x14ac:dyDescent="0.3">
      <c r="A758" t="s">
        <v>306</v>
      </c>
      <c r="B758" t="s">
        <v>14</v>
      </c>
      <c r="C758" s="2">
        <v>45507</v>
      </c>
      <c r="D758" t="s">
        <v>15</v>
      </c>
      <c r="E758" t="s">
        <v>16</v>
      </c>
      <c r="F758">
        <v>3791</v>
      </c>
      <c r="G758">
        <v>593</v>
      </c>
      <c r="H758">
        <v>228</v>
      </c>
      <c r="I758">
        <v>53074</v>
      </c>
      <c r="J758">
        <v>52613</v>
      </c>
      <c r="K758">
        <v>205</v>
      </c>
      <c r="L758" t="s">
        <v>360</v>
      </c>
      <c r="M758">
        <v>8.6897539284772202E-2</v>
      </c>
      <c r="N758" t="s">
        <v>11</v>
      </c>
      <c r="O758" t="s">
        <v>31</v>
      </c>
    </row>
    <row r="759" spans="1:15" x14ac:dyDescent="0.3">
      <c r="A759" t="s">
        <v>306</v>
      </c>
      <c r="B759" t="s">
        <v>14</v>
      </c>
      <c r="C759" s="2">
        <v>45507</v>
      </c>
      <c r="D759" t="s">
        <v>15</v>
      </c>
      <c r="E759" t="s">
        <v>16</v>
      </c>
      <c r="F759">
        <v>3791</v>
      </c>
      <c r="G759">
        <v>593</v>
      </c>
      <c r="H759">
        <v>228</v>
      </c>
      <c r="I759">
        <v>53074</v>
      </c>
      <c r="J759">
        <v>52613</v>
      </c>
      <c r="K759">
        <v>205</v>
      </c>
      <c r="L759" t="s">
        <v>360</v>
      </c>
      <c r="M759">
        <v>8.6897539284772202E-2</v>
      </c>
      <c r="N759" t="s">
        <v>357</v>
      </c>
      <c r="O759" t="s">
        <v>359</v>
      </c>
    </row>
    <row r="760" spans="1:15" x14ac:dyDescent="0.3">
      <c r="A760" t="s">
        <v>306</v>
      </c>
      <c r="B760" t="s">
        <v>14</v>
      </c>
      <c r="C760" s="2">
        <v>45507</v>
      </c>
      <c r="D760" t="s">
        <v>15</v>
      </c>
      <c r="E760" t="s">
        <v>16</v>
      </c>
      <c r="F760">
        <v>3791</v>
      </c>
      <c r="G760">
        <v>593</v>
      </c>
      <c r="H760">
        <v>228</v>
      </c>
      <c r="I760">
        <v>53074</v>
      </c>
      <c r="J760">
        <v>52613</v>
      </c>
      <c r="K760">
        <v>205</v>
      </c>
      <c r="L760" t="s">
        <v>360</v>
      </c>
      <c r="M760">
        <v>8.6897539284772202E-2</v>
      </c>
      <c r="N760" t="s">
        <v>358</v>
      </c>
      <c r="O760" t="s">
        <v>359</v>
      </c>
    </row>
    <row r="761" spans="1:15" x14ac:dyDescent="0.3">
      <c r="A761" t="s">
        <v>307</v>
      </c>
      <c r="B761" t="s">
        <v>14</v>
      </c>
      <c r="C761" s="2">
        <v>45671</v>
      </c>
      <c r="D761" t="s">
        <v>41</v>
      </c>
      <c r="E761" t="s">
        <v>88</v>
      </c>
      <c r="F761">
        <v>2692</v>
      </c>
      <c r="G761">
        <v>115</v>
      </c>
      <c r="H761">
        <v>64</v>
      </c>
      <c r="I761">
        <v>21536</v>
      </c>
      <c r="J761">
        <v>21120</v>
      </c>
      <c r="K761">
        <v>224</v>
      </c>
      <c r="L761" t="s">
        <v>21</v>
      </c>
      <c r="M761">
        <v>0.13331166419019316</v>
      </c>
      <c r="N761" t="s">
        <v>11</v>
      </c>
      <c r="O761" t="s">
        <v>48</v>
      </c>
    </row>
    <row r="762" spans="1:15" x14ac:dyDescent="0.3">
      <c r="A762" t="s">
        <v>307</v>
      </c>
      <c r="B762" t="s">
        <v>14</v>
      </c>
      <c r="C762" s="2">
        <v>45671</v>
      </c>
      <c r="D762" t="s">
        <v>41</v>
      </c>
      <c r="E762" t="s">
        <v>88</v>
      </c>
      <c r="F762">
        <v>2692</v>
      </c>
      <c r="G762">
        <v>115</v>
      </c>
      <c r="H762">
        <v>64</v>
      </c>
      <c r="I762">
        <v>21536</v>
      </c>
      <c r="J762">
        <v>21120</v>
      </c>
      <c r="K762">
        <v>224</v>
      </c>
      <c r="L762" t="s">
        <v>21</v>
      </c>
      <c r="M762">
        <v>0.13331166419019316</v>
      </c>
      <c r="N762" t="s">
        <v>357</v>
      </c>
      <c r="O762" t="s">
        <v>359</v>
      </c>
    </row>
    <row r="763" spans="1:15" x14ac:dyDescent="0.3">
      <c r="A763" t="s">
        <v>307</v>
      </c>
      <c r="B763" t="s">
        <v>14</v>
      </c>
      <c r="C763" s="2">
        <v>45671</v>
      </c>
      <c r="D763" t="s">
        <v>41</v>
      </c>
      <c r="E763" t="s">
        <v>88</v>
      </c>
      <c r="F763">
        <v>2692</v>
      </c>
      <c r="G763">
        <v>115</v>
      </c>
      <c r="H763">
        <v>64</v>
      </c>
      <c r="I763">
        <v>21536</v>
      </c>
      <c r="J763">
        <v>21120</v>
      </c>
      <c r="K763">
        <v>224</v>
      </c>
      <c r="L763" t="s">
        <v>21</v>
      </c>
      <c r="M763">
        <v>0.13331166419019316</v>
      </c>
      <c r="N763" t="s">
        <v>358</v>
      </c>
      <c r="O763" t="s">
        <v>359</v>
      </c>
    </row>
    <row r="764" spans="1:15" x14ac:dyDescent="0.3">
      <c r="A764" t="s">
        <v>308</v>
      </c>
      <c r="B764" t="s">
        <v>35</v>
      </c>
      <c r="C764" s="2">
        <v>45750</v>
      </c>
      <c r="D764" t="s">
        <v>29</v>
      </c>
      <c r="E764" t="s">
        <v>54</v>
      </c>
      <c r="F764">
        <v>3767</v>
      </c>
      <c r="G764">
        <v>514</v>
      </c>
      <c r="H764">
        <v>238</v>
      </c>
      <c r="I764">
        <v>37670</v>
      </c>
      <c r="J764">
        <v>36807</v>
      </c>
      <c r="K764">
        <v>226</v>
      </c>
      <c r="L764" t="s">
        <v>32</v>
      </c>
      <c r="M764">
        <v>0.11996283514733209</v>
      </c>
      <c r="N764" t="s">
        <v>11</v>
      </c>
      <c r="O764" t="s">
        <v>48</v>
      </c>
    </row>
    <row r="765" spans="1:15" x14ac:dyDescent="0.3">
      <c r="A765" t="s">
        <v>308</v>
      </c>
      <c r="B765" t="s">
        <v>35</v>
      </c>
      <c r="C765" s="2">
        <v>45750</v>
      </c>
      <c r="D765" t="s">
        <v>29</v>
      </c>
      <c r="E765" t="s">
        <v>54</v>
      </c>
      <c r="F765">
        <v>3767</v>
      </c>
      <c r="G765">
        <v>514</v>
      </c>
      <c r="H765">
        <v>238</v>
      </c>
      <c r="I765">
        <v>37670</v>
      </c>
      <c r="J765">
        <v>36807</v>
      </c>
      <c r="K765">
        <v>226</v>
      </c>
      <c r="L765" t="s">
        <v>32</v>
      </c>
      <c r="M765">
        <v>0.11996283514733209</v>
      </c>
      <c r="N765" t="s">
        <v>357</v>
      </c>
      <c r="O765" t="s">
        <v>359</v>
      </c>
    </row>
    <row r="766" spans="1:15" x14ac:dyDescent="0.3">
      <c r="A766" t="s">
        <v>308</v>
      </c>
      <c r="B766" t="s">
        <v>35</v>
      </c>
      <c r="C766" s="2">
        <v>45750</v>
      </c>
      <c r="D766" t="s">
        <v>29</v>
      </c>
      <c r="E766" t="s">
        <v>54</v>
      </c>
      <c r="F766">
        <v>3767</v>
      </c>
      <c r="G766">
        <v>514</v>
      </c>
      <c r="H766">
        <v>238</v>
      </c>
      <c r="I766">
        <v>37670</v>
      </c>
      <c r="J766">
        <v>36807</v>
      </c>
      <c r="K766">
        <v>226</v>
      </c>
      <c r="L766" t="s">
        <v>32</v>
      </c>
      <c r="M766">
        <v>0.11996283514733209</v>
      </c>
      <c r="N766" t="s">
        <v>358</v>
      </c>
      <c r="O766" t="s">
        <v>359</v>
      </c>
    </row>
    <row r="767" spans="1:15" x14ac:dyDescent="0.3">
      <c r="A767" t="s">
        <v>309</v>
      </c>
      <c r="B767" t="s">
        <v>23</v>
      </c>
      <c r="C767" s="2">
        <v>45553</v>
      </c>
      <c r="D767" t="s">
        <v>36</v>
      </c>
      <c r="E767" t="s">
        <v>52</v>
      </c>
      <c r="F767">
        <v>2143</v>
      </c>
      <c r="G767">
        <v>12</v>
      </c>
      <c r="H767">
        <v>204</v>
      </c>
      <c r="I767">
        <v>40717</v>
      </c>
      <c r="J767">
        <v>40125</v>
      </c>
      <c r="K767">
        <v>248</v>
      </c>
      <c r="L767" t="s">
        <v>21</v>
      </c>
      <c r="M767">
        <v>5.7936488444630008E-2</v>
      </c>
      <c r="N767" t="s">
        <v>11</v>
      </c>
      <c r="O767" t="s">
        <v>31</v>
      </c>
    </row>
    <row r="768" spans="1:15" x14ac:dyDescent="0.3">
      <c r="A768" t="s">
        <v>309</v>
      </c>
      <c r="B768" t="s">
        <v>23</v>
      </c>
      <c r="C768" s="2">
        <v>45553</v>
      </c>
      <c r="D768" t="s">
        <v>36</v>
      </c>
      <c r="E768" t="s">
        <v>52</v>
      </c>
      <c r="F768">
        <v>2143</v>
      </c>
      <c r="G768">
        <v>12</v>
      </c>
      <c r="H768">
        <v>204</v>
      </c>
      <c r="I768">
        <v>40717</v>
      </c>
      <c r="J768">
        <v>40125</v>
      </c>
      <c r="K768">
        <v>248</v>
      </c>
      <c r="L768" t="s">
        <v>21</v>
      </c>
      <c r="M768">
        <v>5.7936488444630008E-2</v>
      </c>
      <c r="N768" t="s">
        <v>357</v>
      </c>
      <c r="O768" t="s">
        <v>359</v>
      </c>
    </row>
    <row r="769" spans="1:15" x14ac:dyDescent="0.3">
      <c r="A769" t="s">
        <v>309</v>
      </c>
      <c r="B769" t="s">
        <v>23</v>
      </c>
      <c r="C769" s="2">
        <v>45553</v>
      </c>
      <c r="D769" t="s">
        <v>36</v>
      </c>
      <c r="E769" t="s">
        <v>52</v>
      </c>
      <c r="F769">
        <v>2143</v>
      </c>
      <c r="G769">
        <v>12</v>
      </c>
      <c r="H769">
        <v>204</v>
      </c>
      <c r="I769">
        <v>40717</v>
      </c>
      <c r="J769">
        <v>40125</v>
      </c>
      <c r="K769">
        <v>248</v>
      </c>
      <c r="L769" t="s">
        <v>21</v>
      </c>
      <c r="M769">
        <v>5.7936488444630008E-2</v>
      </c>
      <c r="N769" t="s">
        <v>358</v>
      </c>
      <c r="O769" t="s">
        <v>359</v>
      </c>
    </row>
    <row r="770" spans="1:15" x14ac:dyDescent="0.3">
      <c r="A770" t="s">
        <v>310</v>
      </c>
      <c r="B770" t="s">
        <v>35</v>
      </c>
      <c r="C770" s="2">
        <v>45753</v>
      </c>
      <c r="D770" t="s">
        <v>41</v>
      </c>
      <c r="E770" t="s">
        <v>46</v>
      </c>
      <c r="F770">
        <v>3090</v>
      </c>
      <c r="G770">
        <v>697</v>
      </c>
      <c r="H770">
        <v>164</v>
      </c>
      <c r="I770">
        <v>49440</v>
      </c>
      <c r="J770">
        <v>48524</v>
      </c>
      <c r="K770">
        <v>25</v>
      </c>
      <c r="L770" t="s">
        <v>21</v>
      </c>
      <c r="M770">
        <v>7.9915048543689318E-2</v>
      </c>
      <c r="N770" t="s">
        <v>11</v>
      </c>
      <c r="O770" t="s">
        <v>31</v>
      </c>
    </row>
    <row r="771" spans="1:15" x14ac:dyDescent="0.3">
      <c r="A771" t="s">
        <v>310</v>
      </c>
      <c r="B771" t="s">
        <v>35</v>
      </c>
      <c r="C771" s="2">
        <v>45753</v>
      </c>
      <c r="D771" t="s">
        <v>41</v>
      </c>
      <c r="E771" t="s">
        <v>46</v>
      </c>
      <c r="F771">
        <v>3090</v>
      </c>
      <c r="G771">
        <v>697</v>
      </c>
      <c r="H771">
        <v>164</v>
      </c>
      <c r="I771">
        <v>49440</v>
      </c>
      <c r="J771">
        <v>48524</v>
      </c>
      <c r="K771">
        <v>25</v>
      </c>
      <c r="L771" t="s">
        <v>21</v>
      </c>
      <c r="M771">
        <v>7.9915048543689318E-2</v>
      </c>
      <c r="N771" t="s">
        <v>357</v>
      </c>
      <c r="O771" t="s">
        <v>31</v>
      </c>
    </row>
    <row r="772" spans="1:15" x14ac:dyDescent="0.3">
      <c r="A772" t="s">
        <v>310</v>
      </c>
      <c r="B772" t="s">
        <v>35</v>
      </c>
      <c r="C772" s="2">
        <v>45753</v>
      </c>
      <c r="D772" t="s">
        <v>41</v>
      </c>
      <c r="E772" t="s">
        <v>46</v>
      </c>
      <c r="F772">
        <v>3090</v>
      </c>
      <c r="G772">
        <v>697</v>
      </c>
      <c r="H772">
        <v>164</v>
      </c>
      <c r="I772">
        <v>49440</v>
      </c>
      <c r="J772">
        <v>48524</v>
      </c>
      <c r="K772">
        <v>25</v>
      </c>
      <c r="L772" t="s">
        <v>21</v>
      </c>
      <c r="M772">
        <v>7.9915048543689318E-2</v>
      </c>
      <c r="N772" t="s">
        <v>358</v>
      </c>
      <c r="O772" t="s">
        <v>355</v>
      </c>
    </row>
    <row r="773" spans="1:15" x14ac:dyDescent="0.3">
      <c r="A773" t="s">
        <v>311</v>
      </c>
      <c r="B773" t="s">
        <v>28</v>
      </c>
      <c r="C773" s="2">
        <v>45509</v>
      </c>
      <c r="D773" t="s">
        <v>29</v>
      </c>
      <c r="E773" t="s">
        <v>30</v>
      </c>
      <c r="F773">
        <v>3601</v>
      </c>
      <c r="G773">
        <v>695</v>
      </c>
      <c r="H773">
        <v>75</v>
      </c>
      <c r="I773">
        <v>21606</v>
      </c>
      <c r="J773">
        <v>21454</v>
      </c>
      <c r="K773">
        <v>172</v>
      </c>
      <c r="L773" t="s">
        <v>21</v>
      </c>
      <c r="M773">
        <v>0.2023049153013052</v>
      </c>
      <c r="N773" t="s">
        <v>11</v>
      </c>
      <c r="O773" t="s">
        <v>31</v>
      </c>
    </row>
    <row r="774" spans="1:15" x14ac:dyDescent="0.3">
      <c r="A774" t="s">
        <v>311</v>
      </c>
      <c r="B774" t="s">
        <v>28</v>
      </c>
      <c r="C774" s="2">
        <v>45509</v>
      </c>
      <c r="D774" t="s">
        <v>29</v>
      </c>
      <c r="E774" t="s">
        <v>30</v>
      </c>
      <c r="F774">
        <v>3601</v>
      </c>
      <c r="G774">
        <v>695</v>
      </c>
      <c r="H774">
        <v>75</v>
      </c>
      <c r="I774">
        <v>21606</v>
      </c>
      <c r="J774">
        <v>21454</v>
      </c>
      <c r="K774">
        <v>172</v>
      </c>
      <c r="L774" t="s">
        <v>21</v>
      </c>
      <c r="M774">
        <v>0.2023049153013052</v>
      </c>
      <c r="N774" t="s">
        <v>357</v>
      </c>
      <c r="O774" t="s">
        <v>359</v>
      </c>
    </row>
    <row r="775" spans="1:15" x14ac:dyDescent="0.3">
      <c r="A775" t="s">
        <v>311</v>
      </c>
      <c r="B775" t="s">
        <v>28</v>
      </c>
      <c r="C775" s="2">
        <v>45509</v>
      </c>
      <c r="D775" t="s">
        <v>29</v>
      </c>
      <c r="E775" t="s">
        <v>30</v>
      </c>
      <c r="F775">
        <v>3601</v>
      </c>
      <c r="G775">
        <v>695</v>
      </c>
      <c r="H775">
        <v>75</v>
      </c>
      <c r="I775">
        <v>21606</v>
      </c>
      <c r="J775">
        <v>21454</v>
      </c>
      <c r="K775">
        <v>172</v>
      </c>
      <c r="L775" t="s">
        <v>21</v>
      </c>
      <c r="M775">
        <v>0.2023049153013052</v>
      </c>
      <c r="N775" t="s">
        <v>358</v>
      </c>
      <c r="O775" t="s">
        <v>359</v>
      </c>
    </row>
    <row r="776" spans="1:15" x14ac:dyDescent="0.3">
      <c r="A776" t="s">
        <v>312</v>
      </c>
      <c r="B776" t="s">
        <v>35</v>
      </c>
      <c r="C776" s="2">
        <v>45698</v>
      </c>
      <c r="D776" t="s">
        <v>19</v>
      </c>
      <c r="E776" t="s">
        <v>44</v>
      </c>
      <c r="F776">
        <v>562</v>
      </c>
      <c r="G776">
        <v>158</v>
      </c>
      <c r="H776">
        <v>149</v>
      </c>
      <c r="I776">
        <v>3372</v>
      </c>
      <c r="J776">
        <v>2940</v>
      </c>
      <c r="K776">
        <v>93</v>
      </c>
      <c r="L776" t="s">
        <v>17</v>
      </c>
      <c r="M776">
        <v>0.25771055753262156</v>
      </c>
      <c r="N776" t="s">
        <v>11</v>
      </c>
      <c r="O776" t="s">
        <v>25</v>
      </c>
    </row>
    <row r="777" spans="1:15" x14ac:dyDescent="0.3">
      <c r="A777" t="s">
        <v>312</v>
      </c>
      <c r="B777" t="s">
        <v>35</v>
      </c>
      <c r="C777" s="2">
        <v>45698</v>
      </c>
      <c r="D777" t="s">
        <v>19</v>
      </c>
      <c r="E777" t="s">
        <v>44</v>
      </c>
      <c r="F777">
        <v>562</v>
      </c>
      <c r="G777">
        <v>158</v>
      </c>
      <c r="H777">
        <v>149</v>
      </c>
      <c r="I777">
        <v>3372</v>
      </c>
      <c r="J777">
        <v>2940</v>
      </c>
      <c r="K777">
        <v>93</v>
      </c>
      <c r="L777" t="s">
        <v>17</v>
      </c>
      <c r="M777">
        <v>0.25771055753262156</v>
      </c>
      <c r="N777" t="s">
        <v>357</v>
      </c>
      <c r="O777" t="s">
        <v>359</v>
      </c>
    </row>
    <row r="778" spans="1:15" x14ac:dyDescent="0.3">
      <c r="A778" t="s">
        <v>312</v>
      </c>
      <c r="B778" t="s">
        <v>35</v>
      </c>
      <c r="C778" s="2">
        <v>45698</v>
      </c>
      <c r="D778" t="s">
        <v>19</v>
      </c>
      <c r="E778" t="s">
        <v>44</v>
      </c>
      <c r="F778">
        <v>562</v>
      </c>
      <c r="G778">
        <v>158</v>
      </c>
      <c r="H778">
        <v>149</v>
      </c>
      <c r="I778">
        <v>3372</v>
      </c>
      <c r="J778">
        <v>2940</v>
      </c>
      <c r="K778">
        <v>93</v>
      </c>
      <c r="L778" t="s">
        <v>17</v>
      </c>
      <c r="M778">
        <v>0.25771055753262156</v>
      </c>
      <c r="N778" t="s">
        <v>358</v>
      </c>
      <c r="O778" t="s">
        <v>359</v>
      </c>
    </row>
    <row r="779" spans="1:15" x14ac:dyDescent="0.3">
      <c r="A779" t="s">
        <v>313</v>
      </c>
      <c r="B779" t="s">
        <v>28</v>
      </c>
      <c r="C779" s="2">
        <v>45700</v>
      </c>
      <c r="D779" t="s">
        <v>29</v>
      </c>
      <c r="E779" t="s">
        <v>30</v>
      </c>
      <c r="F779">
        <v>4332</v>
      </c>
      <c r="G779">
        <v>771</v>
      </c>
      <c r="H779">
        <v>219</v>
      </c>
      <c r="I779">
        <v>60648</v>
      </c>
      <c r="J779">
        <v>60397</v>
      </c>
      <c r="K779">
        <v>10</v>
      </c>
      <c r="L779" t="s">
        <v>26</v>
      </c>
      <c r="M779">
        <v>8.7752275425405618E-2</v>
      </c>
      <c r="N779" t="s">
        <v>11</v>
      </c>
      <c r="O779" t="s">
        <v>25</v>
      </c>
    </row>
    <row r="780" spans="1:15" x14ac:dyDescent="0.3">
      <c r="A780" t="s">
        <v>313</v>
      </c>
      <c r="B780" t="s">
        <v>28</v>
      </c>
      <c r="C780" s="2">
        <v>45700</v>
      </c>
      <c r="D780" t="s">
        <v>29</v>
      </c>
      <c r="E780" t="s">
        <v>30</v>
      </c>
      <c r="F780">
        <v>4332</v>
      </c>
      <c r="G780">
        <v>771</v>
      </c>
      <c r="H780">
        <v>219</v>
      </c>
      <c r="I780">
        <v>60648</v>
      </c>
      <c r="J780">
        <v>60397</v>
      </c>
      <c r="K780">
        <v>10</v>
      </c>
      <c r="L780" t="s">
        <v>26</v>
      </c>
      <c r="M780">
        <v>8.7752275425405618E-2</v>
      </c>
      <c r="N780" t="s">
        <v>357</v>
      </c>
      <c r="O780" t="s">
        <v>31</v>
      </c>
    </row>
    <row r="781" spans="1:15" x14ac:dyDescent="0.3">
      <c r="A781" t="s">
        <v>313</v>
      </c>
      <c r="B781" t="s">
        <v>28</v>
      </c>
      <c r="C781" s="2">
        <v>45700</v>
      </c>
      <c r="D781" t="s">
        <v>29</v>
      </c>
      <c r="E781" t="s">
        <v>30</v>
      </c>
      <c r="F781">
        <v>4332</v>
      </c>
      <c r="G781">
        <v>771</v>
      </c>
      <c r="H781">
        <v>219</v>
      </c>
      <c r="I781">
        <v>60648</v>
      </c>
      <c r="J781">
        <v>60397</v>
      </c>
      <c r="K781">
        <v>10</v>
      </c>
      <c r="L781" t="s">
        <v>26</v>
      </c>
      <c r="M781">
        <v>8.7752275425405618E-2</v>
      </c>
      <c r="N781" t="s">
        <v>358</v>
      </c>
      <c r="O781" t="s">
        <v>355</v>
      </c>
    </row>
    <row r="782" spans="1:15" x14ac:dyDescent="0.3">
      <c r="A782" t="s">
        <v>314</v>
      </c>
      <c r="B782" t="s">
        <v>28</v>
      </c>
      <c r="C782" s="2">
        <v>45592</v>
      </c>
      <c r="D782" t="s">
        <v>41</v>
      </c>
      <c r="E782" t="s">
        <v>134</v>
      </c>
      <c r="F782">
        <v>4853</v>
      </c>
      <c r="G782">
        <v>837</v>
      </c>
      <c r="H782">
        <v>340</v>
      </c>
      <c r="I782">
        <v>72795</v>
      </c>
      <c r="J782">
        <v>72237</v>
      </c>
      <c r="K782">
        <v>170</v>
      </c>
      <c r="L782" t="s">
        <v>17</v>
      </c>
      <c r="M782">
        <v>8.2835359571399134E-2</v>
      </c>
      <c r="N782" t="s">
        <v>11</v>
      </c>
      <c r="O782" t="s">
        <v>31</v>
      </c>
    </row>
    <row r="783" spans="1:15" x14ac:dyDescent="0.3">
      <c r="A783" t="s">
        <v>314</v>
      </c>
      <c r="B783" t="s">
        <v>28</v>
      </c>
      <c r="C783" s="2">
        <v>45592</v>
      </c>
      <c r="D783" t="s">
        <v>41</v>
      </c>
      <c r="E783" t="s">
        <v>134</v>
      </c>
      <c r="F783">
        <v>4853</v>
      </c>
      <c r="G783">
        <v>837</v>
      </c>
      <c r="H783">
        <v>340</v>
      </c>
      <c r="I783">
        <v>72795</v>
      </c>
      <c r="J783">
        <v>72237</v>
      </c>
      <c r="K783">
        <v>170</v>
      </c>
      <c r="L783" t="s">
        <v>17</v>
      </c>
      <c r="M783">
        <v>8.2835359571399134E-2</v>
      </c>
      <c r="N783" t="s">
        <v>357</v>
      </c>
      <c r="O783" t="s">
        <v>359</v>
      </c>
    </row>
    <row r="784" spans="1:15" x14ac:dyDescent="0.3">
      <c r="A784" t="s">
        <v>314</v>
      </c>
      <c r="B784" t="s">
        <v>28</v>
      </c>
      <c r="C784" s="2">
        <v>45592</v>
      </c>
      <c r="D784" t="s">
        <v>41</v>
      </c>
      <c r="E784" t="s">
        <v>134</v>
      </c>
      <c r="F784">
        <v>4853</v>
      </c>
      <c r="G784">
        <v>837</v>
      </c>
      <c r="H784">
        <v>340</v>
      </c>
      <c r="I784">
        <v>72795</v>
      </c>
      <c r="J784">
        <v>72237</v>
      </c>
      <c r="K784">
        <v>170</v>
      </c>
      <c r="L784" t="s">
        <v>17</v>
      </c>
      <c r="M784">
        <v>8.2835359571399134E-2</v>
      </c>
      <c r="N784" t="s">
        <v>358</v>
      </c>
      <c r="O784" t="s">
        <v>359</v>
      </c>
    </row>
    <row r="785" spans="1:15" x14ac:dyDescent="0.3">
      <c r="A785" t="s">
        <v>315</v>
      </c>
      <c r="B785" t="s">
        <v>23</v>
      </c>
      <c r="C785" s="2">
        <v>45675</v>
      </c>
      <c r="D785" t="s">
        <v>41</v>
      </c>
      <c r="E785" t="s">
        <v>42</v>
      </c>
      <c r="F785">
        <v>1206</v>
      </c>
      <c r="G785">
        <v>238</v>
      </c>
      <c r="H785">
        <v>36</v>
      </c>
      <c r="I785">
        <v>9648</v>
      </c>
      <c r="J785">
        <v>9417</v>
      </c>
      <c r="K785">
        <v>237</v>
      </c>
      <c r="L785" t="s">
        <v>360</v>
      </c>
      <c r="M785">
        <v>0.15339966832504145</v>
      </c>
      <c r="N785" t="s">
        <v>11</v>
      </c>
      <c r="O785" t="s">
        <v>25</v>
      </c>
    </row>
    <row r="786" spans="1:15" x14ac:dyDescent="0.3">
      <c r="A786" t="s">
        <v>315</v>
      </c>
      <c r="B786" t="s">
        <v>23</v>
      </c>
      <c r="C786" s="2">
        <v>45675</v>
      </c>
      <c r="D786" t="s">
        <v>41</v>
      </c>
      <c r="E786" t="s">
        <v>42</v>
      </c>
      <c r="F786">
        <v>1206</v>
      </c>
      <c r="G786">
        <v>238</v>
      </c>
      <c r="H786">
        <v>36</v>
      </c>
      <c r="I786">
        <v>9648</v>
      </c>
      <c r="J786">
        <v>9417</v>
      </c>
      <c r="K786">
        <v>237</v>
      </c>
      <c r="L786" t="s">
        <v>360</v>
      </c>
      <c r="M786">
        <v>0.15339966832504145</v>
      </c>
      <c r="N786" t="s">
        <v>357</v>
      </c>
      <c r="O786" t="s">
        <v>359</v>
      </c>
    </row>
    <row r="787" spans="1:15" x14ac:dyDescent="0.3">
      <c r="A787" t="s">
        <v>315</v>
      </c>
      <c r="B787" t="s">
        <v>23</v>
      </c>
      <c r="C787" s="2">
        <v>45675</v>
      </c>
      <c r="D787" t="s">
        <v>41</v>
      </c>
      <c r="E787" t="s">
        <v>42</v>
      </c>
      <c r="F787">
        <v>1206</v>
      </c>
      <c r="G787">
        <v>238</v>
      </c>
      <c r="H787">
        <v>36</v>
      </c>
      <c r="I787">
        <v>9648</v>
      </c>
      <c r="J787">
        <v>9417</v>
      </c>
      <c r="K787">
        <v>237</v>
      </c>
      <c r="L787" t="s">
        <v>360</v>
      </c>
      <c r="M787">
        <v>0.15339966832504145</v>
      </c>
      <c r="N787" t="s">
        <v>358</v>
      </c>
      <c r="O787" t="s">
        <v>359</v>
      </c>
    </row>
    <row r="788" spans="1:15" x14ac:dyDescent="0.3">
      <c r="A788" t="s">
        <v>316</v>
      </c>
      <c r="B788" t="s">
        <v>28</v>
      </c>
      <c r="C788" s="2">
        <v>45524</v>
      </c>
      <c r="D788" t="s">
        <v>15</v>
      </c>
      <c r="E788" t="s">
        <v>61</v>
      </c>
      <c r="F788">
        <v>2603</v>
      </c>
      <c r="G788">
        <v>690</v>
      </c>
      <c r="H788">
        <v>205</v>
      </c>
      <c r="I788">
        <v>13015</v>
      </c>
      <c r="J788">
        <v>12130</v>
      </c>
      <c r="K788">
        <v>20</v>
      </c>
      <c r="L788" t="s">
        <v>21</v>
      </c>
      <c r="M788">
        <v>0.26876680752977333</v>
      </c>
      <c r="N788" t="s">
        <v>11</v>
      </c>
      <c r="O788" t="s">
        <v>48</v>
      </c>
    </row>
    <row r="789" spans="1:15" x14ac:dyDescent="0.3">
      <c r="A789" t="s">
        <v>316</v>
      </c>
      <c r="B789" t="s">
        <v>28</v>
      </c>
      <c r="C789" s="2">
        <v>45524</v>
      </c>
      <c r="D789" t="s">
        <v>15</v>
      </c>
      <c r="E789" t="s">
        <v>61</v>
      </c>
      <c r="F789">
        <v>2603</v>
      </c>
      <c r="G789">
        <v>690</v>
      </c>
      <c r="H789">
        <v>205</v>
      </c>
      <c r="I789">
        <v>13015</v>
      </c>
      <c r="J789">
        <v>12130</v>
      </c>
      <c r="K789">
        <v>20</v>
      </c>
      <c r="L789" t="s">
        <v>21</v>
      </c>
      <c r="M789">
        <v>0.26876680752977333</v>
      </c>
      <c r="N789" t="s">
        <v>357</v>
      </c>
      <c r="O789" t="s">
        <v>359</v>
      </c>
    </row>
    <row r="790" spans="1:15" x14ac:dyDescent="0.3">
      <c r="A790" t="s">
        <v>316</v>
      </c>
      <c r="B790" t="s">
        <v>28</v>
      </c>
      <c r="C790" s="2">
        <v>45524</v>
      </c>
      <c r="D790" t="s">
        <v>15</v>
      </c>
      <c r="E790" t="s">
        <v>61</v>
      </c>
      <c r="F790">
        <v>2603</v>
      </c>
      <c r="G790">
        <v>690</v>
      </c>
      <c r="H790">
        <v>205</v>
      </c>
      <c r="I790">
        <v>13015</v>
      </c>
      <c r="J790">
        <v>12130</v>
      </c>
      <c r="K790">
        <v>20</v>
      </c>
      <c r="L790" t="s">
        <v>21</v>
      </c>
      <c r="M790">
        <v>0.26876680752977333</v>
      </c>
      <c r="N790" t="s">
        <v>358</v>
      </c>
      <c r="O790" t="s">
        <v>359</v>
      </c>
    </row>
    <row r="791" spans="1:15" x14ac:dyDescent="0.3">
      <c r="A791" t="s">
        <v>317</v>
      </c>
      <c r="B791" t="s">
        <v>14</v>
      </c>
      <c r="C791" s="2">
        <v>45687</v>
      </c>
      <c r="D791" t="s">
        <v>41</v>
      </c>
      <c r="E791" t="s">
        <v>88</v>
      </c>
      <c r="F791">
        <v>59</v>
      </c>
      <c r="G791">
        <v>163</v>
      </c>
      <c r="H791">
        <v>93</v>
      </c>
      <c r="I791">
        <v>590</v>
      </c>
      <c r="J791">
        <v>475</v>
      </c>
      <c r="K791">
        <v>293</v>
      </c>
      <c r="L791" t="s">
        <v>21</v>
      </c>
      <c r="M791">
        <v>0.53389830508474578</v>
      </c>
      <c r="N791" t="s">
        <v>11</v>
      </c>
      <c r="O791" t="s">
        <v>25</v>
      </c>
    </row>
    <row r="792" spans="1:15" x14ac:dyDescent="0.3">
      <c r="A792" t="s">
        <v>317</v>
      </c>
      <c r="B792" t="s">
        <v>14</v>
      </c>
      <c r="C792" s="2">
        <v>45687</v>
      </c>
      <c r="D792" t="s">
        <v>41</v>
      </c>
      <c r="E792" t="s">
        <v>88</v>
      </c>
      <c r="F792">
        <v>59</v>
      </c>
      <c r="G792">
        <v>163</v>
      </c>
      <c r="H792">
        <v>93</v>
      </c>
      <c r="I792">
        <v>590</v>
      </c>
      <c r="J792">
        <v>475</v>
      </c>
      <c r="K792">
        <v>293</v>
      </c>
      <c r="L792" t="s">
        <v>21</v>
      </c>
      <c r="M792">
        <v>0.53389830508474578</v>
      </c>
      <c r="N792" t="s">
        <v>357</v>
      </c>
      <c r="O792" t="s">
        <v>359</v>
      </c>
    </row>
    <row r="793" spans="1:15" x14ac:dyDescent="0.3">
      <c r="A793" t="s">
        <v>317</v>
      </c>
      <c r="B793" t="s">
        <v>14</v>
      </c>
      <c r="C793" s="2">
        <v>45687</v>
      </c>
      <c r="D793" t="s">
        <v>41</v>
      </c>
      <c r="E793" t="s">
        <v>88</v>
      </c>
      <c r="F793">
        <v>59</v>
      </c>
      <c r="G793">
        <v>163</v>
      </c>
      <c r="H793">
        <v>93</v>
      </c>
      <c r="I793">
        <v>590</v>
      </c>
      <c r="J793">
        <v>475</v>
      </c>
      <c r="K793">
        <v>293</v>
      </c>
      <c r="L793" t="s">
        <v>21</v>
      </c>
      <c r="M793">
        <v>0.53389830508474578</v>
      </c>
      <c r="N793" t="s">
        <v>358</v>
      </c>
      <c r="O793" t="s">
        <v>359</v>
      </c>
    </row>
    <row r="794" spans="1:15" x14ac:dyDescent="0.3">
      <c r="A794" t="s">
        <v>318</v>
      </c>
      <c r="B794" t="s">
        <v>14</v>
      </c>
      <c r="C794" s="2">
        <v>45708</v>
      </c>
      <c r="D794" t="s">
        <v>36</v>
      </c>
      <c r="E794" t="s">
        <v>39</v>
      </c>
      <c r="F794">
        <v>1877</v>
      </c>
      <c r="G794">
        <v>745</v>
      </c>
      <c r="H794">
        <v>225</v>
      </c>
      <c r="I794">
        <v>11262</v>
      </c>
      <c r="J794">
        <v>10967</v>
      </c>
      <c r="K794">
        <v>41</v>
      </c>
      <c r="L794" t="s">
        <v>32</v>
      </c>
      <c r="M794">
        <v>0.25279701651571657</v>
      </c>
      <c r="N794" t="s">
        <v>11</v>
      </c>
      <c r="O794" t="s">
        <v>31</v>
      </c>
    </row>
    <row r="795" spans="1:15" x14ac:dyDescent="0.3">
      <c r="A795" t="s">
        <v>318</v>
      </c>
      <c r="B795" t="s">
        <v>14</v>
      </c>
      <c r="C795" s="2">
        <v>45708</v>
      </c>
      <c r="D795" t="s">
        <v>36</v>
      </c>
      <c r="E795" t="s">
        <v>39</v>
      </c>
      <c r="F795">
        <v>1877</v>
      </c>
      <c r="G795">
        <v>745</v>
      </c>
      <c r="H795">
        <v>225</v>
      </c>
      <c r="I795">
        <v>11262</v>
      </c>
      <c r="J795">
        <v>10967</v>
      </c>
      <c r="K795">
        <v>41</v>
      </c>
      <c r="L795" t="s">
        <v>32</v>
      </c>
      <c r="M795">
        <v>0.25279701651571657</v>
      </c>
      <c r="N795" t="s">
        <v>357</v>
      </c>
      <c r="O795" t="s">
        <v>359</v>
      </c>
    </row>
    <row r="796" spans="1:15" x14ac:dyDescent="0.3">
      <c r="A796" t="s">
        <v>318</v>
      </c>
      <c r="B796" t="s">
        <v>14</v>
      </c>
      <c r="C796" s="2">
        <v>45708</v>
      </c>
      <c r="D796" t="s">
        <v>36</v>
      </c>
      <c r="E796" t="s">
        <v>39</v>
      </c>
      <c r="F796">
        <v>1877</v>
      </c>
      <c r="G796">
        <v>745</v>
      </c>
      <c r="H796">
        <v>225</v>
      </c>
      <c r="I796">
        <v>11262</v>
      </c>
      <c r="J796">
        <v>10967</v>
      </c>
      <c r="K796">
        <v>41</v>
      </c>
      <c r="L796" t="s">
        <v>32</v>
      </c>
      <c r="M796">
        <v>0.25279701651571657</v>
      </c>
      <c r="N796" t="s">
        <v>358</v>
      </c>
      <c r="O796" t="s">
        <v>359</v>
      </c>
    </row>
    <row r="797" spans="1:15" x14ac:dyDescent="0.3">
      <c r="A797" t="s">
        <v>319</v>
      </c>
      <c r="B797" t="s">
        <v>35</v>
      </c>
      <c r="C797" s="2">
        <v>45621</v>
      </c>
      <c r="D797" t="s">
        <v>29</v>
      </c>
      <c r="E797" t="s">
        <v>54</v>
      </c>
      <c r="F797">
        <v>4182</v>
      </c>
      <c r="G797">
        <v>640</v>
      </c>
      <c r="H797">
        <v>240</v>
      </c>
      <c r="I797">
        <v>50184</v>
      </c>
      <c r="J797">
        <v>49351</v>
      </c>
      <c r="K797">
        <v>10</v>
      </c>
      <c r="L797" t="s">
        <v>26</v>
      </c>
      <c r="M797">
        <v>0.10086880280567512</v>
      </c>
      <c r="N797" t="s">
        <v>11</v>
      </c>
      <c r="O797" t="s">
        <v>25</v>
      </c>
    </row>
    <row r="798" spans="1:15" x14ac:dyDescent="0.3">
      <c r="A798" t="s">
        <v>319</v>
      </c>
      <c r="B798" t="s">
        <v>35</v>
      </c>
      <c r="C798" s="2">
        <v>45621</v>
      </c>
      <c r="D798" t="s">
        <v>29</v>
      </c>
      <c r="E798" t="s">
        <v>54</v>
      </c>
      <c r="F798">
        <v>4182</v>
      </c>
      <c r="G798">
        <v>640</v>
      </c>
      <c r="H798">
        <v>240</v>
      </c>
      <c r="I798">
        <v>50184</v>
      </c>
      <c r="J798">
        <v>49351</v>
      </c>
      <c r="K798">
        <v>10</v>
      </c>
      <c r="L798" t="s">
        <v>26</v>
      </c>
      <c r="M798">
        <v>0.10086880280567512</v>
      </c>
      <c r="N798" t="s">
        <v>357</v>
      </c>
      <c r="O798" t="s">
        <v>359</v>
      </c>
    </row>
    <row r="799" spans="1:15" x14ac:dyDescent="0.3">
      <c r="A799" t="s">
        <v>319</v>
      </c>
      <c r="B799" t="s">
        <v>35</v>
      </c>
      <c r="C799" s="2">
        <v>45621</v>
      </c>
      <c r="D799" t="s">
        <v>29</v>
      </c>
      <c r="E799" t="s">
        <v>54</v>
      </c>
      <c r="F799">
        <v>4182</v>
      </c>
      <c r="G799">
        <v>640</v>
      </c>
      <c r="H799">
        <v>240</v>
      </c>
      <c r="I799">
        <v>50184</v>
      </c>
      <c r="J799">
        <v>49351</v>
      </c>
      <c r="K799">
        <v>10</v>
      </c>
      <c r="L799" t="s">
        <v>26</v>
      </c>
      <c r="M799">
        <v>0.10086880280567512</v>
      </c>
      <c r="N799" t="s">
        <v>358</v>
      </c>
      <c r="O799" t="s">
        <v>359</v>
      </c>
    </row>
    <row r="800" spans="1:15" x14ac:dyDescent="0.3">
      <c r="A800" t="s">
        <v>320</v>
      </c>
      <c r="B800" t="s">
        <v>14</v>
      </c>
      <c r="C800" s="2">
        <v>45569</v>
      </c>
      <c r="D800" t="s">
        <v>15</v>
      </c>
      <c r="E800" t="s">
        <v>16</v>
      </c>
      <c r="F800">
        <v>4187</v>
      </c>
      <c r="G800">
        <v>66</v>
      </c>
      <c r="H800">
        <v>31</v>
      </c>
      <c r="I800">
        <v>66992</v>
      </c>
      <c r="J800">
        <v>66614</v>
      </c>
      <c r="K800">
        <v>62</v>
      </c>
      <c r="L800" t="s">
        <v>360</v>
      </c>
      <c r="M800">
        <v>6.3947934081681396E-2</v>
      </c>
      <c r="N800" t="s">
        <v>11</v>
      </c>
      <c r="O800" t="s">
        <v>48</v>
      </c>
    </row>
    <row r="801" spans="1:15" x14ac:dyDescent="0.3">
      <c r="A801" t="s">
        <v>320</v>
      </c>
      <c r="B801" t="s">
        <v>14</v>
      </c>
      <c r="C801" s="2">
        <v>45569</v>
      </c>
      <c r="D801" t="s">
        <v>15</v>
      </c>
      <c r="E801" t="s">
        <v>16</v>
      </c>
      <c r="F801">
        <v>4187</v>
      </c>
      <c r="G801">
        <v>66</v>
      </c>
      <c r="H801">
        <v>31</v>
      </c>
      <c r="I801">
        <v>66992</v>
      </c>
      <c r="J801">
        <v>66614</v>
      </c>
      <c r="K801">
        <v>62</v>
      </c>
      <c r="L801" t="s">
        <v>360</v>
      </c>
      <c r="M801">
        <v>6.3947934081681396E-2</v>
      </c>
      <c r="N801" t="s">
        <v>357</v>
      </c>
      <c r="O801" t="s">
        <v>359</v>
      </c>
    </row>
    <row r="802" spans="1:15" x14ac:dyDescent="0.3">
      <c r="A802" t="s">
        <v>320</v>
      </c>
      <c r="B802" t="s">
        <v>14</v>
      </c>
      <c r="C802" s="2">
        <v>45569</v>
      </c>
      <c r="D802" t="s">
        <v>15</v>
      </c>
      <c r="E802" t="s">
        <v>16</v>
      </c>
      <c r="F802">
        <v>4187</v>
      </c>
      <c r="G802">
        <v>66</v>
      </c>
      <c r="H802">
        <v>31</v>
      </c>
      <c r="I802">
        <v>66992</v>
      </c>
      <c r="J802">
        <v>66614</v>
      </c>
      <c r="K802">
        <v>62</v>
      </c>
      <c r="L802" t="s">
        <v>360</v>
      </c>
      <c r="M802">
        <v>6.3947934081681396E-2</v>
      </c>
      <c r="N802" t="s">
        <v>358</v>
      </c>
      <c r="O802" t="s">
        <v>359</v>
      </c>
    </row>
    <row r="803" spans="1:15" x14ac:dyDescent="0.3">
      <c r="A803" t="s">
        <v>321</v>
      </c>
      <c r="B803" t="s">
        <v>28</v>
      </c>
      <c r="C803" s="2">
        <v>45760</v>
      </c>
      <c r="D803" t="s">
        <v>15</v>
      </c>
      <c r="E803" t="s">
        <v>61</v>
      </c>
      <c r="F803">
        <v>4579</v>
      </c>
      <c r="G803">
        <v>125</v>
      </c>
      <c r="H803">
        <v>300</v>
      </c>
      <c r="I803">
        <v>59527</v>
      </c>
      <c r="J803">
        <v>59400</v>
      </c>
      <c r="K803">
        <v>269</v>
      </c>
      <c r="L803" t="s">
        <v>17</v>
      </c>
      <c r="M803">
        <v>8.4062694239588759E-2</v>
      </c>
      <c r="N803" t="s">
        <v>11</v>
      </c>
      <c r="O803" t="s">
        <v>31</v>
      </c>
    </row>
    <row r="804" spans="1:15" x14ac:dyDescent="0.3">
      <c r="A804" t="s">
        <v>321</v>
      </c>
      <c r="B804" t="s">
        <v>28</v>
      </c>
      <c r="C804" s="2">
        <v>45760</v>
      </c>
      <c r="D804" t="s">
        <v>15</v>
      </c>
      <c r="E804" t="s">
        <v>61</v>
      </c>
      <c r="F804">
        <v>4579</v>
      </c>
      <c r="G804">
        <v>125</v>
      </c>
      <c r="H804">
        <v>300</v>
      </c>
      <c r="I804">
        <v>59527</v>
      </c>
      <c r="J804">
        <v>59400</v>
      </c>
      <c r="K804">
        <v>269</v>
      </c>
      <c r="L804" t="s">
        <v>17</v>
      </c>
      <c r="M804">
        <v>8.4062694239588759E-2</v>
      </c>
      <c r="N804" t="s">
        <v>357</v>
      </c>
      <c r="O804" t="s">
        <v>359</v>
      </c>
    </row>
    <row r="805" spans="1:15" x14ac:dyDescent="0.3">
      <c r="A805" t="s">
        <v>321</v>
      </c>
      <c r="B805" t="s">
        <v>28</v>
      </c>
      <c r="C805" s="2">
        <v>45760</v>
      </c>
      <c r="D805" t="s">
        <v>15</v>
      </c>
      <c r="E805" t="s">
        <v>61</v>
      </c>
      <c r="F805">
        <v>4579</v>
      </c>
      <c r="G805">
        <v>125</v>
      </c>
      <c r="H805">
        <v>300</v>
      </c>
      <c r="I805">
        <v>59527</v>
      </c>
      <c r="J805">
        <v>59400</v>
      </c>
      <c r="K805">
        <v>269</v>
      </c>
      <c r="L805" t="s">
        <v>17</v>
      </c>
      <c r="M805">
        <v>8.4062694239588759E-2</v>
      </c>
      <c r="N805" t="s">
        <v>358</v>
      </c>
      <c r="O805" t="s">
        <v>359</v>
      </c>
    </row>
    <row r="806" spans="1:15" x14ac:dyDescent="0.3">
      <c r="A806" t="s">
        <v>322</v>
      </c>
      <c r="B806" t="s">
        <v>28</v>
      </c>
      <c r="C806" s="2">
        <v>45601</v>
      </c>
      <c r="D806" t="s">
        <v>56</v>
      </c>
      <c r="E806" t="s">
        <v>63</v>
      </c>
      <c r="F806">
        <v>4561</v>
      </c>
      <c r="G806">
        <v>51</v>
      </c>
      <c r="H806">
        <v>441</v>
      </c>
      <c r="I806">
        <v>22805</v>
      </c>
      <c r="J806">
        <v>21890</v>
      </c>
      <c r="K806">
        <v>45</v>
      </c>
      <c r="L806" t="s">
        <v>21</v>
      </c>
      <c r="M806">
        <v>0.22157421618066214</v>
      </c>
      <c r="N806" t="s">
        <v>11</v>
      </c>
      <c r="O806" t="s">
        <v>25</v>
      </c>
    </row>
    <row r="807" spans="1:15" x14ac:dyDescent="0.3">
      <c r="A807" t="s">
        <v>322</v>
      </c>
      <c r="B807" t="s">
        <v>28</v>
      </c>
      <c r="C807" s="2">
        <v>45601</v>
      </c>
      <c r="D807" t="s">
        <v>56</v>
      </c>
      <c r="E807" t="s">
        <v>63</v>
      </c>
      <c r="F807">
        <v>4561</v>
      </c>
      <c r="G807">
        <v>51</v>
      </c>
      <c r="H807">
        <v>441</v>
      </c>
      <c r="I807">
        <v>22805</v>
      </c>
      <c r="J807">
        <v>21890</v>
      </c>
      <c r="K807">
        <v>45</v>
      </c>
      <c r="L807" t="s">
        <v>21</v>
      </c>
      <c r="M807">
        <v>0.22157421618066214</v>
      </c>
      <c r="N807" t="s">
        <v>357</v>
      </c>
      <c r="O807" t="s">
        <v>359</v>
      </c>
    </row>
    <row r="808" spans="1:15" x14ac:dyDescent="0.3">
      <c r="A808" t="s">
        <v>322</v>
      </c>
      <c r="B808" t="s">
        <v>28</v>
      </c>
      <c r="C808" s="2">
        <v>45601</v>
      </c>
      <c r="D808" t="s">
        <v>56</v>
      </c>
      <c r="E808" t="s">
        <v>63</v>
      </c>
      <c r="F808">
        <v>4561</v>
      </c>
      <c r="G808">
        <v>51</v>
      </c>
      <c r="H808">
        <v>441</v>
      </c>
      <c r="I808">
        <v>22805</v>
      </c>
      <c r="J808">
        <v>21890</v>
      </c>
      <c r="K808">
        <v>45</v>
      </c>
      <c r="L808" t="s">
        <v>21</v>
      </c>
      <c r="M808">
        <v>0.22157421618066214</v>
      </c>
      <c r="N808" t="s">
        <v>358</v>
      </c>
      <c r="O808" t="s">
        <v>359</v>
      </c>
    </row>
    <row r="809" spans="1:15" x14ac:dyDescent="0.3">
      <c r="A809" t="s">
        <v>323</v>
      </c>
      <c r="B809" t="s">
        <v>23</v>
      </c>
      <c r="C809" s="2">
        <v>45672</v>
      </c>
      <c r="D809" t="s">
        <v>15</v>
      </c>
      <c r="E809" t="s">
        <v>24</v>
      </c>
      <c r="F809">
        <v>3774</v>
      </c>
      <c r="G809">
        <v>239</v>
      </c>
      <c r="H809">
        <v>39</v>
      </c>
      <c r="I809">
        <v>60384</v>
      </c>
      <c r="J809">
        <v>59490</v>
      </c>
      <c r="K809">
        <v>241</v>
      </c>
      <c r="L809" t="s">
        <v>26</v>
      </c>
      <c r="M809">
        <v>6.7103868574456813E-2</v>
      </c>
      <c r="N809" t="s">
        <v>11</v>
      </c>
      <c r="O809" t="s">
        <v>25</v>
      </c>
    </row>
    <row r="810" spans="1:15" x14ac:dyDescent="0.3">
      <c r="A810" t="s">
        <v>323</v>
      </c>
      <c r="B810" t="s">
        <v>23</v>
      </c>
      <c r="C810" s="2">
        <v>45672</v>
      </c>
      <c r="D810" t="s">
        <v>15</v>
      </c>
      <c r="E810" t="s">
        <v>24</v>
      </c>
      <c r="F810">
        <v>3774</v>
      </c>
      <c r="G810">
        <v>239</v>
      </c>
      <c r="H810">
        <v>39</v>
      </c>
      <c r="I810">
        <v>60384</v>
      </c>
      <c r="J810">
        <v>59490</v>
      </c>
      <c r="K810">
        <v>241</v>
      </c>
      <c r="L810" t="s">
        <v>26</v>
      </c>
      <c r="M810">
        <v>6.7103868574456813E-2</v>
      </c>
      <c r="N810" t="s">
        <v>357</v>
      </c>
      <c r="O810" t="s">
        <v>359</v>
      </c>
    </row>
    <row r="811" spans="1:15" x14ac:dyDescent="0.3">
      <c r="A811" t="s">
        <v>323</v>
      </c>
      <c r="B811" t="s">
        <v>23</v>
      </c>
      <c r="C811" s="2">
        <v>45672</v>
      </c>
      <c r="D811" t="s">
        <v>15</v>
      </c>
      <c r="E811" t="s">
        <v>24</v>
      </c>
      <c r="F811">
        <v>3774</v>
      </c>
      <c r="G811">
        <v>239</v>
      </c>
      <c r="H811">
        <v>39</v>
      </c>
      <c r="I811">
        <v>60384</v>
      </c>
      <c r="J811">
        <v>59490</v>
      </c>
      <c r="K811">
        <v>241</v>
      </c>
      <c r="L811" t="s">
        <v>26</v>
      </c>
      <c r="M811">
        <v>6.7103868574456813E-2</v>
      </c>
      <c r="N811" t="s">
        <v>358</v>
      </c>
      <c r="O811" t="s">
        <v>359</v>
      </c>
    </row>
    <row r="812" spans="1:15" x14ac:dyDescent="0.3">
      <c r="A812" t="s">
        <v>324</v>
      </c>
      <c r="B812" t="s">
        <v>28</v>
      </c>
      <c r="C812" s="2">
        <v>45582</v>
      </c>
      <c r="D812" t="s">
        <v>56</v>
      </c>
      <c r="E812" t="s">
        <v>63</v>
      </c>
      <c r="F812">
        <v>3575</v>
      </c>
      <c r="G812">
        <v>749</v>
      </c>
      <c r="H812">
        <v>111</v>
      </c>
      <c r="I812">
        <v>21450</v>
      </c>
      <c r="J812">
        <v>20785</v>
      </c>
      <c r="K812">
        <v>195</v>
      </c>
      <c r="L812" t="s">
        <v>21</v>
      </c>
      <c r="M812">
        <v>0.20675990675990677</v>
      </c>
      <c r="N812" t="s">
        <v>11</v>
      </c>
      <c r="O812" t="s">
        <v>31</v>
      </c>
    </row>
    <row r="813" spans="1:15" x14ac:dyDescent="0.3">
      <c r="A813" t="s">
        <v>324</v>
      </c>
      <c r="B813" t="s">
        <v>28</v>
      </c>
      <c r="C813" s="2">
        <v>45582</v>
      </c>
      <c r="D813" t="s">
        <v>56</v>
      </c>
      <c r="E813" t="s">
        <v>63</v>
      </c>
      <c r="F813">
        <v>3575</v>
      </c>
      <c r="G813">
        <v>749</v>
      </c>
      <c r="H813">
        <v>111</v>
      </c>
      <c r="I813">
        <v>21450</v>
      </c>
      <c r="J813">
        <v>20785</v>
      </c>
      <c r="K813">
        <v>195</v>
      </c>
      <c r="L813" t="s">
        <v>21</v>
      </c>
      <c r="M813">
        <v>0.20675990675990677</v>
      </c>
      <c r="N813" t="s">
        <v>357</v>
      </c>
      <c r="O813" t="s">
        <v>359</v>
      </c>
    </row>
    <row r="814" spans="1:15" x14ac:dyDescent="0.3">
      <c r="A814" t="s">
        <v>324</v>
      </c>
      <c r="B814" t="s">
        <v>28</v>
      </c>
      <c r="C814" s="2">
        <v>45582</v>
      </c>
      <c r="D814" t="s">
        <v>56</v>
      </c>
      <c r="E814" t="s">
        <v>63</v>
      </c>
      <c r="F814">
        <v>3575</v>
      </c>
      <c r="G814">
        <v>749</v>
      </c>
      <c r="H814">
        <v>111</v>
      </c>
      <c r="I814">
        <v>21450</v>
      </c>
      <c r="J814">
        <v>20785</v>
      </c>
      <c r="K814">
        <v>195</v>
      </c>
      <c r="L814" t="s">
        <v>21</v>
      </c>
      <c r="M814">
        <v>0.20675990675990677</v>
      </c>
      <c r="N814" t="s">
        <v>358</v>
      </c>
      <c r="O814" t="s">
        <v>359</v>
      </c>
    </row>
    <row r="815" spans="1:15" x14ac:dyDescent="0.3">
      <c r="A815" t="s">
        <v>325</v>
      </c>
      <c r="B815" t="s">
        <v>28</v>
      </c>
      <c r="C815" s="2">
        <v>45743</v>
      </c>
      <c r="D815" t="s">
        <v>19</v>
      </c>
      <c r="E815" t="s">
        <v>78</v>
      </c>
      <c r="F815">
        <v>4941</v>
      </c>
      <c r="G815">
        <v>414</v>
      </c>
      <c r="H815">
        <v>266</v>
      </c>
      <c r="I815">
        <v>39528</v>
      </c>
      <c r="J815">
        <v>39154</v>
      </c>
      <c r="K815">
        <v>217</v>
      </c>
      <c r="L815" t="s">
        <v>26</v>
      </c>
      <c r="M815">
        <v>0.14220299534507186</v>
      </c>
      <c r="N815" t="s">
        <v>11</v>
      </c>
      <c r="O815" t="s">
        <v>25</v>
      </c>
    </row>
    <row r="816" spans="1:15" x14ac:dyDescent="0.3">
      <c r="A816" t="s">
        <v>325</v>
      </c>
      <c r="B816" t="s">
        <v>28</v>
      </c>
      <c r="C816" s="2">
        <v>45743</v>
      </c>
      <c r="D816" t="s">
        <v>19</v>
      </c>
      <c r="E816" t="s">
        <v>78</v>
      </c>
      <c r="F816">
        <v>4941</v>
      </c>
      <c r="G816">
        <v>414</v>
      </c>
      <c r="H816">
        <v>266</v>
      </c>
      <c r="I816">
        <v>39528</v>
      </c>
      <c r="J816">
        <v>39154</v>
      </c>
      <c r="K816">
        <v>217</v>
      </c>
      <c r="L816" t="s">
        <v>26</v>
      </c>
      <c r="M816">
        <v>0.14220299534507186</v>
      </c>
      <c r="N816" t="s">
        <v>357</v>
      </c>
      <c r="O816" t="s">
        <v>359</v>
      </c>
    </row>
    <row r="817" spans="1:15" x14ac:dyDescent="0.3">
      <c r="A817" t="s">
        <v>325</v>
      </c>
      <c r="B817" t="s">
        <v>28</v>
      </c>
      <c r="C817" s="2">
        <v>45743</v>
      </c>
      <c r="D817" t="s">
        <v>19</v>
      </c>
      <c r="E817" t="s">
        <v>78</v>
      </c>
      <c r="F817">
        <v>4941</v>
      </c>
      <c r="G817">
        <v>414</v>
      </c>
      <c r="H817">
        <v>266</v>
      </c>
      <c r="I817">
        <v>39528</v>
      </c>
      <c r="J817">
        <v>39154</v>
      </c>
      <c r="K817">
        <v>217</v>
      </c>
      <c r="L817" t="s">
        <v>26</v>
      </c>
      <c r="M817">
        <v>0.14220299534507186</v>
      </c>
      <c r="N817" t="s">
        <v>358</v>
      </c>
      <c r="O817" t="s">
        <v>359</v>
      </c>
    </row>
    <row r="818" spans="1:15" x14ac:dyDescent="0.3">
      <c r="A818" t="s">
        <v>326</v>
      </c>
      <c r="B818" t="s">
        <v>23</v>
      </c>
      <c r="C818" s="2">
        <v>45577</v>
      </c>
      <c r="D818" t="s">
        <v>29</v>
      </c>
      <c r="E818" t="s">
        <v>101</v>
      </c>
      <c r="F818">
        <v>3641</v>
      </c>
      <c r="G818">
        <v>226</v>
      </c>
      <c r="H818">
        <v>46</v>
      </c>
      <c r="I818">
        <v>40051</v>
      </c>
      <c r="J818">
        <v>39319</v>
      </c>
      <c r="K818">
        <v>296</v>
      </c>
      <c r="L818" t="s">
        <v>32</v>
      </c>
      <c r="M818">
        <v>9.7700431949264685E-2</v>
      </c>
      <c r="N818" t="s">
        <v>11</v>
      </c>
      <c r="O818" t="s">
        <v>31</v>
      </c>
    </row>
    <row r="819" spans="1:15" x14ac:dyDescent="0.3">
      <c r="A819" t="s">
        <v>326</v>
      </c>
      <c r="B819" t="s">
        <v>23</v>
      </c>
      <c r="C819" s="2">
        <v>45577</v>
      </c>
      <c r="D819" t="s">
        <v>29</v>
      </c>
      <c r="E819" t="s">
        <v>101</v>
      </c>
      <c r="F819">
        <v>3641</v>
      </c>
      <c r="G819">
        <v>226</v>
      </c>
      <c r="H819">
        <v>46</v>
      </c>
      <c r="I819">
        <v>40051</v>
      </c>
      <c r="J819">
        <v>39319</v>
      </c>
      <c r="K819">
        <v>296</v>
      </c>
      <c r="L819" t="s">
        <v>32</v>
      </c>
      <c r="M819">
        <v>9.7700431949264685E-2</v>
      </c>
      <c r="N819" t="s">
        <v>357</v>
      </c>
      <c r="O819" t="s">
        <v>359</v>
      </c>
    </row>
    <row r="820" spans="1:15" x14ac:dyDescent="0.3">
      <c r="A820" t="s">
        <v>326</v>
      </c>
      <c r="B820" t="s">
        <v>23</v>
      </c>
      <c r="C820" s="2">
        <v>45577</v>
      </c>
      <c r="D820" t="s">
        <v>29</v>
      </c>
      <c r="E820" t="s">
        <v>101</v>
      </c>
      <c r="F820">
        <v>3641</v>
      </c>
      <c r="G820">
        <v>226</v>
      </c>
      <c r="H820">
        <v>46</v>
      </c>
      <c r="I820">
        <v>40051</v>
      </c>
      <c r="J820">
        <v>39319</v>
      </c>
      <c r="K820">
        <v>296</v>
      </c>
      <c r="L820" t="s">
        <v>32</v>
      </c>
      <c r="M820">
        <v>9.7700431949264685E-2</v>
      </c>
      <c r="N820" t="s">
        <v>358</v>
      </c>
      <c r="O820" t="s">
        <v>359</v>
      </c>
    </row>
    <row r="821" spans="1:15" x14ac:dyDescent="0.3">
      <c r="A821" t="s">
        <v>327</v>
      </c>
      <c r="B821" t="s">
        <v>14</v>
      </c>
      <c r="C821" s="2">
        <v>45658</v>
      </c>
      <c r="D821" t="s">
        <v>36</v>
      </c>
      <c r="E821" t="s">
        <v>39</v>
      </c>
      <c r="F821">
        <v>3535</v>
      </c>
      <c r="G821">
        <v>494</v>
      </c>
      <c r="H821">
        <v>152</v>
      </c>
      <c r="I821">
        <v>53025</v>
      </c>
      <c r="J821">
        <v>52791</v>
      </c>
      <c r="K821">
        <v>44</v>
      </c>
      <c r="L821" t="s">
        <v>32</v>
      </c>
      <c r="M821">
        <v>7.8849599245638849E-2</v>
      </c>
      <c r="N821" t="s">
        <v>11</v>
      </c>
      <c r="O821" t="s">
        <v>25</v>
      </c>
    </row>
    <row r="822" spans="1:15" x14ac:dyDescent="0.3">
      <c r="A822" t="s">
        <v>327</v>
      </c>
      <c r="B822" t="s">
        <v>14</v>
      </c>
      <c r="C822" s="2">
        <v>45658</v>
      </c>
      <c r="D822" t="s">
        <v>36</v>
      </c>
      <c r="E822" t="s">
        <v>39</v>
      </c>
      <c r="F822">
        <v>3535</v>
      </c>
      <c r="G822">
        <v>494</v>
      </c>
      <c r="H822">
        <v>152</v>
      </c>
      <c r="I822">
        <v>53025</v>
      </c>
      <c r="J822">
        <v>52791</v>
      </c>
      <c r="K822">
        <v>44</v>
      </c>
      <c r="L822" t="s">
        <v>32</v>
      </c>
      <c r="M822">
        <v>7.8849599245638849E-2</v>
      </c>
      <c r="N822" t="s">
        <v>357</v>
      </c>
      <c r="O822" t="s">
        <v>359</v>
      </c>
    </row>
    <row r="823" spans="1:15" x14ac:dyDescent="0.3">
      <c r="A823" t="s">
        <v>327</v>
      </c>
      <c r="B823" t="s">
        <v>14</v>
      </c>
      <c r="C823" s="2">
        <v>45658</v>
      </c>
      <c r="D823" t="s">
        <v>36</v>
      </c>
      <c r="E823" t="s">
        <v>39</v>
      </c>
      <c r="F823">
        <v>3535</v>
      </c>
      <c r="G823">
        <v>494</v>
      </c>
      <c r="H823">
        <v>152</v>
      </c>
      <c r="I823">
        <v>53025</v>
      </c>
      <c r="J823">
        <v>52791</v>
      </c>
      <c r="K823">
        <v>44</v>
      </c>
      <c r="L823" t="s">
        <v>32</v>
      </c>
      <c r="M823">
        <v>7.8849599245638849E-2</v>
      </c>
      <c r="N823" t="s">
        <v>358</v>
      </c>
      <c r="O823" t="s">
        <v>359</v>
      </c>
    </row>
    <row r="824" spans="1:15" x14ac:dyDescent="0.3">
      <c r="A824" t="s">
        <v>328</v>
      </c>
      <c r="B824" t="s">
        <v>35</v>
      </c>
      <c r="C824" s="2">
        <v>45509</v>
      </c>
      <c r="D824" t="s">
        <v>15</v>
      </c>
      <c r="E824" t="s">
        <v>50</v>
      </c>
      <c r="F824">
        <v>1741</v>
      </c>
      <c r="G824">
        <v>831</v>
      </c>
      <c r="H824">
        <v>345</v>
      </c>
      <c r="I824">
        <v>17410</v>
      </c>
      <c r="J824">
        <v>16844</v>
      </c>
      <c r="K824">
        <v>58</v>
      </c>
      <c r="L824" t="s">
        <v>26</v>
      </c>
      <c r="M824">
        <v>0.16754738655944859</v>
      </c>
      <c r="N824" t="s">
        <v>11</v>
      </c>
      <c r="O824" t="s">
        <v>31</v>
      </c>
    </row>
    <row r="825" spans="1:15" x14ac:dyDescent="0.3">
      <c r="A825" t="s">
        <v>328</v>
      </c>
      <c r="B825" t="s">
        <v>35</v>
      </c>
      <c r="C825" s="2">
        <v>45509</v>
      </c>
      <c r="D825" t="s">
        <v>15</v>
      </c>
      <c r="E825" t="s">
        <v>50</v>
      </c>
      <c r="F825">
        <v>1741</v>
      </c>
      <c r="G825">
        <v>831</v>
      </c>
      <c r="H825">
        <v>345</v>
      </c>
      <c r="I825">
        <v>17410</v>
      </c>
      <c r="J825">
        <v>16844</v>
      </c>
      <c r="K825">
        <v>58</v>
      </c>
      <c r="L825" t="s">
        <v>26</v>
      </c>
      <c r="M825">
        <v>0.16754738655944859</v>
      </c>
      <c r="N825" t="s">
        <v>357</v>
      </c>
      <c r="O825" t="s">
        <v>359</v>
      </c>
    </row>
    <row r="826" spans="1:15" x14ac:dyDescent="0.3">
      <c r="A826" t="s">
        <v>328</v>
      </c>
      <c r="B826" t="s">
        <v>35</v>
      </c>
      <c r="C826" s="2">
        <v>45509</v>
      </c>
      <c r="D826" t="s">
        <v>15</v>
      </c>
      <c r="E826" t="s">
        <v>50</v>
      </c>
      <c r="F826">
        <v>1741</v>
      </c>
      <c r="G826">
        <v>831</v>
      </c>
      <c r="H826">
        <v>345</v>
      </c>
      <c r="I826">
        <v>17410</v>
      </c>
      <c r="J826">
        <v>16844</v>
      </c>
      <c r="K826">
        <v>58</v>
      </c>
      <c r="L826" t="s">
        <v>26</v>
      </c>
      <c r="M826">
        <v>0.16754738655944859</v>
      </c>
      <c r="N826" t="s">
        <v>358</v>
      </c>
      <c r="O826" t="s">
        <v>359</v>
      </c>
    </row>
    <row r="827" spans="1:15" x14ac:dyDescent="0.3">
      <c r="A827" t="s">
        <v>329</v>
      </c>
      <c r="B827" t="s">
        <v>14</v>
      </c>
      <c r="C827" s="2">
        <v>45450</v>
      </c>
      <c r="D827" t="s">
        <v>36</v>
      </c>
      <c r="E827" t="s">
        <v>39</v>
      </c>
      <c r="F827">
        <v>1556</v>
      </c>
      <c r="G827">
        <v>195</v>
      </c>
      <c r="H827">
        <v>131</v>
      </c>
      <c r="I827">
        <v>9336</v>
      </c>
      <c r="J827">
        <v>8875</v>
      </c>
      <c r="K827">
        <v>137</v>
      </c>
      <c r="L827" t="s">
        <v>21</v>
      </c>
      <c r="M827">
        <v>0.2015852613538989</v>
      </c>
      <c r="N827" t="s">
        <v>11</v>
      </c>
      <c r="O827" t="s">
        <v>25</v>
      </c>
    </row>
    <row r="828" spans="1:15" x14ac:dyDescent="0.3">
      <c r="A828" t="s">
        <v>329</v>
      </c>
      <c r="B828" t="s">
        <v>14</v>
      </c>
      <c r="C828" s="2">
        <v>45450</v>
      </c>
      <c r="D828" t="s">
        <v>36</v>
      </c>
      <c r="E828" t="s">
        <v>39</v>
      </c>
      <c r="F828">
        <v>1556</v>
      </c>
      <c r="G828">
        <v>195</v>
      </c>
      <c r="H828">
        <v>131</v>
      </c>
      <c r="I828">
        <v>9336</v>
      </c>
      <c r="J828">
        <v>8875</v>
      </c>
      <c r="K828">
        <v>137</v>
      </c>
      <c r="L828" t="s">
        <v>21</v>
      </c>
      <c r="M828">
        <v>0.2015852613538989</v>
      </c>
      <c r="N828" t="s">
        <v>357</v>
      </c>
      <c r="O828" t="s">
        <v>359</v>
      </c>
    </row>
    <row r="829" spans="1:15" x14ac:dyDescent="0.3">
      <c r="A829" t="s">
        <v>329</v>
      </c>
      <c r="B829" t="s">
        <v>14</v>
      </c>
      <c r="C829" s="2">
        <v>45450</v>
      </c>
      <c r="D829" t="s">
        <v>36</v>
      </c>
      <c r="E829" t="s">
        <v>39</v>
      </c>
      <c r="F829">
        <v>1556</v>
      </c>
      <c r="G829">
        <v>195</v>
      </c>
      <c r="H829">
        <v>131</v>
      </c>
      <c r="I829">
        <v>9336</v>
      </c>
      <c r="J829">
        <v>8875</v>
      </c>
      <c r="K829">
        <v>137</v>
      </c>
      <c r="L829" t="s">
        <v>21</v>
      </c>
      <c r="M829">
        <v>0.2015852613538989</v>
      </c>
      <c r="N829" t="s">
        <v>358</v>
      </c>
      <c r="O829" t="s">
        <v>359</v>
      </c>
    </row>
    <row r="830" spans="1:15" x14ac:dyDescent="0.3">
      <c r="A830" t="s">
        <v>330</v>
      </c>
      <c r="B830" t="s">
        <v>35</v>
      </c>
      <c r="C830" s="2">
        <v>45753</v>
      </c>
      <c r="D830" t="s">
        <v>41</v>
      </c>
      <c r="E830" t="s">
        <v>46</v>
      </c>
      <c r="F830">
        <v>4236</v>
      </c>
      <c r="G830">
        <v>711</v>
      </c>
      <c r="H830">
        <v>298</v>
      </c>
      <c r="I830">
        <v>21180</v>
      </c>
      <c r="J830">
        <v>20516</v>
      </c>
      <c r="K830">
        <v>238</v>
      </c>
      <c r="L830" t="s">
        <v>17</v>
      </c>
      <c r="M830">
        <v>0.24763928234183191</v>
      </c>
      <c r="N830" t="s">
        <v>11</v>
      </c>
      <c r="O830" t="s">
        <v>48</v>
      </c>
    </row>
    <row r="831" spans="1:15" x14ac:dyDescent="0.3">
      <c r="A831" t="s">
        <v>330</v>
      </c>
      <c r="B831" t="s">
        <v>35</v>
      </c>
      <c r="C831" s="2">
        <v>45753</v>
      </c>
      <c r="D831" t="s">
        <v>41</v>
      </c>
      <c r="E831" t="s">
        <v>46</v>
      </c>
      <c r="F831">
        <v>4236</v>
      </c>
      <c r="G831">
        <v>711</v>
      </c>
      <c r="H831">
        <v>298</v>
      </c>
      <c r="I831">
        <v>21180</v>
      </c>
      <c r="J831">
        <v>20516</v>
      </c>
      <c r="K831">
        <v>238</v>
      </c>
      <c r="L831" t="s">
        <v>17</v>
      </c>
      <c r="M831">
        <v>0.24763928234183191</v>
      </c>
      <c r="N831" t="s">
        <v>357</v>
      </c>
      <c r="O831" t="s">
        <v>359</v>
      </c>
    </row>
    <row r="832" spans="1:15" x14ac:dyDescent="0.3">
      <c r="A832" t="s">
        <v>330</v>
      </c>
      <c r="B832" t="s">
        <v>35</v>
      </c>
      <c r="C832" s="2">
        <v>45753</v>
      </c>
      <c r="D832" t="s">
        <v>41</v>
      </c>
      <c r="E832" t="s">
        <v>46</v>
      </c>
      <c r="F832">
        <v>4236</v>
      </c>
      <c r="G832">
        <v>711</v>
      </c>
      <c r="H832">
        <v>298</v>
      </c>
      <c r="I832">
        <v>21180</v>
      </c>
      <c r="J832">
        <v>20516</v>
      </c>
      <c r="K832">
        <v>238</v>
      </c>
      <c r="L832" t="s">
        <v>17</v>
      </c>
      <c r="M832">
        <v>0.24763928234183191</v>
      </c>
      <c r="N832" t="s">
        <v>358</v>
      </c>
      <c r="O832" t="s">
        <v>359</v>
      </c>
    </row>
    <row r="833" spans="1:15" x14ac:dyDescent="0.3">
      <c r="A833" t="s">
        <v>331</v>
      </c>
      <c r="B833" t="s">
        <v>14</v>
      </c>
      <c r="C833" s="2">
        <v>45622</v>
      </c>
      <c r="D833" t="s">
        <v>19</v>
      </c>
      <c r="E833" t="s">
        <v>20</v>
      </c>
      <c r="F833">
        <v>4516</v>
      </c>
      <c r="G833">
        <v>836</v>
      </c>
      <c r="H833">
        <v>169</v>
      </c>
      <c r="I833">
        <v>49676</v>
      </c>
      <c r="J833">
        <v>49257</v>
      </c>
      <c r="K833">
        <v>282</v>
      </c>
      <c r="L833" t="s">
        <v>32</v>
      </c>
      <c r="M833">
        <v>0.11114018842096787</v>
      </c>
      <c r="N833" t="s">
        <v>11</v>
      </c>
      <c r="O833" t="s">
        <v>31</v>
      </c>
    </row>
    <row r="834" spans="1:15" x14ac:dyDescent="0.3">
      <c r="A834" t="s">
        <v>331</v>
      </c>
      <c r="B834" t="s">
        <v>14</v>
      </c>
      <c r="C834" s="2">
        <v>45622</v>
      </c>
      <c r="D834" t="s">
        <v>19</v>
      </c>
      <c r="E834" t="s">
        <v>20</v>
      </c>
      <c r="F834">
        <v>4516</v>
      </c>
      <c r="G834">
        <v>836</v>
      </c>
      <c r="H834">
        <v>169</v>
      </c>
      <c r="I834">
        <v>49676</v>
      </c>
      <c r="J834">
        <v>49257</v>
      </c>
      <c r="K834">
        <v>282</v>
      </c>
      <c r="L834" t="s">
        <v>32</v>
      </c>
      <c r="M834">
        <v>0.11114018842096787</v>
      </c>
      <c r="N834" t="s">
        <v>357</v>
      </c>
      <c r="O834" t="s">
        <v>359</v>
      </c>
    </row>
    <row r="835" spans="1:15" x14ac:dyDescent="0.3">
      <c r="A835" t="s">
        <v>331</v>
      </c>
      <c r="B835" t="s">
        <v>14</v>
      </c>
      <c r="C835" s="2">
        <v>45622</v>
      </c>
      <c r="D835" t="s">
        <v>19</v>
      </c>
      <c r="E835" t="s">
        <v>20</v>
      </c>
      <c r="F835">
        <v>4516</v>
      </c>
      <c r="G835">
        <v>836</v>
      </c>
      <c r="H835">
        <v>169</v>
      </c>
      <c r="I835">
        <v>49676</v>
      </c>
      <c r="J835">
        <v>49257</v>
      </c>
      <c r="K835">
        <v>282</v>
      </c>
      <c r="L835" t="s">
        <v>32</v>
      </c>
      <c r="M835">
        <v>0.11114018842096787</v>
      </c>
      <c r="N835" t="s">
        <v>358</v>
      </c>
      <c r="O835" t="s">
        <v>359</v>
      </c>
    </row>
    <row r="836" spans="1:15" x14ac:dyDescent="0.3">
      <c r="A836" t="s">
        <v>332</v>
      </c>
      <c r="B836" t="s">
        <v>23</v>
      </c>
      <c r="C836" s="2">
        <v>45537</v>
      </c>
      <c r="D836" t="s">
        <v>41</v>
      </c>
      <c r="E836" t="s">
        <v>42</v>
      </c>
      <c r="F836">
        <v>4905</v>
      </c>
      <c r="G836">
        <v>845</v>
      </c>
      <c r="H836">
        <v>129</v>
      </c>
      <c r="I836">
        <v>98100</v>
      </c>
      <c r="J836">
        <v>97772</v>
      </c>
      <c r="K836">
        <v>279</v>
      </c>
      <c r="L836" t="s">
        <v>21</v>
      </c>
      <c r="M836">
        <v>5.9928644240570844E-2</v>
      </c>
      <c r="N836" t="s">
        <v>11</v>
      </c>
      <c r="O836" t="s">
        <v>25</v>
      </c>
    </row>
    <row r="837" spans="1:15" x14ac:dyDescent="0.3">
      <c r="A837" t="s">
        <v>332</v>
      </c>
      <c r="B837" t="s">
        <v>23</v>
      </c>
      <c r="C837" s="2">
        <v>45537</v>
      </c>
      <c r="D837" t="s">
        <v>41</v>
      </c>
      <c r="E837" t="s">
        <v>42</v>
      </c>
      <c r="F837">
        <v>4905</v>
      </c>
      <c r="G837">
        <v>845</v>
      </c>
      <c r="H837">
        <v>129</v>
      </c>
      <c r="I837">
        <v>98100</v>
      </c>
      <c r="J837">
        <v>97772</v>
      </c>
      <c r="K837">
        <v>279</v>
      </c>
      <c r="L837" t="s">
        <v>21</v>
      </c>
      <c r="M837">
        <v>5.9928644240570844E-2</v>
      </c>
      <c r="N837" t="s">
        <v>357</v>
      </c>
      <c r="O837" t="s">
        <v>359</v>
      </c>
    </row>
    <row r="838" spans="1:15" x14ac:dyDescent="0.3">
      <c r="A838" t="s">
        <v>332</v>
      </c>
      <c r="B838" t="s">
        <v>23</v>
      </c>
      <c r="C838" s="2">
        <v>45537</v>
      </c>
      <c r="D838" t="s">
        <v>41</v>
      </c>
      <c r="E838" t="s">
        <v>42</v>
      </c>
      <c r="F838">
        <v>4905</v>
      </c>
      <c r="G838">
        <v>845</v>
      </c>
      <c r="H838">
        <v>129</v>
      </c>
      <c r="I838">
        <v>98100</v>
      </c>
      <c r="J838">
        <v>97772</v>
      </c>
      <c r="K838">
        <v>279</v>
      </c>
      <c r="L838" t="s">
        <v>21</v>
      </c>
      <c r="M838">
        <v>5.9928644240570844E-2</v>
      </c>
      <c r="N838" t="s">
        <v>358</v>
      </c>
      <c r="O838" t="s">
        <v>359</v>
      </c>
    </row>
    <row r="839" spans="1:15" x14ac:dyDescent="0.3">
      <c r="A839" t="s">
        <v>333</v>
      </c>
      <c r="B839" t="s">
        <v>23</v>
      </c>
      <c r="C839" s="2">
        <v>45586</v>
      </c>
      <c r="D839" t="s">
        <v>56</v>
      </c>
      <c r="E839" t="s">
        <v>136</v>
      </c>
      <c r="F839">
        <v>4275</v>
      </c>
      <c r="G839">
        <v>680</v>
      </c>
      <c r="H839">
        <v>385</v>
      </c>
      <c r="I839">
        <v>64125</v>
      </c>
      <c r="J839">
        <v>63650</v>
      </c>
      <c r="K839">
        <v>104</v>
      </c>
      <c r="L839" t="s">
        <v>32</v>
      </c>
      <c r="M839">
        <v>8.3274853801169585E-2</v>
      </c>
      <c r="N839" t="s">
        <v>11</v>
      </c>
      <c r="O839" t="s">
        <v>31</v>
      </c>
    </row>
    <row r="840" spans="1:15" x14ac:dyDescent="0.3">
      <c r="A840" t="s">
        <v>333</v>
      </c>
      <c r="B840" t="s">
        <v>23</v>
      </c>
      <c r="C840" s="2">
        <v>45586</v>
      </c>
      <c r="D840" t="s">
        <v>56</v>
      </c>
      <c r="E840" t="s">
        <v>136</v>
      </c>
      <c r="F840">
        <v>4275</v>
      </c>
      <c r="G840">
        <v>680</v>
      </c>
      <c r="H840">
        <v>385</v>
      </c>
      <c r="I840">
        <v>64125</v>
      </c>
      <c r="J840">
        <v>63650</v>
      </c>
      <c r="K840">
        <v>104</v>
      </c>
      <c r="L840" t="s">
        <v>32</v>
      </c>
      <c r="M840">
        <v>8.3274853801169585E-2</v>
      </c>
      <c r="N840" t="s">
        <v>357</v>
      </c>
      <c r="O840" t="s">
        <v>25</v>
      </c>
    </row>
    <row r="841" spans="1:15" x14ac:dyDescent="0.3">
      <c r="A841" t="s">
        <v>333</v>
      </c>
      <c r="B841" t="s">
        <v>23</v>
      </c>
      <c r="C841" s="2">
        <v>45586</v>
      </c>
      <c r="D841" t="s">
        <v>56</v>
      </c>
      <c r="E841" t="s">
        <v>136</v>
      </c>
      <c r="F841">
        <v>4275</v>
      </c>
      <c r="G841">
        <v>680</v>
      </c>
      <c r="H841">
        <v>385</v>
      </c>
      <c r="I841">
        <v>64125</v>
      </c>
      <c r="J841">
        <v>63650</v>
      </c>
      <c r="K841">
        <v>104</v>
      </c>
      <c r="L841" t="s">
        <v>32</v>
      </c>
      <c r="M841">
        <v>8.3274853801169585E-2</v>
      </c>
      <c r="N841" t="s">
        <v>358</v>
      </c>
      <c r="O841" t="s">
        <v>354</v>
      </c>
    </row>
    <row r="842" spans="1:15" x14ac:dyDescent="0.3">
      <c r="A842" t="s">
        <v>334</v>
      </c>
      <c r="B842" t="s">
        <v>23</v>
      </c>
      <c r="C842" s="2">
        <v>45738</v>
      </c>
      <c r="D842" t="s">
        <v>41</v>
      </c>
      <c r="E842" t="s">
        <v>42</v>
      </c>
      <c r="F842">
        <v>3166</v>
      </c>
      <c r="G842">
        <v>90</v>
      </c>
      <c r="H842">
        <v>341</v>
      </c>
      <c r="I842">
        <v>56988</v>
      </c>
      <c r="J842">
        <v>56125</v>
      </c>
      <c r="K842">
        <v>135</v>
      </c>
      <c r="L842" t="s">
        <v>21</v>
      </c>
      <c r="M842">
        <v>6.3118551273952411E-2</v>
      </c>
      <c r="N842" t="s">
        <v>11</v>
      </c>
      <c r="O842" t="s">
        <v>31</v>
      </c>
    </row>
    <row r="843" spans="1:15" x14ac:dyDescent="0.3">
      <c r="A843" t="s">
        <v>334</v>
      </c>
      <c r="B843" t="s">
        <v>23</v>
      </c>
      <c r="C843" s="2">
        <v>45738</v>
      </c>
      <c r="D843" t="s">
        <v>41</v>
      </c>
      <c r="E843" t="s">
        <v>42</v>
      </c>
      <c r="F843">
        <v>3166</v>
      </c>
      <c r="G843">
        <v>90</v>
      </c>
      <c r="H843">
        <v>341</v>
      </c>
      <c r="I843">
        <v>56988</v>
      </c>
      <c r="J843">
        <v>56125</v>
      </c>
      <c r="K843">
        <v>135</v>
      </c>
      <c r="L843" t="s">
        <v>21</v>
      </c>
      <c r="M843">
        <v>6.3118551273952411E-2</v>
      </c>
      <c r="N843" t="s">
        <v>357</v>
      </c>
      <c r="O843" t="s">
        <v>359</v>
      </c>
    </row>
    <row r="844" spans="1:15" x14ac:dyDescent="0.3">
      <c r="A844" t="s">
        <v>334</v>
      </c>
      <c r="B844" t="s">
        <v>23</v>
      </c>
      <c r="C844" s="2">
        <v>45738</v>
      </c>
      <c r="D844" t="s">
        <v>41</v>
      </c>
      <c r="E844" t="s">
        <v>42</v>
      </c>
      <c r="F844">
        <v>3166</v>
      </c>
      <c r="G844">
        <v>90</v>
      </c>
      <c r="H844">
        <v>341</v>
      </c>
      <c r="I844">
        <v>56988</v>
      </c>
      <c r="J844">
        <v>56125</v>
      </c>
      <c r="K844">
        <v>135</v>
      </c>
      <c r="L844" t="s">
        <v>21</v>
      </c>
      <c r="M844">
        <v>6.3118551273952411E-2</v>
      </c>
      <c r="N844" t="s">
        <v>358</v>
      </c>
      <c r="O844" t="s">
        <v>359</v>
      </c>
    </row>
    <row r="845" spans="1:15" x14ac:dyDescent="0.3">
      <c r="A845" t="s">
        <v>335</v>
      </c>
      <c r="B845" t="s">
        <v>28</v>
      </c>
      <c r="C845" s="2">
        <v>45568</v>
      </c>
      <c r="D845" t="s">
        <v>56</v>
      </c>
      <c r="E845" t="s">
        <v>63</v>
      </c>
      <c r="F845">
        <v>1488</v>
      </c>
      <c r="G845">
        <v>417</v>
      </c>
      <c r="H845">
        <v>168</v>
      </c>
      <c r="I845">
        <v>19344</v>
      </c>
      <c r="J845">
        <v>18395</v>
      </c>
      <c r="K845">
        <v>30</v>
      </c>
      <c r="L845" t="s">
        <v>26</v>
      </c>
      <c r="M845">
        <v>0.1071650124069479</v>
      </c>
      <c r="N845" t="s">
        <v>11</v>
      </c>
      <c r="O845" t="s">
        <v>48</v>
      </c>
    </row>
    <row r="846" spans="1:15" x14ac:dyDescent="0.3">
      <c r="A846" t="s">
        <v>335</v>
      </c>
      <c r="B846" t="s">
        <v>28</v>
      </c>
      <c r="C846" s="2">
        <v>45568</v>
      </c>
      <c r="D846" t="s">
        <v>56</v>
      </c>
      <c r="E846" t="s">
        <v>63</v>
      </c>
      <c r="F846">
        <v>1488</v>
      </c>
      <c r="G846">
        <v>417</v>
      </c>
      <c r="H846">
        <v>168</v>
      </c>
      <c r="I846">
        <v>19344</v>
      </c>
      <c r="J846">
        <v>18395</v>
      </c>
      <c r="K846">
        <v>30</v>
      </c>
      <c r="L846" t="s">
        <v>26</v>
      </c>
      <c r="M846">
        <v>0.1071650124069479</v>
      </c>
      <c r="N846" t="s">
        <v>357</v>
      </c>
      <c r="O846" t="s">
        <v>359</v>
      </c>
    </row>
    <row r="847" spans="1:15" x14ac:dyDescent="0.3">
      <c r="A847" t="s">
        <v>335</v>
      </c>
      <c r="B847" t="s">
        <v>28</v>
      </c>
      <c r="C847" s="2">
        <v>45568</v>
      </c>
      <c r="D847" t="s">
        <v>56</v>
      </c>
      <c r="E847" t="s">
        <v>63</v>
      </c>
      <c r="F847">
        <v>1488</v>
      </c>
      <c r="G847">
        <v>417</v>
      </c>
      <c r="H847">
        <v>168</v>
      </c>
      <c r="I847">
        <v>19344</v>
      </c>
      <c r="J847">
        <v>18395</v>
      </c>
      <c r="K847">
        <v>30</v>
      </c>
      <c r="L847" t="s">
        <v>26</v>
      </c>
      <c r="M847">
        <v>0.1071650124069479</v>
      </c>
      <c r="N847" t="s">
        <v>358</v>
      </c>
      <c r="O847" t="s">
        <v>359</v>
      </c>
    </row>
    <row r="848" spans="1:15" x14ac:dyDescent="0.3">
      <c r="A848" t="s">
        <v>336</v>
      </c>
      <c r="B848" t="s">
        <v>14</v>
      </c>
      <c r="C848" s="2">
        <v>45786</v>
      </c>
      <c r="D848" t="s">
        <v>15</v>
      </c>
      <c r="E848" t="s">
        <v>16</v>
      </c>
      <c r="F848">
        <v>3367</v>
      </c>
      <c r="G848">
        <v>302</v>
      </c>
      <c r="H848">
        <v>57</v>
      </c>
      <c r="I848">
        <v>63973</v>
      </c>
      <c r="J848">
        <v>63789</v>
      </c>
      <c r="K848">
        <v>157</v>
      </c>
      <c r="L848" t="s">
        <v>21</v>
      </c>
      <c r="M848">
        <v>5.8243321401216137E-2</v>
      </c>
      <c r="N848" t="s">
        <v>11</v>
      </c>
      <c r="O848" t="s">
        <v>48</v>
      </c>
    </row>
    <row r="849" spans="1:15" x14ac:dyDescent="0.3">
      <c r="A849" t="s">
        <v>336</v>
      </c>
      <c r="B849" t="s">
        <v>14</v>
      </c>
      <c r="C849" s="2">
        <v>45786</v>
      </c>
      <c r="D849" t="s">
        <v>15</v>
      </c>
      <c r="E849" t="s">
        <v>16</v>
      </c>
      <c r="F849">
        <v>3367</v>
      </c>
      <c r="G849">
        <v>302</v>
      </c>
      <c r="H849">
        <v>57</v>
      </c>
      <c r="I849">
        <v>63973</v>
      </c>
      <c r="J849">
        <v>63789</v>
      </c>
      <c r="K849">
        <v>157</v>
      </c>
      <c r="L849" t="s">
        <v>21</v>
      </c>
      <c r="M849">
        <v>5.8243321401216137E-2</v>
      </c>
      <c r="N849" t="s">
        <v>357</v>
      </c>
      <c r="O849" t="s">
        <v>359</v>
      </c>
    </row>
    <row r="850" spans="1:15" x14ac:dyDescent="0.3">
      <c r="A850" t="s">
        <v>336</v>
      </c>
      <c r="B850" t="s">
        <v>14</v>
      </c>
      <c r="C850" s="2">
        <v>45786</v>
      </c>
      <c r="D850" t="s">
        <v>15</v>
      </c>
      <c r="E850" t="s">
        <v>16</v>
      </c>
      <c r="F850">
        <v>3367</v>
      </c>
      <c r="G850">
        <v>302</v>
      </c>
      <c r="H850">
        <v>57</v>
      </c>
      <c r="I850">
        <v>63973</v>
      </c>
      <c r="J850">
        <v>63789</v>
      </c>
      <c r="K850">
        <v>157</v>
      </c>
      <c r="L850" t="s">
        <v>21</v>
      </c>
      <c r="M850">
        <v>5.8243321401216137E-2</v>
      </c>
      <c r="N850" t="s">
        <v>358</v>
      </c>
      <c r="O850" t="s">
        <v>359</v>
      </c>
    </row>
    <row r="851" spans="1:15" x14ac:dyDescent="0.3">
      <c r="A851" t="s">
        <v>337</v>
      </c>
      <c r="B851" t="s">
        <v>14</v>
      </c>
      <c r="C851" s="2">
        <v>45552</v>
      </c>
      <c r="D851" t="s">
        <v>19</v>
      </c>
      <c r="E851" t="s">
        <v>20</v>
      </c>
      <c r="F851">
        <v>571</v>
      </c>
      <c r="G851">
        <v>190</v>
      </c>
      <c r="H851">
        <v>352</v>
      </c>
      <c r="I851">
        <v>9707</v>
      </c>
      <c r="J851">
        <v>9418</v>
      </c>
      <c r="K851">
        <v>231</v>
      </c>
      <c r="L851" t="s">
        <v>32</v>
      </c>
      <c r="M851">
        <v>0.11465952405480581</v>
      </c>
      <c r="N851" t="s">
        <v>11</v>
      </c>
      <c r="O851" t="s">
        <v>25</v>
      </c>
    </row>
    <row r="852" spans="1:15" x14ac:dyDescent="0.3">
      <c r="A852" t="s">
        <v>337</v>
      </c>
      <c r="B852" t="s">
        <v>14</v>
      </c>
      <c r="C852" s="2">
        <v>45552</v>
      </c>
      <c r="D852" t="s">
        <v>19</v>
      </c>
      <c r="E852" t="s">
        <v>20</v>
      </c>
      <c r="F852">
        <v>571</v>
      </c>
      <c r="G852">
        <v>190</v>
      </c>
      <c r="H852">
        <v>352</v>
      </c>
      <c r="I852">
        <v>9707</v>
      </c>
      <c r="J852">
        <v>9418</v>
      </c>
      <c r="K852">
        <v>231</v>
      </c>
      <c r="L852" t="s">
        <v>32</v>
      </c>
      <c r="M852">
        <v>0.11465952405480581</v>
      </c>
      <c r="N852" t="s">
        <v>357</v>
      </c>
      <c r="O852" t="s">
        <v>359</v>
      </c>
    </row>
    <row r="853" spans="1:15" x14ac:dyDescent="0.3">
      <c r="A853" t="s">
        <v>337</v>
      </c>
      <c r="B853" t="s">
        <v>14</v>
      </c>
      <c r="C853" s="2">
        <v>45552</v>
      </c>
      <c r="D853" t="s">
        <v>19</v>
      </c>
      <c r="E853" t="s">
        <v>20</v>
      </c>
      <c r="F853">
        <v>571</v>
      </c>
      <c r="G853">
        <v>190</v>
      </c>
      <c r="H853">
        <v>352</v>
      </c>
      <c r="I853">
        <v>9707</v>
      </c>
      <c r="J853">
        <v>9418</v>
      </c>
      <c r="K853">
        <v>231</v>
      </c>
      <c r="L853" t="s">
        <v>32</v>
      </c>
      <c r="M853">
        <v>0.11465952405480581</v>
      </c>
      <c r="N853" t="s">
        <v>358</v>
      </c>
      <c r="O853" t="s">
        <v>359</v>
      </c>
    </row>
    <row r="854" spans="1:15" x14ac:dyDescent="0.3">
      <c r="A854" t="s">
        <v>338</v>
      </c>
      <c r="B854" t="s">
        <v>23</v>
      </c>
      <c r="C854" s="2">
        <v>45491</v>
      </c>
      <c r="D854" t="s">
        <v>19</v>
      </c>
      <c r="E854" t="s">
        <v>73</v>
      </c>
      <c r="F854">
        <v>4021</v>
      </c>
      <c r="G854">
        <v>794</v>
      </c>
      <c r="H854">
        <v>77</v>
      </c>
      <c r="I854">
        <v>36189</v>
      </c>
      <c r="J854">
        <v>35505</v>
      </c>
      <c r="K854">
        <v>174</v>
      </c>
      <c r="L854" t="s">
        <v>360</v>
      </c>
      <c r="M854">
        <v>0.13517919809886983</v>
      </c>
      <c r="N854" t="s">
        <v>11</v>
      </c>
      <c r="O854" t="s">
        <v>31</v>
      </c>
    </row>
    <row r="855" spans="1:15" x14ac:dyDescent="0.3">
      <c r="A855" t="s">
        <v>338</v>
      </c>
      <c r="B855" t="s">
        <v>23</v>
      </c>
      <c r="C855" s="2">
        <v>45491</v>
      </c>
      <c r="D855" t="s">
        <v>19</v>
      </c>
      <c r="E855" t="s">
        <v>73</v>
      </c>
      <c r="F855">
        <v>4021</v>
      </c>
      <c r="G855">
        <v>794</v>
      </c>
      <c r="H855">
        <v>77</v>
      </c>
      <c r="I855">
        <v>36189</v>
      </c>
      <c r="J855">
        <v>35505</v>
      </c>
      <c r="K855">
        <v>174</v>
      </c>
      <c r="L855" t="s">
        <v>360</v>
      </c>
      <c r="M855">
        <v>0.13517919809886983</v>
      </c>
      <c r="N855" t="s">
        <v>357</v>
      </c>
      <c r="O855" t="s">
        <v>359</v>
      </c>
    </row>
    <row r="856" spans="1:15" x14ac:dyDescent="0.3">
      <c r="A856" t="s">
        <v>338</v>
      </c>
      <c r="B856" t="s">
        <v>23</v>
      </c>
      <c r="C856" s="2">
        <v>45491</v>
      </c>
      <c r="D856" t="s">
        <v>19</v>
      </c>
      <c r="E856" t="s">
        <v>73</v>
      </c>
      <c r="F856">
        <v>4021</v>
      </c>
      <c r="G856">
        <v>794</v>
      </c>
      <c r="H856">
        <v>77</v>
      </c>
      <c r="I856">
        <v>36189</v>
      </c>
      <c r="J856">
        <v>35505</v>
      </c>
      <c r="K856">
        <v>174</v>
      </c>
      <c r="L856" t="s">
        <v>360</v>
      </c>
      <c r="M856">
        <v>0.13517919809886983</v>
      </c>
      <c r="N856" t="s">
        <v>358</v>
      </c>
      <c r="O856" t="s">
        <v>359</v>
      </c>
    </row>
    <row r="857" spans="1:15" x14ac:dyDescent="0.3">
      <c r="A857" t="s">
        <v>339</v>
      </c>
      <c r="B857" t="s">
        <v>23</v>
      </c>
      <c r="C857" s="2">
        <v>45560</v>
      </c>
      <c r="D857" t="s">
        <v>56</v>
      </c>
      <c r="E857" t="s">
        <v>136</v>
      </c>
      <c r="F857">
        <v>3389</v>
      </c>
      <c r="G857">
        <v>344</v>
      </c>
      <c r="H857">
        <v>229</v>
      </c>
      <c r="I857">
        <v>20334</v>
      </c>
      <c r="J857">
        <v>19443</v>
      </c>
      <c r="K857">
        <v>228</v>
      </c>
      <c r="L857" t="s">
        <v>26</v>
      </c>
      <c r="M857">
        <v>0.19484607062063539</v>
      </c>
      <c r="N857" t="s">
        <v>11</v>
      </c>
      <c r="O857" t="s">
        <v>48</v>
      </c>
    </row>
    <row r="858" spans="1:15" x14ac:dyDescent="0.3">
      <c r="A858" t="s">
        <v>339</v>
      </c>
      <c r="B858" t="s">
        <v>23</v>
      </c>
      <c r="C858" s="2">
        <v>45560</v>
      </c>
      <c r="D858" t="s">
        <v>56</v>
      </c>
      <c r="E858" t="s">
        <v>136</v>
      </c>
      <c r="F858">
        <v>3389</v>
      </c>
      <c r="G858">
        <v>344</v>
      </c>
      <c r="H858">
        <v>229</v>
      </c>
      <c r="I858">
        <v>20334</v>
      </c>
      <c r="J858">
        <v>19443</v>
      </c>
      <c r="K858">
        <v>228</v>
      </c>
      <c r="L858" t="s">
        <v>26</v>
      </c>
      <c r="M858">
        <v>0.19484607062063539</v>
      </c>
      <c r="N858" t="s">
        <v>357</v>
      </c>
      <c r="O858" t="s">
        <v>359</v>
      </c>
    </row>
    <row r="859" spans="1:15" x14ac:dyDescent="0.3">
      <c r="A859" t="s">
        <v>339</v>
      </c>
      <c r="B859" t="s">
        <v>23</v>
      </c>
      <c r="C859" s="2">
        <v>45560</v>
      </c>
      <c r="D859" t="s">
        <v>56</v>
      </c>
      <c r="E859" t="s">
        <v>136</v>
      </c>
      <c r="F859">
        <v>3389</v>
      </c>
      <c r="G859">
        <v>344</v>
      </c>
      <c r="H859">
        <v>229</v>
      </c>
      <c r="I859">
        <v>20334</v>
      </c>
      <c r="J859">
        <v>19443</v>
      </c>
      <c r="K859">
        <v>228</v>
      </c>
      <c r="L859" t="s">
        <v>26</v>
      </c>
      <c r="M859">
        <v>0.19484607062063539</v>
      </c>
      <c r="N859" t="s">
        <v>358</v>
      </c>
      <c r="O859" t="s">
        <v>359</v>
      </c>
    </row>
    <row r="860" spans="1:15" x14ac:dyDescent="0.3">
      <c r="A860" t="s">
        <v>340</v>
      </c>
      <c r="B860" t="s">
        <v>28</v>
      </c>
      <c r="C860" s="2">
        <v>45519</v>
      </c>
      <c r="D860" t="s">
        <v>15</v>
      </c>
      <c r="E860" t="s">
        <v>61</v>
      </c>
      <c r="F860">
        <v>1164</v>
      </c>
      <c r="G860">
        <v>616</v>
      </c>
      <c r="H860">
        <v>324</v>
      </c>
      <c r="I860">
        <v>6984</v>
      </c>
      <c r="J860">
        <v>6636</v>
      </c>
      <c r="K860">
        <v>82</v>
      </c>
      <c r="L860" t="s">
        <v>17</v>
      </c>
      <c r="M860">
        <v>0.30126002290950743</v>
      </c>
      <c r="N860" t="s">
        <v>11</v>
      </c>
      <c r="O860" t="s">
        <v>31</v>
      </c>
    </row>
    <row r="861" spans="1:15" x14ac:dyDescent="0.3">
      <c r="A861" t="s">
        <v>340</v>
      </c>
      <c r="B861" t="s">
        <v>28</v>
      </c>
      <c r="C861" s="2">
        <v>45519</v>
      </c>
      <c r="D861" t="s">
        <v>15</v>
      </c>
      <c r="E861" t="s">
        <v>61</v>
      </c>
      <c r="F861">
        <v>1164</v>
      </c>
      <c r="G861">
        <v>616</v>
      </c>
      <c r="H861">
        <v>324</v>
      </c>
      <c r="I861">
        <v>6984</v>
      </c>
      <c r="J861">
        <v>6636</v>
      </c>
      <c r="K861">
        <v>82</v>
      </c>
      <c r="L861" t="s">
        <v>17</v>
      </c>
      <c r="M861">
        <v>0.30126002290950743</v>
      </c>
      <c r="N861" t="s">
        <v>357</v>
      </c>
      <c r="O861" t="s">
        <v>359</v>
      </c>
    </row>
    <row r="862" spans="1:15" x14ac:dyDescent="0.3">
      <c r="A862" t="s">
        <v>340</v>
      </c>
      <c r="B862" t="s">
        <v>28</v>
      </c>
      <c r="C862" s="2">
        <v>45519</v>
      </c>
      <c r="D862" t="s">
        <v>15</v>
      </c>
      <c r="E862" t="s">
        <v>61</v>
      </c>
      <c r="F862">
        <v>1164</v>
      </c>
      <c r="G862">
        <v>616</v>
      </c>
      <c r="H862">
        <v>324</v>
      </c>
      <c r="I862">
        <v>6984</v>
      </c>
      <c r="J862">
        <v>6636</v>
      </c>
      <c r="K862">
        <v>82</v>
      </c>
      <c r="L862" t="s">
        <v>17</v>
      </c>
      <c r="M862">
        <v>0.30126002290950743</v>
      </c>
      <c r="N862" t="s">
        <v>358</v>
      </c>
      <c r="O862" t="s">
        <v>359</v>
      </c>
    </row>
    <row r="863" spans="1:15" x14ac:dyDescent="0.3">
      <c r="A863" t="s">
        <v>341</v>
      </c>
      <c r="B863" t="s">
        <v>23</v>
      </c>
      <c r="C863" s="2">
        <v>45764</v>
      </c>
      <c r="D863" t="s">
        <v>36</v>
      </c>
      <c r="E863" t="s">
        <v>52</v>
      </c>
      <c r="F863">
        <v>4780</v>
      </c>
      <c r="G863">
        <v>691</v>
      </c>
      <c r="H863">
        <v>380</v>
      </c>
      <c r="I863">
        <v>86040</v>
      </c>
      <c r="J863">
        <v>85743</v>
      </c>
      <c r="K863">
        <v>262</v>
      </c>
      <c r="L863" t="s">
        <v>26</v>
      </c>
      <c r="M863">
        <v>6.800325430032543E-2</v>
      </c>
      <c r="N863" t="s">
        <v>11</v>
      </c>
      <c r="O863" t="s">
        <v>48</v>
      </c>
    </row>
    <row r="864" spans="1:15" x14ac:dyDescent="0.3">
      <c r="A864" t="s">
        <v>341</v>
      </c>
      <c r="B864" t="s">
        <v>23</v>
      </c>
      <c r="C864" s="2">
        <v>45764</v>
      </c>
      <c r="D864" t="s">
        <v>36</v>
      </c>
      <c r="E864" t="s">
        <v>52</v>
      </c>
      <c r="F864">
        <v>4780</v>
      </c>
      <c r="G864">
        <v>691</v>
      </c>
      <c r="H864">
        <v>380</v>
      </c>
      <c r="I864">
        <v>86040</v>
      </c>
      <c r="J864">
        <v>85743</v>
      </c>
      <c r="K864">
        <v>262</v>
      </c>
      <c r="L864" t="s">
        <v>26</v>
      </c>
      <c r="M864">
        <v>6.800325430032543E-2</v>
      </c>
      <c r="N864" t="s">
        <v>357</v>
      </c>
      <c r="O864" t="s">
        <v>359</v>
      </c>
    </row>
    <row r="865" spans="1:15" x14ac:dyDescent="0.3">
      <c r="A865" t="s">
        <v>341</v>
      </c>
      <c r="B865" t="s">
        <v>23</v>
      </c>
      <c r="C865" s="2">
        <v>45764</v>
      </c>
      <c r="D865" t="s">
        <v>36</v>
      </c>
      <c r="E865" t="s">
        <v>52</v>
      </c>
      <c r="F865">
        <v>4780</v>
      </c>
      <c r="G865">
        <v>691</v>
      </c>
      <c r="H865">
        <v>380</v>
      </c>
      <c r="I865">
        <v>86040</v>
      </c>
      <c r="J865">
        <v>85743</v>
      </c>
      <c r="K865">
        <v>262</v>
      </c>
      <c r="L865" t="s">
        <v>26</v>
      </c>
      <c r="M865">
        <v>6.800325430032543E-2</v>
      </c>
      <c r="N865" t="s">
        <v>358</v>
      </c>
      <c r="O865" t="s">
        <v>359</v>
      </c>
    </row>
    <row r="866" spans="1:15" x14ac:dyDescent="0.3">
      <c r="A866" t="s">
        <v>342</v>
      </c>
      <c r="B866" t="s">
        <v>35</v>
      </c>
      <c r="C866" s="2">
        <v>45624</v>
      </c>
      <c r="D866" t="s">
        <v>36</v>
      </c>
      <c r="E866" t="s">
        <v>37</v>
      </c>
      <c r="F866">
        <v>2751</v>
      </c>
      <c r="G866">
        <v>33</v>
      </c>
      <c r="H866">
        <v>430</v>
      </c>
      <c r="I866">
        <v>44016</v>
      </c>
      <c r="J866">
        <v>43415</v>
      </c>
      <c r="K866">
        <v>129</v>
      </c>
      <c r="L866" t="s">
        <v>360</v>
      </c>
      <c r="M866">
        <v>7.3018902217375503E-2</v>
      </c>
      <c r="N866" t="s">
        <v>11</v>
      </c>
      <c r="O866" t="s">
        <v>48</v>
      </c>
    </row>
    <row r="867" spans="1:15" x14ac:dyDescent="0.3">
      <c r="A867" t="s">
        <v>342</v>
      </c>
      <c r="B867" t="s">
        <v>35</v>
      </c>
      <c r="C867" s="2">
        <v>45624</v>
      </c>
      <c r="D867" t="s">
        <v>36</v>
      </c>
      <c r="E867" t="s">
        <v>37</v>
      </c>
      <c r="F867">
        <v>2751</v>
      </c>
      <c r="G867">
        <v>33</v>
      </c>
      <c r="H867">
        <v>430</v>
      </c>
      <c r="I867">
        <v>44016</v>
      </c>
      <c r="J867">
        <v>43415</v>
      </c>
      <c r="K867">
        <v>129</v>
      </c>
      <c r="L867" t="s">
        <v>360</v>
      </c>
      <c r="M867">
        <v>7.3018902217375503E-2</v>
      </c>
      <c r="N867" t="s">
        <v>357</v>
      </c>
      <c r="O867" t="s">
        <v>359</v>
      </c>
    </row>
    <row r="868" spans="1:15" x14ac:dyDescent="0.3">
      <c r="A868" t="s">
        <v>342</v>
      </c>
      <c r="B868" t="s">
        <v>35</v>
      </c>
      <c r="C868" s="2">
        <v>45624</v>
      </c>
      <c r="D868" t="s">
        <v>36</v>
      </c>
      <c r="E868" t="s">
        <v>37</v>
      </c>
      <c r="F868">
        <v>2751</v>
      </c>
      <c r="G868">
        <v>33</v>
      </c>
      <c r="H868">
        <v>430</v>
      </c>
      <c r="I868">
        <v>44016</v>
      </c>
      <c r="J868">
        <v>43415</v>
      </c>
      <c r="K868">
        <v>129</v>
      </c>
      <c r="L868" t="s">
        <v>360</v>
      </c>
      <c r="M868">
        <v>7.3018902217375503E-2</v>
      </c>
      <c r="N868" t="s">
        <v>358</v>
      </c>
      <c r="O868" t="s">
        <v>359</v>
      </c>
    </row>
    <row r="869" spans="1:15" x14ac:dyDescent="0.3">
      <c r="A869" t="s">
        <v>343</v>
      </c>
      <c r="B869" t="s">
        <v>28</v>
      </c>
      <c r="C869" s="2">
        <v>45646</v>
      </c>
      <c r="D869" t="s">
        <v>36</v>
      </c>
      <c r="E869" t="s">
        <v>65</v>
      </c>
      <c r="F869">
        <v>2107</v>
      </c>
      <c r="G869">
        <v>550</v>
      </c>
      <c r="H869">
        <v>349</v>
      </c>
      <c r="I869">
        <v>35819</v>
      </c>
      <c r="J869">
        <v>35340</v>
      </c>
      <c r="K869">
        <v>191</v>
      </c>
      <c r="L869" t="s">
        <v>32</v>
      </c>
      <c r="M869">
        <v>8.3921940869371006E-2</v>
      </c>
      <c r="N869" t="s">
        <v>11</v>
      </c>
      <c r="O869" t="s">
        <v>31</v>
      </c>
    </row>
    <row r="870" spans="1:15" x14ac:dyDescent="0.3">
      <c r="A870" t="s">
        <v>343</v>
      </c>
      <c r="B870" t="s">
        <v>28</v>
      </c>
      <c r="C870" s="2">
        <v>45646</v>
      </c>
      <c r="D870" t="s">
        <v>36</v>
      </c>
      <c r="E870" t="s">
        <v>65</v>
      </c>
      <c r="F870">
        <v>2107</v>
      </c>
      <c r="G870">
        <v>550</v>
      </c>
      <c r="H870">
        <v>349</v>
      </c>
      <c r="I870">
        <v>35819</v>
      </c>
      <c r="J870">
        <v>35340</v>
      </c>
      <c r="K870">
        <v>191</v>
      </c>
      <c r="L870" t="s">
        <v>32</v>
      </c>
      <c r="M870">
        <v>8.3921940869371006E-2</v>
      </c>
      <c r="N870" t="s">
        <v>357</v>
      </c>
      <c r="O870" t="s">
        <v>359</v>
      </c>
    </row>
    <row r="871" spans="1:15" x14ac:dyDescent="0.3">
      <c r="A871" t="s">
        <v>343</v>
      </c>
      <c r="B871" t="s">
        <v>28</v>
      </c>
      <c r="C871" s="2">
        <v>45646</v>
      </c>
      <c r="D871" t="s">
        <v>36</v>
      </c>
      <c r="E871" t="s">
        <v>65</v>
      </c>
      <c r="F871">
        <v>2107</v>
      </c>
      <c r="G871">
        <v>550</v>
      </c>
      <c r="H871">
        <v>349</v>
      </c>
      <c r="I871">
        <v>35819</v>
      </c>
      <c r="J871">
        <v>35340</v>
      </c>
      <c r="K871">
        <v>191</v>
      </c>
      <c r="L871" t="s">
        <v>32</v>
      </c>
      <c r="M871">
        <v>8.3921940869371006E-2</v>
      </c>
      <c r="N871" t="s">
        <v>358</v>
      </c>
      <c r="O871" t="s">
        <v>359</v>
      </c>
    </row>
    <row r="872" spans="1:15" x14ac:dyDescent="0.3">
      <c r="A872" t="s">
        <v>344</v>
      </c>
      <c r="B872" t="s">
        <v>35</v>
      </c>
      <c r="C872" s="2">
        <v>45602</v>
      </c>
      <c r="D872" t="s">
        <v>56</v>
      </c>
      <c r="E872" t="s">
        <v>57</v>
      </c>
      <c r="F872">
        <v>4663</v>
      </c>
      <c r="G872">
        <v>145</v>
      </c>
      <c r="H872">
        <v>225</v>
      </c>
      <c r="I872">
        <v>69945</v>
      </c>
      <c r="J872">
        <v>69596</v>
      </c>
      <c r="K872">
        <v>35</v>
      </c>
      <c r="L872" t="s">
        <v>32</v>
      </c>
      <c r="M872">
        <v>7.1956537279290869E-2</v>
      </c>
      <c r="N872" t="s">
        <v>11</v>
      </c>
      <c r="O872" t="s">
        <v>31</v>
      </c>
    </row>
    <row r="873" spans="1:15" x14ac:dyDescent="0.3">
      <c r="A873" t="s">
        <v>344</v>
      </c>
      <c r="B873" t="s">
        <v>35</v>
      </c>
      <c r="C873" s="2">
        <v>45602</v>
      </c>
      <c r="D873" t="s">
        <v>56</v>
      </c>
      <c r="E873" t="s">
        <v>57</v>
      </c>
      <c r="F873">
        <v>4663</v>
      </c>
      <c r="G873">
        <v>145</v>
      </c>
      <c r="H873">
        <v>225</v>
      </c>
      <c r="I873">
        <v>69945</v>
      </c>
      <c r="J873">
        <v>69596</v>
      </c>
      <c r="K873">
        <v>35</v>
      </c>
      <c r="L873" t="s">
        <v>32</v>
      </c>
      <c r="M873">
        <v>7.1956537279290869E-2</v>
      </c>
      <c r="N873" t="s">
        <v>357</v>
      </c>
      <c r="O873" t="s">
        <v>359</v>
      </c>
    </row>
    <row r="874" spans="1:15" x14ac:dyDescent="0.3">
      <c r="A874" t="s">
        <v>344</v>
      </c>
      <c r="B874" t="s">
        <v>35</v>
      </c>
      <c r="C874" s="2">
        <v>45602</v>
      </c>
      <c r="D874" t="s">
        <v>56</v>
      </c>
      <c r="E874" t="s">
        <v>57</v>
      </c>
      <c r="F874">
        <v>4663</v>
      </c>
      <c r="G874">
        <v>145</v>
      </c>
      <c r="H874">
        <v>225</v>
      </c>
      <c r="I874">
        <v>69945</v>
      </c>
      <c r="J874">
        <v>69596</v>
      </c>
      <c r="K874">
        <v>35</v>
      </c>
      <c r="L874" t="s">
        <v>32</v>
      </c>
      <c r="M874">
        <v>7.1956537279290869E-2</v>
      </c>
      <c r="N874" t="s">
        <v>358</v>
      </c>
      <c r="O874" t="s">
        <v>359</v>
      </c>
    </row>
    <row r="875" spans="1:15" x14ac:dyDescent="0.3">
      <c r="A875" t="s">
        <v>345</v>
      </c>
      <c r="B875" t="s">
        <v>35</v>
      </c>
      <c r="C875" s="2">
        <v>45613</v>
      </c>
      <c r="D875" t="s">
        <v>19</v>
      </c>
      <c r="E875" t="s">
        <v>44</v>
      </c>
      <c r="F875">
        <v>880</v>
      </c>
      <c r="G875">
        <v>297</v>
      </c>
      <c r="H875">
        <v>345</v>
      </c>
      <c r="I875">
        <v>12320</v>
      </c>
      <c r="J875">
        <v>11978</v>
      </c>
      <c r="K875">
        <v>238</v>
      </c>
      <c r="L875" t="s">
        <v>360</v>
      </c>
      <c r="M875">
        <v>0.12353896103896105</v>
      </c>
      <c r="N875" t="s">
        <v>11</v>
      </c>
      <c r="O875" t="s">
        <v>25</v>
      </c>
    </row>
    <row r="876" spans="1:15" x14ac:dyDescent="0.3">
      <c r="A876" t="s">
        <v>345</v>
      </c>
      <c r="B876" t="s">
        <v>35</v>
      </c>
      <c r="C876" s="2">
        <v>45613</v>
      </c>
      <c r="D876" t="s">
        <v>19</v>
      </c>
      <c r="E876" t="s">
        <v>44</v>
      </c>
      <c r="F876">
        <v>880</v>
      </c>
      <c r="G876">
        <v>297</v>
      </c>
      <c r="H876">
        <v>345</v>
      </c>
      <c r="I876">
        <v>12320</v>
      </c>
      <c r="J876">
        <v>11978</v>
      </c>
      <c r="K876">
        <v>238</v>
      </c>
      <c r="L876" t="s">
        <v>360</v>
      </c>
      <c r="M876">
        <v>0.12353896103896105</v>
      </c>
      <c r="N876" t="s">
        <v>357</v>
      </c>
      <c r="O876" t="s">
        <v>354</v>
      </c>
    </row>
    <row r="877" spans="1:15" x14ac:dyDescent="0.3">
      <c r="A877" t="s">
        <v>345</v>
      </c>
      <c r="B877" t="s">
        <v>35</v>
      </c>
      <c r="C877" s="2">
        <v>45613</v>
      </c>
      <c r="D877" t="s">
        <v>19</v>
      </c>
      <c r="E877" t="s">
        <v>44</v>
      </c>
      <c r="F877">
        <v>880</v>
      </c>
      <c r="G877">
        <v>297</v>
      </c>
      <c r="H877">
        <v>345</v>
      </c>
      <c r="I877">
        <v>12320</v>
      </c>
      <c r="J877">
        <v>11978</v>
      </c>
      <c r="K877">
        <v>238</v>
      </c>
      <c r="L877" t="s">
        <v>360</v>
      </c>
      <c r="M877">
        <v>0.12353896103896105</v>
      </c>
      <c r="N877" t="s">
        <v>358</v>
      </c>
      <c r="O877" t="s">
        <v>359</v>
      </c>
    </row>
    <row r="878" spans="1:15" x14ac:dyDescent="0.3">
      <c r="A878" t="s">
        <v>346</v>
      </c>
      <c r="B878" t="s">
        <v>35</v>
      </c>
      <c r="C878" s="2">
        <v>45791</v>
      </c>
      <c r="D878" t="s">
        <v>19</v>
      </c>
      <c r="E878" t="s">
        <v>44</v>
      </c>
      <c r="F878">
        <v>2634</v>
      </c>
      <c r="G878">
        <v>726</v>
      </c>
      <c r="H878">
        <v>241</v>
      </c>
      <c r="I878">
        <v>28974</v>
      </c>
      <c r="J878">
        <v>28102</v>
      </c>
      <c r="K878">
        <v>277</v>
      </c>
      <c r="L878" t="s">
        <v>17</v>
      </c>
      <c r="M878">
        <v>0.12428384068475185</v>
      </c>
      <c r="N878" t="s">
        <v>11</v>
      </c>
      <c r="O878" t="s">
        <v>31</v>
      </c>
    </row>
    <row r="879" spans="1:15" x14ac:dyDescent="0.3">
      <c r="A879" t="s">
        <v>346</v>
      </c>
      <c r="B879" t="s">
        <v>35</v>
      </c>
      <c r="C879" s="2">
        <v>45791</v>
      </c>
      <c r="D879" t="s">
        <v>19</v>
      </c>
      <c r="E879" t="s">
        <v>44</v>
      </c>
      <c r="F879">
        <v>2634</v>
      </c>
      <c r="G879">
        <v>726</v>
      </c>
      <c r="H879">
        <v>241</v>
      </c>
      <c r="I879">
        <v>28974</v>
      </c>
      <c r="J879">
        <v>28102</v>
      </c>
      <c r="K879">
        <v>277</v>
      </c>
      <c r="L879" t="s">
        <v>17</v>
      </c>
      <c r="M879">
        <v>0.12428384068475185</v>
      </c>
      <c r="N879" t="s">
        <v>357</v>
      </c>
      <c r="O879" t="s">
        <v>359</v>
      </c>
    </row>
    <row r="880" spans="1:15" x14ac:dyDescent="0.3">
      <c r="A880" t="s">
        <v>346</v>
      </c>
      <c r="B880" t="s">
        <v>35</v>
      </c>
      <c r="C880" s="2">
        <v>45791</v>
      </c>
      <c r="D880" t="s">
        <v>19</v>
      </c>
      <c r="E880" t="s">
        <v>44</v>
      </c>
      <c r="F880">
        <v>2634</v>
      </c>
      <c r="G880">
        <v>726</v>
      </c>
      <c r="H880">
        <v>241</v>
      </c>
      <c r="I880">
        <v>28974</v>
      </c>
      <c r="J880">
        <v>28102</v>
      </c>
      <c r="K880">
        <v>277</v>
      </c>
      <c r="L880" t="s">
        <v>17</v>
      </c>
      <c r="M880">
        <v>0.12428384068475185</v>
      </c>
      <c r="N880" t="s">
        <v>358</v>
      </c>
      <c r="O880" t="s">
        <v>359</v>
      </c>
    </row>
    <row r="881" spans="1:15" x14ac:dyDescent="0.3">
      <c r="A881" t="s">
        <v>347</v>
      </c>
      <c r="B881" t="s">
        <v>35</v>
      </c>
      <c r="C881" s="2">
        <v>45462</v>
      </c>
      <c r="D881" t="s">
        <v>36</v>
      </c>
      <c r="E881" t="s">
        <v>37</v>
      </c>
      <c r="F881">
        <v>4731</v>
      </c>
      <c r="G881">
        <v>173</v>
      </c>
      <c r="H881">
        <v>276</v>
      </c>
      <c r="I881">
        <v>28386</v>
      </c>
      <c r="J881">
        <v>28185</v>
      </c>
      <c r="K881">
        <v>89</v>
      </c>
      <c r="L881" t="s">
        <v>26</v>
      </c>
      <c r="M881">
        <v>0.18248432325794406</v>
      </c>
      <c r="N881" t="s">
        <v>11</v>
      </c>
      <c r="O881" t="s">
        <v>31</v>
      </c>
    </row>
    <row r="882" spans="1:15" x14ac:dyDescent="0.3">
      <c r="A882" t="s">
        <v>347</v>
      </c>
      <c r="B882" t="s">
        <v>35</v>
      </c>
      <c r="C882" s="2">
        <v>45462</v>
      </c>
      <c r="D882" t="s">
        <v>36</v>
      </c>
      <c r="E882" t="s">
        <v>37</v>
      </c>
      <c r="F882">
        <v>4731</v>
      </c>
      <c r="G882">
        <v>173</v>
      </c>
      <c r="H882">
        <v>276</v>
      </c>
      <c r="I882">
        <v>28386</v>
      </c>
      <c r="J882">
        <v>28185</v>
      </c>
      <c r="K882">
        <v>89</v>
      </c>
      <c r="L882" t="s">
        <v>26</v>
      </c>
      <c r="M882">
        <v>0.18248432325794406</v>
      </c>
      <c r="N882" t="s">
        <v>357</v>
      </c>
      <c r="O882" t="s">
        <v>359</v>
      </c>
    </row>
    <row r="883" spans="1:15" x14ac:dyDescent="0.3">
      <c r="A883" t="s">
        <v>347</v>
      </c>
      <c r="B883" t="s">
        <v>35</v>
      </c>
      <c r="C883" s="2">
        <v>45462</v>
      </c>
      <c r="D883" t="s">
        <v>36</v>
      </c>
      <c r="E883" t="s">
        <v>37</v>
      </c>
      <c r="F883">
        <v>4731</v>
      </c>
      <c r="G883">
        <v>173</v>
      </c>
      <c r="H883">
        <v>276</v>
      </c>
      <c r="I883">
        <v>28386</v>
      </c>
      <c r="J883">
        <v>28185</v>
      </c>
      <c r="K883">
        <v>89</v>
      </c>
      <c r="L883" t="s">
        <v>26</v>
      </c>
      <c r="M883">
        <v>0.18248432325794406</v>
      </c>
      <c r="N883" t="s">
        <v>358</v>
      </c>
      <c r="O883" t="s">
        <v>359</v>
      </c>
    </row>
    <row r="884" spans="1:15" x14ac:dyDescent="0.3">
      <c r="A884" t="s">
        <v>348</v>
      </c>
      <c r="B884" t="s">
        <v>14</v>
      </c>
      <c r="C884" s="2">
        <v>45783</v>
      </c>
      <c r="D884" t="s">
        <v>41</v>
      </c>
      <c r="E884" t="s">
        <v>88</v>
      </c>
      <c r="F884">
        <v>1952</v>
      </c>
      <c r="G884">
        <v>344</v>
      </c>
      <c r="H884">
        <v>287</v>
      </c>
      <c r="I884">
        <v>15616</v>
      </c>
      <c r="J884">
        <v>15403</v>
      </c>
      <c r="K884">
        <v>235</v>
      </c>
      <c r="L884" t="s">
        <v>21</v>
      </c>
      <c r="M884">
        <v>0.16540727459016394</v>
      </c>
      <c r="N884" t="s">
        <v>11</v>
      </c>
      <c r="O884" t="s">
        <v>48</v>
      </c>
    </row>
    <row r="885" spans="1:15" x14ac:dyDescent="0.3">
      <c r="A885" t="s">
        <v>348</v>
      </c>
      <c r="B885" t="s">
        <v>14</v>
      </c>
      <c r="C885" s="2">
        <v>45783</v>
      </c>
      <c r="D885" t="s">
        <v>41</v>
      </c>
      <c r="E885" t="s">
        <v>88</v>
      </c>
      <c r="F885">
        <v>1952</v>
      </c>
      <c r="G885">
        <v>344</v>
      </c>
      <c r="H885">
        <v>287</v>
      </c>
      <c r="I885">
        <v>15616</v>
      </c>
      <c r="J885">
        <v>15403</v>
      </c>
      <c r="K885">
        <v>235</v>
      </c>
      <c r="L885" t="s">
        <v>21</v>
      </c>
      <c r="M885">
        <v>0.16540727459016394</v>
      </c>
      <c r="N885" t="s">
        <v>357</v>
      </c>
      <c r="O885" t="s">
        <v>25</v>
      </c>
    </row>
    <row r="886" spans="1:15" x14ac:dyDescent="0.3">
      <c r="A886" t="s">
        <v>348</v>
      </c>
      <c r="B886" t="s">
        <v>14</v>
      </c>
      <c r="C886" s="2">
        <v>45783</v>
      </c>
      <c r="D886" t="s">
        <v>41</v>
      </c>
      <c r="E886" t="s">
        <v>88</v>
      </c>
      <c r="F886">
        <v>1952</v>
      </c>
      <c r="G886">
        <v>344</v>
      </c>
      <c r="H886">
        <v>287</v>
      </c>
      <c r="I886">
        <v>15616</v>
      </c>
      <c r="J886">
        <v>15403</v>
      </c>
      <c r="K886">
        <v>235</v>
      </c>
      <c r="L886" t="s">
        <v>21</v>
      </c>
      <c r="M886">
        <v>0.16540727459016394</v>
      </c>
      <c r="N886" t="s">
        <v>358</v>
      </c>
      <c r="O886" t="s">
        <v>354</v>
      </c>
    </row>
    <row r="887" spans="1:15" x14ac:dyDescent="0.3">
      <c r="A887" t="s">
        <v>349</v>
      </c>
      <c r="B887" t="s">
        <v>14</v>
      </c>
      <c r="C887" s="2">
        <v>45699</v>
      </c>
      <c r="D887" t="s">
        <v>56</v>
      </c>
      <c r="E887" t="s">
        <v>95</v>
      </c>
      <c r="F887">
        <v>3440</v>
      </c>
      <c r="G887">
        <v>13</v>
      </c>
      <c r="H887">
        <v>20</v>
      </c>
      <c r="I887">
        <v>58480</v>
      </c>
      <c r="J887">
        <v>58146</v>
      </c>
      <c r="K887">
        <v>210</v>
      </c>
      <c r="L887" t="s">
        <v>32</v>
      </c>
      <c r="M887">
        <v>5.9387824897400819E-2</v>
      </c>
      <c r="N887" t="s">
        <v>11</v>
      </c>
      <c r="O887" t="s">
        <v>25</v>
      </c>
    </row>
    <row r="888" spans="1:15" x14ac:dyDescent="0.3">
      <c r="A888" t="s">
        <v>349</v>
      </c>
      <c r="B888" t="s">
        <v>14</v>
      </c>
      <c r="C888" s="2">
        <v>45699</v>
      </c>
      <c r="D888" t="s">
        <v>56</v>
      </c>
      <c r="E888" t="s">
        <v>95</v>
      </c>
      <c r="F888">
        <v>3440</v>
      </c>
      <c r="G888">
        <v>13</v>
      </c>
      <c r="H888">
        <v>20</v>
      </c>
      <c r="I888">
        <v>58480</v>
      </c>
      <c r="J888">
        <v>58146</v>
      </c>
      <c r="K888">
        <v>210</v>
      </c>
      <c r="L888" t="s">
        <v>32</v>
      </c>
      <c r="M888">
        <v>5.9387824897400819E-2</v>
      </c>
      <c r="N888" t="s">
        <v>357</v>
      </c>
      <c r="O888" t="s">
        <v>356</v>
      </c>
    </row>
    <row r="889" spans="1:15" x14ac:dyDescent="0.3">
      <c r="A889" t="s">
        <v>349</v>
      </c>
      <c r="B889" t="s">
        <v>14</v>
      </c>
      <c r="C889" s="2">
        <v>45699</v>
      </c>
      <c r="D889" t="s">
        <v>56</v>
      </c>
      <c r="E889" t="s">
        <v>95</v>
      </c>
      <c r="F889">
        <v>3440</v>
      </c>
      <c r="G889">
        <v>13</v>
      </c>
      <c r="H889">
        <v>20</v>
      </c>
      <c r="I889">
        <v>58480</v>
      </c>
      <c r="J889">
        <v>58146</v>
      </c>
      <c r="K889">
        <v>210</v>
      </c>
      <c r="L889" t="s">
        <v>32</v>
      </c>
      <c r="M889">
        <v>5.9387824897400819E-2</v>
      </c>
      <c r="N889" t="s">
        <v>358</v>
      </c>
      <c r="O889" t="s">
        <v>359</v>
      </c>
    </row>
    <row r="890" spans="1:15" x14ac:dyDescent="0.3">
      <c r="A890" t="s">
        <v>350</v>
      </c>
      <c r="B890" t="s">
        <v>14</v>
      </c>
      <c r="C890" s="2">
        <v>45650</v>
      </c>
      <c r="D890" t="s">
        <v>19</v>
      </c>
      <c r="E890" t="s">
        <v>20</v>
      </c>
      <c r="F890">
        <v>2166</v>
      </c>
      <c r="G890">
        <v>354</v>
      </c>
      <c r="H890">
        <v>117</v>
      </c>
      <c r="I890">
        <v>10830</v>
      </c>
      <c r="J890">
        <v>10245</v>
      </c>
      <c r="K890">
        <v>24</v>
      </c>
      <c r="L890" t="s">
        <v>32</v>
      </c>
      <c r="M890">
        <v>0.24349030470914126</v>
      </c>
      <c r="N890" t="s">
        <v>11</v>
      </c>
      <c r="O890" t="s">
        <v>31</v>
      </c>
    </row>
    <row r="891" spans="1:15" x14ac:dyDescent="0.3">
      <c r="A891" t="s">
        <v>350</v>
      </c>
      <c r="B891" t="s">
        <v>14</v>
      </c>
      <c r="C891" s="2">
        <v>45650</v>
      </c>
      <c r="D891" t="s">
        <v>19</v>
      </c>
      <c r="E891" t="s">
        <v>20</v>
      </c>
      <c r="F891">
        <v>2166</v>
      </c>
      <c r="G891">
        <v>354</v>
      </c>
      <c r="H891">
        <v>117</v>
      </c>
      <c r="I891">
        <v>10830</v>
      </c>
      <c r="J891">
        <v>10245</v>
      </c>
      <c r="K891">
        <v>24</v>
      </c>
      <c r="L891" t="s">
        <v>32</v>
      </c>
      <c r="M891">
        <v>0.24349030470914126</v>
      </c>
      <c r="N891" t="s">
        <v>357</v>
      </c>
      <c r="O891" t="s">
        <v>359</v>
      </c>
    </row>
    <row r="892" spans="1:15" x14ac:dyDescent="0.3">
      <c r="A892" t="s">
        <v>350</v>
      </c>
      <c r="B892" t="s">
        <v>14</v>
      </c>
      <c r="C892" s="2">
        <v>45650</v>
      </c>
      <c r="D892" t="s">
        <v>19</v>
      </c>
      <c r="E892" t="s">
        <v>20</v>
      </c>
      <c r="F892">
        <v>2166</v>
      </c>
      <c r="G892">
        <v>354</v>
      </c>
      <c r="H892">
        <v>117</v>
      </c>
      <c r="I892">
        <v>10830</v>
      </c>
      <c r="J892">
        <v>10245</v>
      </c>
      <c r="K892">
        <v>24</v>
      </c>
      <c r="L892" t="s">
        <v>32</v>
      </c>
      <c r="M892">
        <v>0.24349030470914126</v>
      </c>
      <c r="N892" t="s">
        <v>358</v>
      </c>
      <c r="O892" t="s">
        <v>359</v>
      </c>
    </row>
    <row r="893" spans="1:15" x14ac:dyDescent="0.3">
      <c r="A893" t="s">
        <v>351</v>
      </c>
      <c r="B893" t="s">
        <v>35</v>
      </c>
      <c r="C893" s="2">
        <v>45589</v>
      </c>
      <c r="D893" t="s">
        <v>41</v>
      </c>
      <c r="E893" t="s">
        <v>46</v>
      </c>
      <c r="F893">
        <v>4303</v>
      </c>
      <c r="G893">
        <v>451</v>
      </c>
      <c r="H893">
        <v>286</v>
      </c>
      <c r="I893">
        <v>86060</v>
      </c>
      <c r="J893">
        <v>85823</v>
      </c>
      <c r="K893">
        <v>14</v>
      </c>
      <c r="L893" t="s">
        <v>26</v>
      </c>
      <c r="M893">
        <v>5.8563792702765516E-2</v>
      </c>
      <c r="N893" t="s">
        <v>11</v>
      </c>
      <c r="O893" t="s">
        <v>25</v>
      </c>
    </row>
    <row r="894" spans="1:15" x14ac:dyDescent="0.3">
      <c r="A894" t="s">
        <v>351</v>
      </c>
      <c r="B894" t="s">
        <v>35</v>
      </c>
      <c r="C894" s="2">
        <v>45589</v>
      </c>
      <c r="D894" t="s">
        <v>41</v>
      </c>
      <c r="E894" t="s">
        <v>46</v>
      </c>
      <c r="F894">
        <v>4303</v>
      </c>
      <c r="G894">
        <v>451</v>
      </c>
      <c r="H894">
        <v>286</v>
      </c>
      <c r="I894">
        <v>86060</v>
      </c>
      <c r="J894">
        <v>85823</v>
      </c>
      <c r="K894">
        <v>14</v>
      </c>
      <c r="L894" t="s">
        <v>26</v>
      </c>
      <c r="M894">
        <v>5.8563792702765516E-2</v>
      </c>
      <c r="N894" t="s">
        <v>357</v>
      </c>
      <c r="O894" t="s">
        <v>359</v>
      </c>
    </row>
    <row r="895" spans="1:15" x14ac:dyDescent="0.3">
      <c r="A895" t="s">
        <v>351</v>
      </c>
      <c r="B895" t="s">
        <v>35</v>
      </c>
      <c r="C895" s="2">
        <v>45589</v>
      </c>
      <c r="D895" t="s">
        <v>41</v>
      </c>
      <c r="E895" t="s">
        <v>46</v>
      </c>
      <c r="F895">
        <v>4303</v>
      </c>
      <c r="G895">
        <v>451</v>
      </c>
      <c r="H895">
        <v>286</v>
      </c>
      <c r="I895">
        <v>86060</v>
      </c>
      <c r="J895">
        <v>85823</v>
      </c>
      <c r="K895">
        <v>14</v>
      </c>
      <c r="L895" t="s">
        <v>26</v>
      </c>
      <c r="M895">
        <v>5.8563792702765516E-2</v>
      </c>
      <c r="N895" t="s">
        <v>358</v>
      </c>
      <c r="O895" t="s">
        <v>359</v>
      </c>
    </row>
    <row r="896" spans="1:15" x14ac:dyDescent="0.3">
      <c r="A896" t="s">
        <v>352</v>
      </c>
      <c r="B896" t="s">
        <v>35</v>
      </c>
      <c r="C896" s="2">
        <v>45530</v>
      </c>
      <c r="D896" t="s">
        <v>41</v>
      </c>
      <c r="E896" t="s">
        <v>46</v>
      </c>
      <c r="F896">
        <v>2581</v>
      </c>
      <c r="G896">
        <v>517</v>
      </c>
      <c r="H896">
        <v>117</v>
      </c>
      <c r="I896">
        <v>23229</v>
      </c>
      <c r="J896">
        <v>22331</v>
      </c>
      <c r="K896">
        <v>70</v>
      </c>
      <c r="L896" t="s">
        <v>26</v>
      </c>
      <c r="M896">
        <v>0.13840458048129492</v>
      </c>
      <c r="N896" t="s">
        <v>11</v>
      </c>
      <c r="O896" t="s">
        <v>48</v>
      </c>
    </row>
    <row r="897" spans="1:15" x14ac:dyDescent="0.3">
      <c r="A897" t="s">
        <v>352</v>
      </c>
      <c r="B897" t="s">
        <v>35</v>
      </c>
      <c r="C897" s="2">
        <v>45530</v>
      </c>
      <c r="D897" t="s">
        <v>41</v>
      </c>
      <c r="E897" t="s">
        <v>46</v>
      </c>
      <c r="F897">
        <v>2581</v>
      </c>
      <c r="G897">
        <v>517</v>
      </c>
      <c r="H897">
        <v>117</v>
      </c>
      <c r="I897">
        <v>23229</v>
      </c>
      <c r="J897">
        <v>22331</v>
      </c>
      <c r="K897">
        <v>70</v>
      </c>
      <c r="L897" t="s">
        <v>26</v>
      </c>
      <c r="M897">
        <v>0.13840458048129492</v>
      </c>
      <c r="N897" t="s">
        <v>357</v>
      </c>
      <c r="O897" t="s">
        <v>359</v>
      </c>
    </row>
    <row r="898" spans="1:15" x14ac:dyDescent="0.3">
      <c r="A898" t="s">
        <v>352</v>
      </c>
      <c r="B898" t="s">
        <v>35</v>
      </c>
      <c r="C898" s="2">
        <v>45530</v>
      </c>
      <c r="D898" t="s">
        <v>41</v>
      </c>
      <c r="E898" t="s">
        <v>46</v>
      </c>
      <c r="F898">
        <v>2581</v>
      </c>
      <c r="G898">
        <v>517</v>
      </c>
      <c r="H898">
        <v>117</v>
      </c>
      <c r="I898">
        <v>23229</v>
      </c>
      <c r="J898">
        <v>22331</v>
      </c>
      <c r="K898">
        <v>70</v>
      </c>
      <c r="L898" t="s">
        <v>26</v>
      </c>
      <c r="M898">
        <v>0.13840458048129492</v>
      </c>
      <c r="N898" t="s">
        <v>358</v>
      </c>
      <c r="O898" t="s">
        <v>359</v>
      </c>
    </row>
    <row r="899" spans="1:15" x14ac:dyDescent="0.3">
      <c r="A899" t="s">
        <v>353</v>
      </c>
      <c r="B899" t="s">
        <v>14</v>
      </c>
      <c r="C899" s="2">
        <v>45535</v>
      </c>
      <c r="D899" t="s">
        <v>36</v>
      </c>
      <c r="E899" t="s">
        <v>39</v>
      </c>
      <c r="F899">
        <v>4494</v>
      </c>
      <c r="G899">
        <v>717</v>
      </c>
      <c r="H899">
        <v>45</v>
      </c>
      <c r="I899">
        <v>62916</v>
      </c>
      <c r="J899">
        <v>62688</v>
      </c>
      <c r="K899">
        <v>191</v>
      </c>
      <c r="L899" t="s">
        <v>17</v>
      </c>
      <c r="M899">
        <v>8.3539958039290485E-2</v>
      </c>
      <c r="N899" t="s">
        <v>11</v>
      </c>
      <c r="O899" t="s">
        <v>25</v>
      </c>
    </row>
    <row r="900" spans="1:15" x14ac:dyDescent="0.3">
      <c r="A900" t="s">
        <v>353</v>
      </c>
      <c r="B900" t="s">
        <v>14</v>
      </c>
      <c r="C900" s="2">
        <v>45535</v>
      </c>
      <c r="D900" t="s">
        <v>36</v>
      </c>
      <c r="E900" t="s">
        <v>39</v>
      </c>
      <c r="F900">
        <v>4494</v>
      </c>
      <c r="G900">
        <v>717</v>
      </c>
      <c r="H900">
        <v>45</v>
      </c>
      <c r="I900">
        <v>62916</v>
      </c>
      <c r="J900">
        <v>62688</v>
      </c>
      <c r="K900">
        <v>191</v>
      </c>
      <c r="L900" t="s">
        <v>17</v>
      </c>
      <c r="M900">
        <v>8.3539958039290485E-2</v>
      </c>
      <c r="N900" t="s">
        <v>357</v>
      </c>
      <c r="O900" t="s">
        <v>31</v>
      </c>
    </row>
    <row r="901" spans="1:15" x14ac:dyDescent="0.3">
      <c r="A901" t="s">
        <v>353</v>
      </c>
      <c r="B901" t="s">
        <v>14</v>
      </c>
      <c r="C901" s="2">
        <v>45535</v>
      </c>
      <c r="D901" t="s">
        <v>36</v>
      </c>
      <c r="E901" t="s">
        <v>39</v>
      </c>
      <c r="F901">
        <v>4494</v>
      </c>
      <c r="G901">
        <v>717</v>
      </c>
      <c r="H901">
        <v>45</v>
      </c>
      <c r="I901">
        <v>62916</v>
      </c>
      <c r="J901">
        <v>62688</v>
      </c>
      <c r="K901">
        <v>191</v>
      </c>
      <c r="L901" t="s">
        <v>17</v>
      </c>
      <c r="M901">
        <v>8.3539958039290485E-2</v>
      </c>
      <c r="N901" t="s">
        <v>358</v>
      </c>
      <c r="O901" t="s">
        <v>355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6615-83C1-4944-87AC-77FBDEFCCCF3}">
  <sheetPr codeName="Sheet15"/>
  <dimension ref="B3:O29"/>
  <sheetViews>
    <sheetView workbookViewId="0">
      <selection activeCell="B10" sqref="B10"/>
    </sheetView>
  </sheetViews>
  <sheetFormatPr defaultRowHeight="14.4" x14ac:dyDescent="0.3"/>
  <cols>
    <col min="1" max="2" width="20.21875" bestFit="1" customWidth="1"/>
    <col min="3" max="4" width="25.21875" bestFit="1" customWidth="1"/>
  </cols>
  <sheetData>
    <row r="3" spans="2:11" ht="31.2" x14ac:dyDescent="0.6">
      <c r="C3" s="61" t="s">
        <v>460</v>
      </c>
      <c r="D3" s="61"/>
      <c r="E3" s="61"/>
      <c r="F3" s="61"/>
      <c r="G3" s="61"/>
      <c r="H3" s="61"/>
      <c r="I3" s="61"/>
      <c r="J3" s="61"/>
    </row>
    <row r="4" spans="2:11" ht="18" x14ac:dyDescent="0.35">
      <c r="K4" s="60"/>
    </row>
    <row r="9" spans="2:11" x14ac:dyDescent="0.3">
      <c r="B9" s="17" t="s">
        <v>362</v>
      </c>
      <c r="C9" s="1" t="s">
        <v>364</v>
      </c>
    </row>
    <row r="10" spans="2:11" x14ac:dyDescent="0.3">
      <c r="B10" s="20" t="s">
        <v>25</v>
      </c>
      <c r="C10" s="59">
        <v>0.14471339381780796</v>
      </c>
    </row>
    <row r="11" spans="2:11" x14ac:dyDescent="0.3">
      <c r="B11" s="20" t="s">
        <v>48</v>
      </c>
      <c r="C11" s="59">
        <v>0.13857976961822341</v>
      </c>
    </row>
    <row r="12" spans="2:11" x14ac:dyDescent="0.3">
      <c r="B12" s="20" t="s">
        <v>355</v>
      </c>
      <c r="C12" s="59">
        <v>0.13494405008865157</v>
      </c>
    </row>
    <row r="13" spans="2:11" x14ac:dyDescent="0.3">
      <c r="B13" s="20" t="s">
        <v>356</v>
      </c>
      <c r="C13" s="59">
        <v>0.11566320297628388</v>
      </c>
    </row>
    <row r="14" spans="2:11" x14ac:dyDescent="0.3">
      <c r="B14" s="20" t="s">
        <v>354</v>
      </c>
      <c r="C14" s="59">
        <v>0.11063720939078141</v>
      </c>
    </row>
    <row r="26" spans="2:15" ht="18" x14ac:dyDescent="0.35">
      <c r="B26" s="62" t="s">
        <v>461</v>
      </c>
      <c r="C26" s="63"/>
      <c r="D26" s="63"/>
      <c r="E26" s="63"/>
      <c r="F26" s="63"/>
      <c r="G26" s="63"/>
      <c r="H26" s="63"/>
      <c r="I26" s="63"/>
      <c r="J26" s="63"/>
      <c r="K26" s="63"/>
      <c r="L26" s="63"/>
      <c r="M26" s="63"/>
      <c r="N26" s="63"/>
      <c r="O26" s="63"/>
    </row>
    <row r="27" spans="2:15" ht="18" x14ac:dyDescent="0.35">
      <c r="B27" s="62" t="s">
        <v>462</v>
      </c>
      <c r="C27" s="62"/>
      <c r="D27" s="62"/>
      <c r="E27" s="62"/>
      <c r="F27" s="62"/>
      <c r="G27" s="62"/>
      <c r="H27" s="62"/>
      <c r="I27" s="64"/>
      <c r="J27" s="64"/>
      <c r="K27" s="64"/>
      <c r="L27" s="64"/>
      <c r="M27" s="64"/>
      <c r="N27" s="64"/>
      <c r="O27" s="64"/>
    </row>
    <row r="28" spans="2:15" ht="18" x14ac:dyDescent="0.35">
      <c r="B28" s="62" t="s">
        <v>463</v>
      </c>
      <c r="C28" s="62"/>
      <c r="D28" s="62"/>
      <c r="E28" s="62"/>
      <c r="F28" s="62"/>
      <c r="G28" s="62"/>
      <c r="H28" s="62"/>
      <c r="I28" s="62"/>
      <c r="J28" s="62"/>
      <c r="K28" s="62"/>
      <c r="L28" s="62"/>
      <c r="M28" s="62"/>
      <c r="N28" s="62"/>
      <c r="O28" s="64"/>
    </row>
    <row r="29" spans="2:15" ht="18" x14ac:dyDescent="0.35">
      <c r="B29" s="62" t="s">
        <v>464</v>
      </c>
      <c r="C29" s="62"/>
      <c r="D29" s="62"/>
      <c r="E29" s="62"/>
      <c r="F29" s="62"/>
      <c r="G29" s="62"/>
      <c r="H29" s="62"/>
      <c r="I29" s="62"/>
      <c r="J29" s="62"/>
      <c r="K29" s="62"/>
      <c r="L29" s="62"/>
      <c r="M29" s="62"/>
      <c r="N29" s="62"/>
      <c r="O29" s="64"/>
    </row>
  </sheetData>
  <conditionalFormatting sqref="B27:H27">
    <cfRule type="cellIs" dxfId="10" priority="1" operator="equal">
      <formula>"#EVRevolution"</formula>
    </cfRule>
  </conditionalFormatting>
  <conditionalFormatting sqref="B28:N29">
    <cfRule type="cellIs" dxfId="9" priority="2" operator="equal">
      <formula>"#EVRevolution"</formula>
    </cfRule>
  </conditionalFormatting>
  <conditionalFormatting sqref="C3:J3 K4">
    <cfRule type="cellIs" dxfId="8" priority="3" operator="equal">
      <formula>"#EVRevolution"</formula>
    </cfRule>
  </conditionalFormatting>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1ABE0-D8C4-49F2-987A-69B72692E8B5}">
  <sheetPr codeName="Sheet16"/>
  <dimension ref="B3:T27"/>
  <sheetViews>
    <sheetView workbookViewId="0">
      <selection activeCell="D12" sqref="D12"/>
      <pivotSelection pane="bottomRight" showHeader="1" extendable="1" activeRow="11" activeCol="3" click="1" r:id="rId1">
        <pivotArea dataOnly="0" outline="0" axis="axisValues" fieldPosition="0"/>
      </pivotSelection>
    </sheetView>
  </sheetViews>
  <sheetFormatPr defaultRowHeight="14.4" x14ac:dyDescent="0.3"/>
  <cols>
    <col min="1" max="1" width="12.5546875" bestFit="1" customWidth="1"/>
    <col min="2" max="2" width="11.5546875" customWidth="1"/>
    <col min="3" max="3" width="13.6640625" bestFit="1" customWidth="1"/>
    <col min="4" max="4" width="27.6640625" bestFit="1" customWidth="1"/>
  </cols>
  <sheetData>
    <row r="3" spans="3:14" ht="28.8" x14ac:dyDescent="0.55000000000000004">
      <c r="E3" s="26" t="s">
        <v>465</v>
      </c>
      <c r="F3" s="26"/>
      <c r="G3" s="26"/>
      <c r="H3" s="27"/>
      <c r="I3" s="27"/>
      <c r="J3" s="27"/>
      <c r="K3" s="27"/>
      <c r="L3" s="27"/>
      <c r="M3" s="27"/>
      <c r="N3" s="25"/>
    </row>
    <row r="12" spans="3:14" ht="15.6" x14ac:dyDescent="0.3">
      <c r="C12" s="66" t="s">
        <v>362</v>
      </c>
      <c r="D12" s="67" t="s">
        <v>364</v>
      </c>
    </row>
    <row r="13" spans="3:14" ht="15.6" x14ac:dyDescent="0.3">
      <c r="C13" s="68" t="s">
        <v>36</v>
      </c>
      <c r="D13" s="69">
        <v>0.15130647394700394</v>
      </c>
    </row>
    <row r="14" spans="3:14" ht="15.6" x14ac:dyDescent="0.3">
      <c r="C14" s="68" t="s">
        <v>56</v>
      </c>
      <c r="D14" s="69">
        <v>0.14171390230700856</v>
      </c>
    </row>
    <row r="15" spans="3:14" ht="15.6" x14ac:dyDescent="0.3">
      <c r="C15" s="70" t="s">
        <v>41</v>
      </c>
      <c r="D15" s="71">
        <v>0.14055105527506045</v>
      </c>
    </row>
    <row r="16" spans="3:14" ht="15.6" x14ac:dyDescent="0.3">
      <c r="C16" s="70" t="s">
        <v>19</v>
      </c>
      <c r="D16" s="71">
        <v>0.11493409110463296</v>
      </c>
    </row>
    <row r="17" spans="2:20" ht="15.6" x14ac:dyDescent="0.3"/>
    <row r="18" spans="2:20" ht="15.6" x14ac:dyDescent="0.3"/>
    <row r="19" spans="2:20" ht="15.6" x14ac:dyDescent="0.3"/>
    <row r="25" spans="2:20" ht="18" x14ac:dyDescent="0.35">
      <c r="B25" s="62" t="s">
        <v>466</v>
      </c>
      <c r="C25" s="62"/>
      <c r="D25" s="62"/>
      <c r="E25" s="62"/>
      <c r="F25" s="62"/>
      <c r="G25" s="62"/>
      <c r="H25" s="62"/>
      <c r="I25" s="62"/>
      <c r="J25" s="62"/>
      <c r="K25" s="62"/>
      <c r="L25" s="62"/>
      <c r="M25" s="62"/>
      <c r="N25" s="62"/>
      <c r="O25" s="62"/>
      <c r="P25" s="62"/>
      <c r="Q25" s="62"/>
      <c r="R25" s="62"/>
      <c r="S25" s="64"/>
      <c r="T25" s="64"/>
    </row>
    <row r="26" spans="2:20" ht="18" x14ac:dyDescent="0.35">
      <c r="B26" s="62" t="s">
        <v>467</v>
      </c>
      <c r="C26" s="62"/>
      <c r="D26" s="62"/>
      <c r="E26" s="62"/>
      <c r="F26" s="62"/>
      <c r="G26" s="62"/>
      <c r="H26" s="62"/>
      <c r="I26" s="62"/>
      <c r="J26" s="62"/>
      <c r="K26" s="62"/>
      <c r="L26" s="62"/>
      <c r="M26" s="62"/>
      <c r="N26" s="62"/>
      <c r="O26" s="62"/>
      <c r="P26" s="62"/>
      <c r="Q26" s="62"/>
      <c r="R26" s="62"/>
      <c r="S26" s="64"/>
      <c r="T26" s="64"/>
    </row>
    <row r="27" spans="2:20" ht="18" x14ac:dyDescent="0.35">
      <c r="B27" s="72" t="s">
        <v>468</v>
      </c>
      <c r="C27" s="62"/>
      <c r="D27" s="62"/>
      <c r="E27" s="62"/>
      <c r="F27" s="62"/>
      <c r="G27" s="62"/>
      <c r="H27" s="62"/>
      <c r="I27" s="62"/>
      <c r="J27" s="62"/>
      <c r="K27" s="62"/>
      <c r="L27" s="62"/>
      <c r="M27" s="62"/>
      <c r="N27" s="62"/>
      <c r="O27" s="62"/>
      <c r="P27" s="62"/>
      <c r="Q27" s="62"/>
      <c r="R27" s="62"/>
      <c r="S27" s="64"/>
      <c r="T27" s="64"/>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6284-CE4F-4603-A112-2814B2DB05D5}">
  <sheetPr codeName="Sheet17"/>
  <dimension ref="A3:M22"/>
  <sheetViews>
    <sheetView workbookViewId="0">
      <selection activeCell="I15" sqref="I15"/>
    </sheetView>
  </sheetViews>
  <sheetFormatPr defaultRowHeight="14.4" x14ac:dyDescent="0.3"/>
  <cols>
    <col min="1" max="1" width="25.21875" bestFit="1" customWidth="1"/>
    <col min="2" max="2" width="15.5546875" bestFit="1" customWidth="1"/>
    <col min="3" max="3" width="6.21875" bestFit="1" customWidth="1"/>
    <col min="4" max="7" width="6" bestFit="1" customWidth="1"/>
    <col min="8" max="8" width="12" bestFit="1" customWidth="1"/>
    <col min="9" max="9" width="18.88671875" customWidth="1"/>
    <col min="10" max="10" width="17.109375" customWidth="1"/>
    <col min="11" max="11" width="47.77734375" customWidth="1"/>
    <col min="12" max="12" width="25.88671875" customWidth="1"/>
    <col min="13" max="13" width="16.44140625" customWidth="1"/>
  </cols>
  <sheetData>
    <row r="3" spans="1:13" ht="31.2" x14ac:dyDescent="0.6">
      <c r="B3" s="45" t="s">
        <v>472</v>
      </c>
      <c r="C3" s="45"/>
      <c r="D3" s="45"/>
      <c r="E3" s="45"/>
      <c r="F3" s="45"/>
      <c r="G3" s="45"/>
      <c r="H3" s="46"/>
      <c r="I3" s="46"/>
      <c r="J3" s="25"/>
    </row>
    <row r="10" spans="1:13" ht="23.4" x14ac:dyDescent="0.45">
      <c r="A10" s="17" t="s">
        <v>364</v>
      </c>
      <c r="B10" s="17" t="s">
        <v>368</v>
      </c>
      <c r="C10" s="1"/>
      <c r="D10" s="1"/>
      <c r="E10" s="1"/>
      <c r="J10" s="77" t="s">
        <v>1</v>
      </c>
      <c r="K10" s="77" t="s">
        <v>469</v>
      </c>
      <c r="L10" s="77" t="s">
        <v>470</v>
      </c>
      <c r="M10" s="60"/>
    </row>
    <row r="11" spans="1:13" ht="21" x14ac:dyDescent="0.4">
      <c r="A11" s="17" t="s">
        <v>362</v>
      </c>
      <c r="B11" s="1" t="s">
        <v>36</v>
      </c>
      <c r="C11" s="1" t="s">
        <v>41</v>
      </c>
      <c r="D11" s="1" t="s">
        <v>19</v>
      </c>
      <c r="E11" s="1" t="s">
        <v>56</v>
      </c>
      <c r="I11" s="76" t="s">
        <v>471</v>
      </c>
      <c r="J11" s="74" t="s">
        <v>23</v>
      </c>
      <c r="K11" s="74" t="str">
        <f>INDEX(B11:G11,MATCH(L11,INDEX(B12:G15,MATCH(J11,A12:A15,0),0),0))</f>
        <v>Carousel</v>
      </c>
      <c r="L11" s="75">
        <f>MAX(INDEX(B12:G15,MATCH(J11,A12:A15,0),0))</f>
        <v>0.18072947370794809</v>
      </c>
    </row>
    <row r="12" spans="1:13" x14ac:dyDescent="0.3">
      <c r="A12" s="20" t="s">
        <v>35</v>
      </c>
      <c r="B12" s="59">
        <v>0.12389388944213882</v>
      </c>
      <c r="C12" s="59">
        <v>0.12381316505558941</v>
      </c>
      <c r="D12" s="59">
        <v>0.11081400792425272</v>
      </c>
      <c r="E12" s="59">
        <v>0.12954225367419026</v>
      </c>
    </row>
    <row r="13" spans="1:13" x14ac:dyDescent="0.3">
      <c r="A13" s="20" t="s">
        <v>28</v>
      </c>
      <c r="B13" s="59">
        <v>0.15376945139320278</v>
      </c>
      <c r="C13" s="59">
        <v>0.14174671674318529</v>
      </c>
      <c r="D13" s="59">
        <v>0.13157024031685002</v>
      </c>
      <c r="E13" s="59">
        <v>0.21903795904774295</v>
      </c>
    </row>
    <row r="14" spans="1:13" x14ac:dyDescent="0.3">
      <c r="A14" s="20" t="s">
        <v>14</v>
      </c>
      <c r="B14" s="59">
        <v>0.14734283386216016</v>
      </c>
      <c r="C14" s="59">
        <v>0.15294044418431116</v>
      </c>
      <c r="D14" s="59">
        <v>0.10484081661329904</v>
      </c>
      <c r="E14" s="59">
        <v>0.11478139881378548</v>
      </c>
    </row>
    <row r="15" spans="1:13" x14ac:dyDescent="0.3">
      <c r="A15" s="20" t="s">
        <v>23</v>
      </c>
      <c r="B15" s="73">
        <v>0.18072947370794809</v>
      </c>
      <c r="C15" s="59">
        <v>0.15832395785382156</v>
      </c>
      <c r="D15" s="59">
        <v>0.12012601826647384</v>
      </c>
      <c r="E15" s="59">
        <v>0.1252148313913351</v>
      </c>
    </row>
    <row r="19" spans="2:10" ht="15.6" x14ac:dyDescent="0.3">
      <c r="B19" s="78" t="s">
        <v>473</v>
      </c>
      <c r="C19" s="78"/>
      <c r="D19" s="78"/>
      <c r="E19" s="79"/>
      <c r="F19" s="79"/>
      <c r="G19" s="79"/>
      <c r="H19" s="79"/>
      <c r="I19" s="79"/>
      <c r="J19" s="79"/>
    </row>
    <row r="20" spans="2:10" ht="15.6" x14ac:dyDescent="0.3">
      <c r="B20" s="78" t="s">
        <v>474</v>
      </c>
      <c r="C20" s="78"/>
      <c r="D20" s="78"/>
      <c r="E20" s="78"/>
      <c r="F20" s="78"/>
      <c r="G20" s="79"/>
      <c r="H20" s="79"/>
      <c r="I20" s="79"/>
      <c r="J20" s="79"/>
    </row>
    <row r="21" spans="2:10" ht="15.6" x14ac:dyDescent="0.3">
      <c r="B21" s="78" t="s">
        <v>475</v>
      </c>
      <c r="C21" s="78"/>
      <c r="D21" s="78"/>
      <c r="E21" s="78"/>
      <c r="F21" s="78"/>
      <c r="G21" s="79"/>
      <c r="H21" s="79"/>
      <c r="I21" s="79"/>
      <c r="J21" s="79"/>
    </row>
    <row r="22" spans="2:10" ht="15.6" x14ac:dyDescent="0.3">
      <c r="B22" s="78" t="s">
        <v>476</v>
      </c>
      <c r="C22" s="79"/>
      <c r="D22" s="79"/>
      <c r="E22" s="79"/>
      <c r="F22" s="79"/>
      <c r="G22" s="79"/>
      <c r="H22" s="79"/>
      <c r="I22" s="79"/>
      <c r="J22" s="79"/>
    </row>
  </sheetData>
  <dataValidations count="1">
    <dataValidation type="list" allowBlank="1" showInputMessage="1" showErrorMessage="1" sqref="J11" xr:uid="{8750AD87-EEBF-4D35-A3F3-70CBAD2AF486}">
      <formula1>$A$12:$A$15</formula1>
    </dataValidation>
  </dataValidations>
  <pageMargins left="0.7" right="0.7" top="0.75" bottom="0.75" header="0.3" footer="0.3"/>
  <pageSetup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205E-19E9-4933-B381-79BC7007F61A}">
  <sheetPr codeName="Sheet18"/>
  <dimension ref="A1:Q301"/>
  <sheetViews>
    <sheetView workbookViewId="0">
      <selection activeCell="G19" sqref="G19"/>
    </sheetView>
  </sheetViews>
  <sheetFormatPr defaultRowHeight="14.4" x14ac:dyDescent="0.3"/>
  <cols>
    <col min="3" max="3" width="10.6640625" customWidth="1"/>
    <col min="15" max="15" width="16" bestFit="1" customWidth="1"/>
    <col min="16" max="16" width="15.6640625" customWidth="1"/>
  </cols>
  <sheetData>
    <row r="1" spans="1:17" x14ac:dyDescent="0.3">
      <c r="A1" s="3" t="s">
        <v>0</v>
      </c>
      <c r="B1" s="4" t="s">
        <v>1</v>
      </c>
      <c r="C1" s="4" t="s">
        <v>2</v>
      </c>
      <c r="D1" s="4" t="s">
        <v>3</v>
      </c>
      <c r="E1" s="4" t="s">
        <v>4</v>
      </c>
      <c r="F1" s="4" t="s">
        <v>5</v>
      </c>
      <c r="G1" s="4" t="s">
        <v>6</v>
      </c>
      <c r="H1" s="4" t="s">
        <v>7</v>
      </c>
      <c r="I1" s="4" t="s">
        <v>8</v>
      </c>
      <c r="J1" s="4" t="s">
        <v>9</v>
      </c>
      <c r="K1" s="4" t="s">
        <v>10</v>
      </c>
      <c r="L1" s="4" t="s">
        <v>11</v>
      </c>
      <c r="M1" s="4" t="s">
        <v>357</v>
      </c>
      <c r="N1" s="4" t="s">
        <v>358</v>
      </c>
      <c r="O1" s="5" t="s">
        <v>12</v>
      </c>
      <c r="P1" s="4" t="s">
        <v>361</v>
      </c>
      <c r="Q1" s="4" t="s">
        <v>477</v>
      </c>
    </row>
    <row r="2" spans="1:17" x14ac:dyDescent="0.3">
      <c r="A2" s="6" t="s">
        <v>13</v>
      </c>
      <c r="B2" s="1" t="s">
        <v>14</v>
      </c>
      <c r="C2" s="7">
        <v>45649</v>
      </c>
      <c r="D2" s="1" t="s">
        <v>15</v>
      </c>
      <c r="E2" s="1" t="s">
        <v>16</v>
      </c>
      <c r="F2" s="1">
        <v>1461</v>
      </c>
      <c r="G2" s="1">
        <v>184</v>
      </c>
      <c r="H2" s="1">
        <v>344</v>
      </c>
      <c r="I2" s="1">
        <v>21915</v>
      </c>
      <c r="J2" s="1">
        <v>21675</v>
      </c>
      <c r="K2" s="1">
        <v>15</v>
      </c>
      <c r="L2" s="1" t="s">
        <v>48</v>
      </c>
      <c r="M2" s="1" t="s">
        <v>354</v>
      </c>
      <c r="N2" s="1" t="s">
        <v>359</v>
      </c>
      <c r="O2" s="8" t="s">
        <v>17</v>
      </c>
      <c r="P2" s="14">
        <f>(Table1_149[[#This Row],[Likes]]+Table1_149[[#This Row],[Shares]]+Table1_149[[#This Row],[Comments]])/Table1_149[[#This Row],[Impressions]]</f>
        <v>9.0759753593429152E-2</v>
      </c>
      <c r="Q2" s="80" t="str">
        <f t="shared" ref="Q2:Q65" si="0">IF(O:O="CybertruckLaunch",
     IF(AND(C:C&gt;=DATE(2024,10,15),C:C&lt;=DATE(2024,11,10)),"During",
        IF(C:C&lt;DATE(2024,10,15),"Before","After")),
 IF(O:O="ModelYCampaign",
     IF(AND(C:C&gt;=DATE(2025,3,1),C:C&lt;=DATE(2025,3,20)),"During",
        IF(C:C&lt;DATE(2025,3,1),"Before","After")),
 IF(O:O="SustainabilityDrive",
     IF(AND(C:C&gt;=DATE(2024,6,10),C:C&lt;=DATE(2024,6,25)),"During",
        IF(C:C&lt;DATE(2024,6,10),"Before","After")),
 IF(O:O="FSDUpdate",
     IF(AND(C:C&gt;=DATE(2025,5,1),C:C&lt;=DATE(2025,5,15)),"During",
        IF(C:C&lt;DATE(2025,5,1),"Before","After"))))))</f>
        <v>After</v>
      </c>
    </row>
    <row r="3" spans="1:17" x14ac:dyDescent="0.3">
      <c r="A3" s="6" t="s">
        <v>18</v>
      </c>
      <c r="B3" s="1" t="s">
        <v>14</v>
      </c>
      <c r="C3" s="7">
        <v>45750</v>
      </c>
      <c r="D3" s="1" t="s">
        <v>19</v>
      </c>
      <c r="E3" s="1" t="s">
        <v>20</v>
      </c>
      <c r="F3" s="1">
        <v>4054</v>
      </c>
      <c r="G3" s="1">
        <v>389</v>
      </c>
      <c r="H3" s="1">
        <v>493</v>
      </c>
      <c r="I3" s="1">
        <v>64864</v>
      </c>
      <c r="J3" s="1">
        <v>64383</v>
      </c>
      <c r="K3" s="1">
        <v>117</v>
      </c>
      <c r="L3" s="1" t="s">
        <v>25</v>
      </c>
      <c r="M3" s="1" t="s">
        <v>355</v>
      </c>
      <c r="N3" s="1" t="s">
        <v>359</v>
      </c>
      <c r="O3" s="8" t="s">
        <v>21</v>
      </c>
      <c r="P3" s="15">
        <f>(Table1_149[[#This Row],[Likes]]+Table1_149[[#This Row],[Shares]]+Table1_149[[#This Row],[Comments]])/Table1_149[[#This Row],[Impressions]]</f>
        <v>7.6097681302417369E-2</v>
      </c>
      <c r="Q3" s="81" t="str">
        <f t="shared" si="0"/>
        <v>After</v>
      </c>
    </row>
    <row r="4" spans="1:17" x14ac:dyDescent="0.3">
      <c r="A4" s="6" t="s">
        <v>22</v>
      </c>
      <c r="B4" s="1" t="s">
        <v>23</v>
      </c>
      <c r="C4" s="7">
        <v>45789</v>
      </c>
      <c r="D4" s="1" t="s">
        <v>15</v>
      </c>
      <c r="E4" s="1" t="s">
        <v>24</v>
      </c>
      <c r="F4" s="1">
        <v>2795</v>
      </c>
      <c r="G4" s="1">
        <v>105</v>
      </c>
      <c r="H4" s="1">
        <v>49</v>
      </c>
      <c r="I4" s="1">
        <v>53105</v>
      </c>
      <c r="J4" s="1">
        <v>52307</v>
      </c>
      <c r="K4" s="1">
        <v>204</v>
      </c>
      <c r="L4" s="1" t="s">
        <v>25</v>
      </c>
      <c r="M4" s="1" t="s">
        <v>359</v>
      </c>
      <c r="N4" s="1" t="s">
        <v>359</v>
      </c>
      <c r="O4" s="8" t="s">
        <v>26</v>
      </c>
      <c r="P4" s="15">
        <f>(Table1_149[[#This Row],[Likes]]+Table1_149[[#This Row],[Shares]]+Table1_149[[#This Row],[Comments]])/Table1_149[[#This Row],[Impressions]]</f>
        <v>5.5531494209584788E-2</v>
      </c>
      <c r="Q4" s="81" t="str">
        <f t="shared" si="0"/>
        <v>During</v>
      </c>
    </row>
    <row r="5" spans="1:17" x14ac:dyDescent="0.3">
      <c r="A5" s="6" t="s">
        <v>27</v>
      </c>
      <c r="B5" s="1" t="s">
        <v>28</v>
      </c>
      <c r="C5" s="7">
        <v>45516</v>
      </c>
      <c r="D5" s="1" t="s">
        <v>29</v>
      </c>
      <c r="E5" s="1" t="s">
        <v>30</v>
      </c>
      <c r="F5" s="1">
        <v>2404</v>
      </c>
      <c r="G5" s="1">
        <v>363</v>
      </c>
      <c r="H5" s="1">
        <v>138</v>
      </c>
      <c r="I5" s="1">
        <v>19232</v>
      </c>
      <c r="J5" s="1">
        <v>18636</v>
      </c>
      <c r="K5" s="1">
        <v>128</v>
      </c>
      <c r="L5" s="1" t="s">
        <v>31</v>
      </c>
      <c r="M5" s="1" t="s">
        <v>359</v>
      </c>
      <c r="N5" s="1" t="s">
        <v>359</v>
      </c>
      <c r="O5" s="8" t="s">
        <v>32</v>
      </c>
      <c r="P5" s="15">
        <f>(Table1_149[[#This Row],[Likes]]+Table1_149[[#This Row],[Shares]]+Table1_149[[#This Row],[Comments]])/Table1_149[[#This Row],[Impressions]]</f>
        <v>0.15105033277870217</v>
      </c>
      <c r="Q5" s="81" t="str">
        <f t="shared" si="0"/>
        <v>After</v>
      </c>
    </row>
    <row r="6" spans="1:17" x14ac:dyDescent="0.3">
      <c r="A6" s="6" t="s">
        <v>33</v>
      </c>
      <c r="B6" s="1" t="s">
        <v>23</v>
      </c>
      <c r="C6" s="7">
        <v>45469</v>
      </c>
      <c r="D6" s="1" t="s">
        <v>15</v>
      </c>
      <c r="E6" s="1" t="s">
        <v>24</v>
      </c>
      <c r="F6" s="1">
        <v>3557</v>
      </c>
      <c r="G6" s="1">
        <v>687</v>
      </c>
      <c r="H6" s="1">
        <v>424</v>
      </c>
      <c r="I6" s="1">
        <v>71140</v>
      </c>
      <c r="J6" s="1">
        <v>70701</v>
      </c>
      <c r="K6" s="1">
        <v>224</v>
      </c>
      <c r="L6" s="1" t="s">
        <v>31</v>
      </c>
      <c r="M6" s="1" t="s">
        <v>25</v>
      </c>
      <c r="N6" s="1" t="s">
        <v>359</v>
      </c>
      <c r="O6" s="8" t="s">
        <v>17</v>
      </c>
      <c r="P6" s="15">
        <f>(Table1_149[[#This Row],[Likes]]+Table1_149[[#This Row],[Shares]]+Table1_149[[#This Row],[Comments]])/Table1_149[[#This Row],[Impressions]]</f>
        <v>6.5617093055946027E-2</v>
      </c>
      <c r="Q6" s="81" t="str">
        <f t="shared" si="0"/>
        <v>Before</v>
      </c>
    </row>
    <row r="7" spans="1:17" x14ac:dyDescent="0.3">
      <c r="A7" s="6" t="s">
        <v>34</v>
      </c>
      <c r="B7" s="1" t="s">
        <v>35</v>
      </c>
      <c r="C7" s="7">
        <v>45596</v>
      </c>
      <c r="D7" s="1" t="s">
        <v>36</v>
      </c>
      <c r="E7" s="1" t="s">
        <v>37</v>
      </c>
      <c r="F7" s="1">
        <v>2945</v>
      </c>
      <c r="G7" s="1">
        <v>930</v>
      </c>
      <c r="H7" s="1">
        <v>355</v>
      </c>
      <c r="I7" s="1">
        <v>23560</v>
      </c>
      <c r="J7" s="1">
        <v>23275</v>
      </c>
      <c r="K7" s="1">
        <v>256</v>
      </c>
      <c r="L7" s="1" t="s">
        <v>25</v>
      </c>
      <c r="M7" s="1" t="s">
        <v>359</v>
      </c>
      <c r="N7" s="1" t="s">
        <v>359</v>
      </c>
      <c r="O7" s="8" t="s">
        <v>21</v>
      </c>
      <c r="P7" s="15">
        <f>(Table1_149[[#This Row],[Likes]]+Table1_149[[#This Row],[Shares]]+Table1_149[[#This Row],[Comments]])/Table1_149[[#This Row],[Impressions]]</f>
        <v>0.17954159592529711</v>
      </c>
      <c r="Q7" s="81" t="str">
        <f t="shared" si="0"/>
        <v>Before</v>
      </c>
    </row>
    <row r="8" spans="1:17" x14ac:dyDescent="0.3">
      <c r="A8" s="6" t="s">
        <v>38</v>
      </c>
      <c r="B8" s="1" t="s">
        <v>14</v>
      </c>
      <c r="C8" s="7">
        <v>45467</v>
      </c>
      <c r="D8" s="1" t="s">
        <v>36</v>
      </c>
      <c r="E8" s="1" t="s">
        <v>39</v>
      </c>
      <c r="F8" s="1">
        <v>3860</v>
      </c>
      <c r="G8" s="1">
        <v>201</v>
      </c>
      <c r="H8" s="1">
        <v>279</v>
      </c>
      <c r="I8" s="1">
        <v>61760</v>
      </c>
      <c r="J8" s="1">
        <v>61660</v>
      </c>
      <c r="K8" s="1">
        <v>235</v>
      </c>
      <c r="L8" s="1" t="s">
        <v>25</v>
      </c>
      <c r="M8" s="1" t="s">
        <v>359</v>
      </c>
      <c r="N8" s="1" t="s">
        <v>359</v>
      </c>
      <c r="O8" s="8" t="s">
        <v>21</v>
      </c>
      <c r="P8" s="15">
        <f>(Table1_149[[#This Row],[Likes]]+Table1_149[[#This Row],[Shares]]+Table1_149[[#This Row],[Comments]])/Table1_149[[#This Row],[Impressions]]</f>
        <v>7.0272020725388601E-2</v>
      </c>
      <c r="Q8" s="81" t="str">
        <f t="shared" si="0"/>
        <v>Before</v>
      </c>
    </row>
    <row r="9" spans="1:17" x14ac:dyDescent="0.3">
      <c r="A9" s="6" t="s">
        <v>40</v>
      </c>
      <c r="B9" s="1" t="s">
        <v>23</v>
      </c>
      <c r="C9" s="7">
        <v>45486</v>
      </c>
      <c r="D9" s="1" t="s">
        <v>41</v>
      </c>
      <c r="E9" s="1" t="s">
        <v>42</v>
      </c>
      <c r="F9" s="1">
        <v>3929</v>
      </c>
      <c r="G9" s="1">
        <v>262</v>
      </c>
      <c r="H9" s="1">
        <v>278</v>
      </c>
      <c r="I9" s="1">
        <v>43219</v>
      </c>
      <c r="J9" s="1">
        <v>42841</v>
      </c>
      <c r="K9" s="1">
        <v>39</v>
      </c>
      <c r="L9" s="1" t="s">
        <v>31</v>
      </c>
      <c r="M9" s="1" t="s">
        <v>359</v>
      </c>
      <c r="N9" s="1" t="s">
        <v>359</v>
      </c>
      <c r="O9" s="8" t="s">
        <v>32</v>
      </c>
      <c r="P9" s="15">
        <f>(Table1_149[[#This Row],[Likes]]+Table1_149[[#This Row],[Shares]]+Table1_149[[#This Row],[Comments]])/Table1_149[[#This Row],[Impressions]]</f>
        <v>0.10340359564080613</v>
      </c>
      <c r="Q9" s="81" t="str">
        <f t="shared" si="0"/>
        <v>After</v>
      </c>
    </row>
    <row r="10" spans="1:17" x14ac:dyDescent="0.3">
      <c r="A10" s="6" t="s">
        <v>43</v>
      </c>
      <c r="B10" s="1" t="s">
        <v>35</v>
      </c>
      <c r="C10" s="7">
        <v>45534</v>
      </c>
      <c r="D10" s="1" t="s">
        <v>19</v>
      </c>
      <c r="E10" s="1" t="s">
        <v>44</v>
      </c>
      <c r="F10" s="1">
        <v>3784</v>
      </c>
      <c r="G10" s="1">
        <v>808</v>
      </c>
      <c r="H10" s="1">
        <v>404</v>
      </c>
      <c r="I10" s="1">
        <v>56760</v>
      </c>
      <c r="J10" s="1">
        <v>56343</v>
      </c>
      <c r="K10" s="1">
        <v>131</v>
      </c>
      <c r="L10" s="1" t="s">
        <v>25</v>
      </c>
      <c r="M10" s="1" t="s">
        <v>359</v>
      </c>
      <c r="N10" s="1" t="s">
        <v>359</v>
      </c>
      <c r="O10" s="8" t="s">
        <v>21</v>
      </c>
      <c r="P10" s="15">
        <f>(Table1_149[[#This Row],[Likes]]+Table1_149[[#This Row],[Shares]]+Table1_149[[#This Row],[Comments]])/Table1_149[[#This Row],[Impressions]]</f>
        <v>8.8019732205778717E-2</v>
      </c>
      <c r="Q10" s="81" t="str">
        <f t="shared" si="0"/>
        <v>Before</v>
      </c>
    </row>
    <row r="11" spans="1:17" x14ac:dyDescent="0.3">
      <c r="A11" s="6" t="s">
        <v>45</v>
      </c>
      <c r="B11" s="1" t="s">
        <v>35</v>
      </c>
      <c r="C11" s="7">
        <v>45727</v>
      </c>
      <c r="D11" s="1" t="s">
        <v>41</v>
      </c>
      <c r="E11" s="1" t="s">
        <v>46</v>
      </c>
      <c r="F11" s="1">
        <v>4241</v>
      </c>
      <c r="G11" s="1">
        <v>902</v>
      </c>
      <c r="H11" s="1">
        <v>47</v>
      </c>
      <c r="I11" s="1">
        <v>72097</v>
      </c>
      <c r="J11" s="1">
        <v>71598</v>
      </c>
      <c r="K11" s="1">
        <v>167</v>
      </c>
      <c r="L11" s="1" t="s">
        <v>25</v>
      </c>
      <c r="M11" s="1" t="s">
        <v>359</v>
      </c>
      <c r="N11" s="1" t="s">
        <v>359</v>
      </c>
      <c r="O11" s="8" t="s">
        <v>21</v>
      </c>
      <c r="P11" s="15">
        <f>(Table1_149[[#This Row],[Likes]]+Table1_149[[#This Row],[Shares]]+Table1_149[[#This Row],[Comments]])/Table1_149[[#This Row],[Impressions]]</f>
        <v>7.198635172059864E-2</v>
      </c>
      <c r="Q11" s="81" t="str">
        <f t="shared" si="0"/>
        <v>During</v>
      </c>
    </row>
    <row r="12" spans="1:17" x14ac:dyDescent="0.3">
      <c r="A12" s="6" t="s">
        <v>47</v>
      </c>
      <c r="B12" s="1" t="s">
        <v>28</v>
      </c>
      <c r="C12" s="7">
        <v>45690</v>
      </c>
      <c r="D12" s="1" t="s">
        <v>29</v>
      </c>
      <c r="E12" s="1" t="s">
        <v>30</v>
      </c>
      <c r="F12" s="1">
        <v>1792</v>
      </c>
      <c r="G12" s="1">
        <v>614</v>
      </c>
      <c r="H12" s="1">
        <v>497</v>
      </c>
      <c r="I12" s="1">
        <v>25088</v>
      </c>
      <c r="J12" s="1">
        <v>24675</v>
      </c>
      <c r="K12" s="1">
        <v>65</v>
      </c>
      <c r="L12" s="1" t="s">
        <v>48</v>
      </c>
      <c r="M12" s="1" t="s">
        <v>359</v>
      </c>
      <c r="N12" s="1" t="s">
        <v>359</v>
      </c>
      <c r="O12" s="8" t="s">
        <v>32</v>
      </c>
      <c r="P12" s="15">
        <f>(Table1_149[[#This Row],[Likes]]+Table1_149[[#This Row],[Shares]]+Table1_149[[#This Row],[Comments]])/Table1_149[[#This Row],[Impressions]]</f>
        <v>0.11571269132653061</v>
      </c>
      <c r="Q12" s="81" t="str">
        <f t="shared" si="0"/>
        <v>After</v>
      </c>
    </row>
    <row r="13" spans="1:17" x14ac:dyDescent="0.3">
      <c r="A13" s="6" t="s">
        <v>49</v>
      </c>
      <c r="B13" s="1" t="s">
        <v>35</v>
      </c>
      <c r="C13" s="7">
        <v>45494</v>
      </c>
      <c r="D13" s="1" t="s">
        <v>15</v>
      </c>
      <c r="E13" s="1" t="s">
        <v>50</v>
      </c>
      <c r="F13" s="1">
        <v>1946</v>
      </c>
      <c r="G13" s="1">
        <v>686</v>
      </c>
      <c r="H13" s="1">
        <v>377</v>
      </c>
      <c r="I13" s="1">
        <v>23352</v>
      </c>
      <c r="J13" s="1">
        <v>22982</v>
      </c>
      <c r="K13" s="1">
        <v>213</v>
      </c>
      <c r="L13" s="1" t="s">
        <v>48</v>
      </c>
      <c r="M13" s="1" t="s">
        <v>359</v>
      </c>
      <c r="N13" s="1" t="s">
        <v>359</v>
      </c>
      <c r="O13" s="8" t="s">
        <v>26</v>
      </c>
      <c r="P13" s="15">
        <f>(Table1_149[[#This Row],[Likes]]+Table1_149[[#This Row],[Shares]]+Table1_149[[#This Row],[Comments]])/Table1_149[[#This Row],[Impressions]]</f>
        <v>0.12885405960945528</v>
      </c>
      <c r="Q13" s="81" t="str">
        <f t="shared" si="0"/>
        <v>Before</v>
      </c>
    </row>
    <row r="14" spans="1:17" x14ac:dyDescent="0.3">
      <c r="A14" s="6" t="s">
        <v>51</v>
      </c>
      <c r="B14" s="1" t="s">
        <v>23</v>
      </c>
      <c r="C14" s="7">
        <v>45614</v>
      </c>
      <c r="D14" s="1" t="s">
        <v>36</v>
      </c>
      <c r="E14" s="1" t="s">
        <v>52</v>
      </c>
      <c r="F14" s="1">
        <v>1171</v>
      </c>
      <c r="G14" s="1">
        <v>286</v>
      </c>
      <c r="H14" s="1">
        <v>231</v>
      </c>
      <c r="I14" s="1">
        <v>22249</v>
      </c>
      <c r="J14" s="1">
        <v>21282</v>
      </c>
      <c r="K14" s="1">
        <v>114</v>
      </c>
      <c r="L14" s="1" t="s">
        <v>31</v>
      </c>
      <c r="M14" s="1" t="s">
        <v>359</v>
      </c>
      <c r="N14" s="1" t="s">
        <v>359</v>
      </c>
      <c r="O14" s="8" t="s">
        <v>17</v>
      </c>
      <c r="P14" s="15">
        <f>(Table1_149[[#This Row],[Likes]]+Table1_149[[#This Row],[Shares]]+Table1_149[[#This Row],[Comments]])/Table1_149[[#This Row],[Impressions]]</f>
        <v>7.5868578363072495E-2</v>
      </c>
      <c r="Q14" s="81" t="str">
        <f t="shared" si="0"/>
        <v>After</v>
      </c>
    </row>
    <row r="15" spans="1:17" x14ac:dyDescent="0.3">
      <c r="A15" s="6" t="s">
        <v>53</v>
      </c>
      <c r="B15" s="1" t="s">
        <v>35</v>
      </c>
      <c r="C15" s="7">
        <v>45704</v>
      </c>
      <c r="D15" s="1" t="s">
        <v>29</v>
      </c>
      <c r="E15" s="1" t="s">
        <v>54</v>
      </c>
      <c r="F15" s="1">
        <v>4242</v>
      </c>
      <c r="G15" s="1">
        <v>555</v>
      </c>
      <c r="H15" s="1">
        <v>131</v>
      </c>
      <c r="I15" s="1">
        <v>33936</v>
      </c>
      <c r="J15" s="1">
        <v>33802</v>
      </c>
      <c r="K15" s="1">
        <v>265</v>
      </c>
      <c r="L15" s="1" t="s">
        <v>48</v>
      </c>
      <c r="M15" s="1" t="s">
        <v>359</v>
      </c>
      <c r="N15" s="1" t="s">
        <v>359</v>
      </c>
      <c r="O15" s="8" t="s">
        <v>360</v>
      </c>
      <c r="P15" s="15">
        <f>(Table1_149[[#This Row],[Likes]]+Table1_149[[#This Row],[Shares]]+Table1_149[[#This Row],[Comments]])/Table1_149[[#This Row],[Impressions]]</f>
        <v>0.14521452145214522</v>
      </c>
      <c r="Q15" s="81" t="b">
        <f t="shared" si="0"/>
        <v>0</v>
      </c>
    </row>
    <row r="16" spans="1:17" x14ac:dyDescent="0.3">
      <c r="A16" s="6" t="s">
        <v>55</v>
      </c>
      <c r="B16" s="1" t="s">
        <v>35</v>
      </c>
      <c r="C16" s="7">
        <v>45589</v>
      </c>
      <c r="D16" s="1" t="s">
        <v>56</v>
      </c>
      <c r="E16" s="1" t="s">
        <v>57</v>
      </c>
      <c r="F16" s="1">
        <v>3888</v>
      </c>
      <c r="G16" s="1">
        <v>604</v>
      </c>
      <c r="H16" s="1">
        <v>128</v>
      </c>
      <c r="I16" s="1">
        <v>77760</v>
      </c>
      <c r="J16" s="1">
        <v>77167</v>
      </c>
      <c r="K16" s="1">
        <v>20</v>
      </c>
      <c r="L16" s="1" t="s">
        <v>48</v>
      </c>
      <c r="M16" s="1" t="s">
        <v>359</v>
      </c>
      <c r="N16" s="1" t="s">
        <v>359</v>
      </c>
      <c r="O16" s="8" t="s">
        <v>17</v>
      </c>
      <c r="P16" s="15">
        <f>(Table1_149[[#This Row],[Likes]]+Table1_149[[#This Row],[Shares]]+Table1_149[[#This Row],[Comments]])/Table1_149[[#This Row],[Impressions]]</f>
        <v>5.941358024691358E-2</v>
      </c>
      <c r="Q16" s="81" t="str">
        <f t="shared" si="0"/>
        <v>During</v>
      </c>
    </row>
    <row r="17" spans="1:17" x14ac:dyDescent="0.3">
      <c r="A17" s="6" t="s">
        <v>58</v>
      </c>
      <c r="B17" s="1" t="s">
        <v>35</v>
      </c>
      <c r="C17" s="7">
        <v>45530</v>
      </c>
      <c r="D17" s="1" t="s">
        <v>19</v>
      </c>
      <c r="E17" s="1" t="s">
        <v>44</v>
      </c>
      <c r="F17" s="1">
        <v>3452</v>
      </c>
      <c r="G17" s="1">
        <v>377</v>
      </c>
      <c r="H17" s="1">
        <v>360</v>
      </c>
      <c r="I17" s="1">
        <v>55232</v>
      </c>
      <c r="J17" s="1">
        <v>55075</v>
      </c>
      <c r="K17" s="1">
        <v>87</v>
      </c>
      <c r="L17" s="1" t="s">
        <v>48</v>
      </c>
      <c r="M17" s="1" t="s">
        <v>359</v>
      </c>
      <c r="N17" s="1" t="s">
        <v>359</v>
      </c>
      <c r="O17" s="8" t="s">
        <v>26</v>
      </c>
      <c r="P17" s="15">
        <f>(Table1_149[[#This Row],[Likes]]+Table1_149[[#This Row],[Shares]]+Table1_149[[#This Row],[Comments]])/Table1_149[[#This Row],[Impressions]]</f>
        <v>7.5843713789107758E-2</v>
      </c>
      <c r="Q17" s="81" t="str">
        <f t="shared" si="0"/>
        <v>Before</v>
      </c>
    </row>
    <row r="18" spans="1:17" x14ac:dyDescent="0.3">
      <c r="A18" s="6" t="s">
        <v>59</v>
      </c>
      <c r="B18" s="1" t="s">
        <v>35</v>
      </c>
      <c r="C18" s="7">
        <v>45782</v>
      </c>
      <c r="D18" s="1" t="s">
        <v>19</v>
      </c>
      <c r="E18" s="1" t="s">
        <v>44</v>
      </c>
      <c r="F18" s="1">
        <v>4441</v>
      </c>
      <c r="G18" s="1">
        <v>511</v>
      </c>
      <c r="H18" s="1">
        <v>70</v>
      </c>
      <c r="I18" s="1">
        <v>53292</v>
      </c>
      <c r="J18" s="1">
        <v>53082</v>
      </c>
      <c r="K18" s="1">
        <v>159</v>
      </c>
      <c r="L18" s="1" t="s">
        <v>31</v>
      </c>
      <c r="M18" s="1" t="s">
        <v>359</v>
      </c>
      <c r="N18" s="1" t="s">
        <v>359</v>
      </c>
      <c r="O18" s="8" t="s">
        <v>32</v>
      </c>
      <c r="P18" s="15">
        <f>(Table1_149[[#This Row],[Likes]]+Table1_149[[#This Row],[Shares]]+Table1_149[[#This Row],[Comments]])/Table1_149[[#This Row],[Impressions]]</f>
        <v>9.4235532537716729E-2</v>
      </c>
      <c r="Q18" s="81" t="str">
        <f t="shared" si="0"/>
        <v>After</v>
      </c>
    </row>
    <row r="19" spans="1:17" x14ac:dyDescent="0.3">
      <c r="A19" s="6" t="s">
        <v>60</v>
      </c>
      <c r="B19" s="1" t="s">
        <v>28</v>
      </c>
      <c r="C19" s="7">
        <v>45523</v>
      </c>
      <c r="D19" s="1" t="s">
        <v>15</v>
      </c>
      <c r="E19" s="1" t="s">
        <v>61</v>
      </c>
      <c r="F19" s="1">
        <v>3000</v>
      </c>
      <c r="G19" s="1">
        <v>382</v>
      </c>
      <c r="H19" s="1">
        <v>325</v>
      </c>
      <c r="I19" s="1">
        <v>36000</v>
      </c>
      <c r="J19" s="1">
        <v>35819</v>
      </c>
      <c r="K19" s="1">
        <v>19</v>
      </c>
      <c r="L19" s="1" t="s">
        <v>48</v>
      </c>
      <c r="M19" s="1" t="s">
        <v>359</v>
      </c>
      <c r="N19" s="1" t="s">
        <v>359</v>
      </c>
      <c r="O19" s="8" t="s">
        <v>17</v>
      </c>
      <c r="P19" s="15">
        <f>(Table1_149[[#This Row],[Likes]]+Table1_149[[#This Row],[Shares]]+Table1_149[[#This Row],[Comments]])/Table1_149[[#This Row],[Impressions]]</f>
        <v>0.10297222222222223</v>
      </c>
      <c r="Q19" s="81" t="str">
        <f t="shared" si="0"/>
        <v>Before</v>
      </c>
    </row>
    <row r="20" spans="1:17" x14ac:dyDescent="0.3">
      <c r="A20" s="6" t="s">
        <v>62</v>
      </c>
      <c r="B20" s="1" t="s">
        <v>28</v>
      </c>
      <c r="C20" s="7">
        <v>45466</v>
      </c>
      <c r="D20" s="1" t="s">
        <v>56</v>
      </c>
      <c r="E20" s="1" t="s">
        <v>63</v>
      </c>
      <c r="F20" s="1">
        <v>1071</v>
      </c>
      <c r="G20" s="1">
        <v>519</v>
      </c>
      <c r="H20" s="1">
        <v>22</v>
      </c>
      <c r="I20" s="1">
        <v>16065</v>
      </c>
      <c r="J20" s="1">
        <v>15865</v>
      </c>
      <c r="K20" s="1">
        <v>103</v>
      </c>
      <c r="L20" s="1" t="s">
        <v>25</v>
      </c>
      <c r="M20" s="1" t="s">
        <v>359</v>
      </c>
      <c r="N20" s="1" t="s">
        <v>359</v>
      </c>
      <c r="O20" s="8" t="s">
        <v>32</v>
      </c>
      <c r="P20" s="15">
        <f>(Table1_149[[#This Row],[Likes]]+Table1_149[[#This Row],[Shares]]+Table1_149[[#This Row],[Comments]])/Table1_149[[#This Row],[Impressions]]</f>
        <v>0.10034235916588857</v>
      </c>
      <c r="Q20" s="81" t="str">
        <f t="shared" si="0"/>
        <v>During</v>
      </c>
    </row>
    <row r="21" spans="1:17" x14ac:dyDescent="0.3">
      <c r="A21" s="6" t="s">
        <v>64</v>
      </c>
      <c r="B21" s="1" t="s">
        <v>28</v>
      </c>
      <c r="C21" s="7">
        <v>45544</v>
      </c>
      <c r="D21" s="1" t="s">
        <v>36</v>
      </c>
      <c r="E21" s="1" t="s">
        <v>65</v>
      </c>
      <c r="F21" s="1">
        <v>4054</v>
      </c>
      <c r="G21" s="1">
        <v>488</v>
      </c>
      <c r="H21" s="1">
        <v>373</v>
      </c>
      <c r="I21" s="1">
        <v>77026</v>
      </c>
      <c r="J21" s="1">
        <v>76881</v>
      </c>
      <c r="K21" s="1">
        <v>25</v>
      </c>
      <c r="L21" s="1" t="s">
        <v>25</v>
      </c>
      <c r="M21" s="1" t="s">
        <v>359</v>
      </c>
      <c r="N21" s="1" t="s">
        <v>359</v>
      </c>
      <c r="O21" s="8" t="s">
        <v>17</v>
      </c>
      <c r="P21" s="15">
        <f>(Table1_149[[#This Row],[Likes]]+Table1_149[[#This Row],[Shares]]+Table1_149[[#This Row],[Comments]])/Table1_149[[#This Row],[Impressions]]</f>
        <v>6.3809622724794221E-2</v>
      </c>
      <c r="Q21" s="81" t="str">
        <f t="shared" si="0"/>
        <v>Before</v>
      </c>
    </row>
    <row r="22" spans="1:17" x14ac:dyDescent="0.3">
      <c r="A22" s="6" t="s">
        <v>66</v>
      </c>
      <c r="B22" s="1" t="s">
        <v>28</v>
      </c>
      <c r="C22" s="7">
        <v>45661</v>
      </c>
      <c r="D22" s="1" t="s">
        <v>15</v>
      </c>
      <c r="E22" s="1" t="s">
        <v>61</v>
      </c>
      <c r="F22" s="1">
        <v>4838</v>
      </c>
      <c r="G22" s="1">
        <v>640</v>
      </c>
      <c r="H22" s="1">
        <v>128</v>
      </c>
      <c r="I22" s="1">
        <v>72570</v>
      </c>
      <c r="J22" s="1">
        <v>72396</v>
      </c>
      <c r="K22" s="1">
        <v>83</v>
      </c>
      <c r="L22" s="1" t="s">
        <v>48</v>
      </c>
      <c r="M22" s="1" t="s">
        <v>359</v>
      </c>
      <c r="N22" s="1" t="s">
        <v>359</v>
      </c>
      <c r="O22" s="8" t="s">
        <v>32</v>
      </c>
      <c r="P22" s="15">
        <f>(Table1_149[[#This Row],[Likes]]+Table1_149[[#This Row],[Shares]]+Table1_149[[#This Row],[Comments]])/Table1_149[[#This Row],[Impressions]]</f>
        <v>7.7249552156538517E-2</v>
      </c>
      <c r="Q22" s="81" t="str">
        <f t="shared" si="0"/>
        <v>After</v>
      </c>
    </row>
    <row r="23" spans="1:17" x14ac:dyDescent="0.3">
      <c r="A23" s="6" t="s">
        <v>67</v>
      </c>
      <c r="B23" s="1" t="s">
        <v>35</v>
      </c>
      <c r="C23" s="7">
        <v>45715</v>
      </c>
      <c r="D23" s="1" t="s">
        <v>19</v>
      </c>
      <c r="E23" s="1" t="s">
        <v>44</v>
      </c>
      <c r="F23" s="1">
        <v>1570</v>
      </c>
      <c r="G23" s="1">
        <v>187</v>
      </c>
      <c r="H23" s="1">
        <v>260</v>
      </c>
      <c r="I23" s="1">
        <v>25120</v>
      </c>
      <c r="J23" s="1">
        <v>24613</v>
      </c>
      <c r="K23" s="1">
        <v>133</v>
      </c>
      <c r="L23" s="1" t="s">
        <v>25</v>
      </c>
      <c r="M23" s="1" t="s">
        <v>359</v>
      </c>
      <c r="N23" s="1" t="s">
        <v>359</v>
      </c>
      <c r="O23" s="8" t="s">
        <v>32</v>
      </c>
      <c r="P23" s="15">
        <f>(Table1_149[[#This Row],[Likes]]+Table1_149[[#This Row],[Shares]]+Table1_149[[#This Row],[Comments]])/Table1_149[[#This Row],[Impressions]]</f>
        <v>8.0294585987261149E-2</v>
      </c>
      <c r="Q23" s="81" t="str">
        <f t="shared" si="0"/>
        <v>After</v>
      </c>
    </row>
    <row r="24" spans="1:17" x14ac:dyDescent="0.3">
      <c r="A24" s="6" t="s">
        <v>68</v>
      </c>
      <c r="B24" s="1" t="s">
        <v>35</v>
      </c>
      <c r="C24" s="7">
        <v>45602</v>
      </c>
      <c r="D24" s="1" t="s">
        <v>56</v>
      </c>
      <c r="E24" s="1" t="s">
        <v>57</v>
      </c>
      <c r="F24" s="1">
        <v>1606</v>
      </c>
      <c r="G24" s="1">
        <v>547</v>
      </c>
      <c r="H24" s="1">
        <v>316</v>
      </c>
      <c r="I24" s="1">
        <v>32120</v>
      </c>
      <c r="J24" s="1">
        <v>31736</v>
      </c>
      <c r="K24" s="1">
        <v>225</v>
      </c>
      <c r="L24" s="1" t="s">
        <v>25</v>
      </c>
      <c r="M24" s="1" t="s">
        <v>354</v>
      </c>
      <c r="N24" s="1" t="s">
        <v>359</v>
      </c>
      <c r="O24" s="8" t="s">
        <v>21</v>
      </c>
      <c r="P24" s="15">
        <f>(Table1_149[[#This Row],[Likes]]+Table1_149[[#This Row],[Shares]]+Table1_149[[#This Row],[Comments]])/Table1_149[[#This Row],[Impressions]]</f>
        <v>7.6867995018679955E-2</v>
      </c>
      <c r="Q24" s="81" t="str">
        <f t="shared" si="0"/>
        <v>Before</v>
      </c>
    </row>
    <row r="25" spans="1:17" x14ac:dyDescent="0.3">
      <c r="A25" s="6" t="s">
        <v>69</v>
      </c>
      <c r="B25" s="1" t="s">
        <v>35</v>
      </c>
      <c r="C25" s="7">
        <v>45680</v>
      </c>
      <c r="D25" s="1" t="s">
        <v>56</v>
      </c>
      <c r="E25" s="1" t="s">
        <v>57</v>
      </c>
      <c r="F25" s="1">
        <v>3961</v>
      </c>
      <c r="G25" s="1">
        <v>761</v>
      </c>
      <c r="H25" s="1">
        <v>131</v>
      </c>
      <c r="I25" s="1">
        <v>67337</v>
      </c>
      <c r="J25" s="1">
        <v>66615</v>
      </c>
      <c r="K25" s="1">
        <v>161</v>
      </c>
      <c r="L25" s="1" t="s">
        <v>48</v>
      </c>
      <c r="M25" s="1" t="s">
        <v>359</v>
      </c>
      <c r="N25" s="1" t="s">
        <v>359</v>
      </c>
      <c r="O25" s="8" t="s">
        <v>26</v>
      </c>
      <c r="P25" s="15">
        <f>(Table1_149[[#This Row],[Likes]]+Table1_149[[#This Row],[Shares]]+Table1_149[[#This Row],[Comments]])/Table1_149[[#This Row],[Impressions]]</f>
        <v>7.2070332803659209E-2</v>
      </c>
      <c r="Q25" s="81" t="str">
        <f t="shared" si="0"/>
        <v>Before</v>
      </c>
    </row>
    <row r="26" spans="1:17" x14ac:dyDescent="0.3">
      <c r="A26" s="6" t="s">
        <v>70</v>
      </c>
      <c r="B26" s="1" t="s">
        <v>14</v>
      </c>
      <c r="C26" s="7">
        <v>45757</v>
      </c>
      <c r="D26" s="1" t="s">
        <v>36</v>
      </c>
      <c r="E26" s="1" t="s">
        <v>39</v>
      </c>
      <c r="F26" s="1">
        <v>3128</v>
      </c>
      <c r="G26" s="1">
        <v>211</v>
      </c>
      <c r="H26" s="1">
        <v>197</v>
      </c>
      <c r="I26" s="1">
        <v>59432</v>
      </c>
      <c r="J26" s="1">
        <v>59182</v>
      </c>
      <c r="K26" s="1">
        <v>238</v>
      </c>
      <c r="L26" s="1" t="s">
        <v>31</v>
      </c>
      <c r="M26" s="1" t="s">
        <v>359</v>
      </c>
      <c r="N26" s="1" t="s">
        <v>359</v>
      </c>
      <c r="O26" s="8" t="s">
        <v>360</v>
      </c>
      <c r="P26" s="15">
        <f>(Table1_149[[#This Row],[Likes]]+Table1_149[[#This Row],[Shares]]+Table1_149[[#This Row],[Comments]])/Table1_149[[#This Row],[Impressions]]</f>
        <v>5.9496567505720827E-2</v>
      </c>
      <c r="Q26" s="81" t="b">
        <f t="shared" si="0"/>
        <v>0</v>
      </c>
    </row>
    <row r="27" spans="1:17" x14ac:dyDescent="0.3">
      <c r="A27" s="6" t="s">
        <v>71</v>
      </c>
      <c r="B27" s="1" t="s">
        <v>23</v>
      </c>
      <c r="C27" s="7">
        <v>45752</v>
      </c>
      <c r="D27" s="1" t="s">
        <v>15</v>
      </c>
      <c r="E27" s="1" t="s">
        <v>24</v>
      </c>
      <c r="F27" s="1">
        <v>3009</v>
      </c>
      <c r="G27" s="1">
        <v>413</v>
      </c>
      <c r="H27" s="1">
        <v>358</v>
      </c>
      <c r="I27" s="1">
        <v>42126</v>
      </c>
      <c r="J27" s="1">
        <v>41309</v>
      </c>
      <c r="K27" s="1">
        <v>211</v>
      </c>
      <c r="L27" s="1" t="s">
        <v>48</v>
      </c>
      <c r="M27" s="1" t="s">
        <v>359</v>
      </c>
      <c r="N27" s="1" t="s">
        <v>359</v>
      </c>
      <c r="O27" s="8" t="s">
        <v>21</v>
      </c>
      <c r="P27" s="15">
        <f>(Table1_149[[#This Row],[Likes]]+Table1_149[[#This Row],[Shares]]+Table1_149[[#This Row],[Comments]])/Table1_149[[#This Row],[Impressions]]</f>
        <v>8.9730807577268201E-2</v>
      </c>
      <c r="Q27" s="81" t="str">
        <f t="shared" si="0"/>
        <v>After</v>
      </c>
    </row>
    <row r="28" spans="1:17" x14ac:dyDescent="0.3">
      <c r="A28" s="6" t="s">
        <v>72</v>
      </c>
      <c r="B28" s="1" t="s">
        <v>23</v>
      </c>
      <c r="C28" s="7">
        <v>45552</v>
      </c>
      <c r="D28" s="1" t="s">
        <v>19</v>
      </c>
      <c r="E28" s="1" t="s">
        <v>73</v>
      </c>
      <c r="F28" s="1">
        <v>2076</v>
      </c>
      <c r="G28" s="1">
        <v>195</v>
      </c>
      <c r="H28" s="1">
        <v>104</v>
      </c>
      <c r="I28" s="1">
        <v>33216</v>
      </c>
      <c r="J28" s="1">
        <v>32244</v>
      </c>
      <c r="K28" s="1">
        <v>51</v>
      </c>
      <c r="L28" s="1" t="s">
        <v>48</v>
      </c>
      <c r="M28" s="1" t="s">
        <v>359</v>
      </c>
      <c r="N28" s="1" t="s">
        <v>359</v>
      </c>
      <c r="O28" s="8" t="s">
        <v>32</v>
      </c>
      <c r="P28" s="15">
        <f>(Table1_149[[#This Row],[Likes]]+Table1_149[[#This Row],[Shares]]+Table1_149[[#This Row],[Comments]])/Table1_149[[#This Row],[Impressions]]</f>
        <v>7.1501685934489398E-2</v>
      </c>
      <c r="Q28" s="81" t="str">
        <f t="shared" si="0"/>
        <v>After</v>
      </c>
    </row>
    <row r="29" spans="1:17" x14ac:dyDescent="0.3">
      <c r="A29" s="6" t="s">
        <v>74</v>
      </c>
      <c r="B29" s="1" t="s">
        <v>28</v>
      </c>
      <c r="C29" s="7">
        <v>45720</v>
      </c>
      <c r="D29" s="1" t="s">
        <v>56</v>
      </c>
      <c r="E29" s="1" t="s">
        <v>63</v>
      </c>
      <c r="F29" s="1">
        <v>432</v>
      </c>
      <c r="G29" s="1">
        <v>624</v>
      </c>
      <c r="H29" s="1">
        <v>123</v>
      </c>
      <c r="I29" s="1">
        <v>6912</v>
      </c>
      <c r="J29" s="1">
        <v>6259</v>
      </c>
      <c r="K29" s="1">
        <v>79</v>
      </c>
      <c r="L29" s="1" t="s">
        <v>48</v>
      </c>
      <c r="M29" s="1" t="s">
        <v>359</v>
      </c>
      <c r="N29" s="1" t="s">
        <v>359</v>
      </c>
      <c r="O29" s="8" t="s">
        <v>32</v>
      </c>
      <c r="P29" s="15">
        <f>(Table1_149[[#This Row],[Likes]]+Table1_149[[#This Row],[Shares]]+Table1_149[[#This Row],[Comments]])/Table1_149[[#This Row],[Impressions]]</f>
        <v>0.17057291666666666</v>
      </c>
      <c r="Q29" s="81" t="str">
        <f t="shared" si="0"/>
        <v>After</v>
      </c>
    </row>
    <row r="30" spans="1:17" x14ac:dyDescent="0.3">
      <c r="A30" s="6" t="s">
        <v>75</v>
      </c>
      <c r="B30" s="1" t="s">
        <v>28</v>
      </c>
      <c r="C30" s="7">
        <v>45688</v>
      </c>
      <c r="D30" s="1" t="s">
        <v>36</v>
      </c>
      <c r="E30" s="1" t="s">
        <v>65</v>
      </c>
      <c r="F30" s="1">
        <v>2566</v>
      </c>
      <c r="G30" s="1">
        <v>118</v>
      </c>
      <c r="H30" s="1">
        <v>37</v>
      </c>
      <c r="I30" s="1">
        <v>12830</v>
      </c>
      <c r="J30" s="1">
        <v>12264</v>
      </c>
      <c r="K30" s="1">
        <v>221</v>
      </c>
      <c r="L30" s="1" t="s">
        <v>48</v>
      </c>
      <c r="M30" s="1" t="s">
        <v>359</v>
      </c>
      <c r="N30" s="1" t="s">
        <v>359</v>
      </c>
      <c r="O30" s="8" t="s">
        <v>26</v>
      </c>
      <c r="P30" s="15">
        <f>(Table1_149[[#This Row],[Likes]]+Table1_149[[#This Row],[Shares]]+Table1_149[[#This Row],[Comments]])/Table1_149[[#This Row],[Impressions]]</f>
        <v>0.21208106001558846</v>
      </c>
      <c r="Q30" s="81" t="str">
        <f t="shared" si="0"/>
        <v>Before</v>
      </c>
    </row>
    <row r="31" spans="1:17" x14ac:dyDescent="0.3">
      <c r="A31" s="6" t="s">
        <v>76</v>
      </c>
      <c r="B31" s="1" t="s">
        <v>28</v>
      </c>
      <c r="C31" s="7">
        <v>45713</v>
      </c>
      <c r="D31" s="1" t="s">
        <v>56</v>
      </c>
      <c r="E31" s="1" t="s">
        <v>63</v>
      </c>
      <c r="F31" s="1">
        <v>3095</v>
      </c>
      <c r="G31" s="1">
        <v>39</v>
      </c>
      <c r="H31" s="1">
        <v>78</v>
      </c>
      <c r="I31" s="1">
        <v>55710</v>
      </c>
      <c r="J31" s="1">
        <v>54808</v>
      </c>
      <c r="K31" s="1">
        <v>93</v>
      </c>
      <c r="L31" s="1" t="s">
        <v>31</v>
      </c>
      <c r="M31" s="1" t="s">
        <v>359</v>
      </c>
      <c r="N31" s="1" t="s">
        <v>359</v>
      </c>
      <c r="O31" s="8" t="s">
        <v>360</v>
      </c>
      <c r="P31" s="15">
        <f>(Table1_149[[#This Row],[Likes]]+Table1_149[[#This Row],[Shares]]+Table1_149[[#This Row],[Comments]])/Table1_149[[#This Row],[Impressions]]</f>
        <v>5.7655717106444085E-2</v>
      </c>
      <c r="Q31" s="81" t="b">
        <f t="shared" si="0"/>
        <v>0</v>
      </c>
    </row>
    <row r="32" spans="1:17" x14ac:dyDescent="0.3">
      <c r="A32" s="6" t="s">
        <v>77</v>
      </c>
      <c r="B32" s="1" t="s">
        <v>28</v>
      </c>
      <c r="C32" s="7">
        <v>45642</v>
      </c>
      <c r="D32" s="1" t="s">
        <v>19</v>
      </c>
      <c r="E32" s="1" t="s">
        <v>78</v>
      </c>
      <c r="F32" s="1">
        <v>438</v>
      </c>
      <c r="G32" s="1">
        <v>153</v>
      </c>
      <c r="H32" s="1">
        <v>275</v>
      </c>
      <c r="I32" s="1">
        <v>3066</v>
      </c>
      <c r="J32" s="1">
        <v>2701</v>
      </c>
      <c r="K32" s="1">
        <v>282</v>
      </c>
      <c r="L32" s="1" t="s">
        <v>25</v>
      </c>
      <c r="M32" s="1" t="s">
        <v>359</v>
      </c>
      <c r="N32" s="1" t="s">
        <v>359</v>
      </c>
      <c r="O32" s="8" t="s">
        <v>21</v>
      </c>
      <c r="P32" s="15">
        <f>(Table1_149[[#This Row],[Likes]]+Table1_149[[#This Row],[Shares]]+Table1_149[[#This Row],[Comments]])/Table1_149[[#This Row],[Impressions]]</f>
        <v>0.28245270711024134</v>
      </c>
      <c r="Q32" s="81" t="str">
        <f t="shared" si="0"/>
        <v>Before</v>
      </c>
    </row>
    <row r="33" spans="1:17" x14ac:dyDescent="0.3">
      <c r="A33" s="6" t="s">
        <v>79</v>
      </c>
      <c r="B33" s="1" t="s">
        <v>14</v>
      </c>
      <c r="C33" s="7">
        <v>45504</v>
      </c>
      <c r="D33" s="1" t="s">
        <v>36</v>
      </c>
      <c r="E33" s="1" t="s">
        <v>39</v>
      </c>
      <c r="F33" s="1">
        <v>2278</v>
      </c>
      <c r="G33" s="1">
        <v>10</v>
      </c>
      <c r="H33" s="1">
        <v>321</v>
      </c>
      <c r="I33" s="1">
        <v>13668</v>
      </c>
      <c r="J33" s="1">
        <v>12676</v>
      </c>
      <c r="K33" s="1">
        <v>275</v>
      </c>
      <c r="L33" s="1" t="s">
        <v>31</v>
      </c>
      <c r="M33" s="1" t="s">
        <v>359</v>
      </c>
      <c r="N33" s="1" t="s">
        <v>359</v>
      </c>
      <c r="O33" s="8" t="s">
        <v>17</v>
      </c>
      <c r="P33" s="15">
        <f>(Table1_149[[#This Row],[Likes]]+Table1_149[[#This Row],[Shares]]+Table1_149[[#This Row],[Comments]])/Table1_149[[#This Row],[Impressions]]</f>
        <v>0.19088381621305239</v>
      </c>
      <c r="Q33" s="81" t="str">
        <f t="shared" si="0"/>
        <v>Before</v>
      </c>
    </row>
    <row r="34" spans="1:17" x14ac:dyDescent="0.3">
      <c r="A34" s="6" t="s">
        <v>80</v>
      </c>
      <c r="B34" s="1" t="s">
        <v>35</v>
      </c>
      <c r="C34" s="7">
        <v>45525</v>
      </c>
      <c r="D34" s="1" t="s">
        <v>41</v>
      </c>
      <c r="E34" s="1" t="s">
        <v>46</v>
      </c>
      <c r="F34" s="1">
        <v>1407</v>
      </c>
      <c r="G34" s="1">
        <v>400</v>
      </c>
      <c r="H34" s="1">
        <v>351</v>
      </c>
      <c r="I34" s="1">
        <v>16884</v>
      </c>
      <c r="J34" s="1">
        <v>15954</v>
      </c>
      <c r="K34" s="1">
        <v>113</v>
      </c>
      <c r="L34" s="1" t="s">
        <v>25</v>
      </c>
      <c r="M34" s="1" t="s">
        <v>359</v>
      </c>
      <c r="N34" s="1" t="s">
        <v>359</v>
      </c>
      <c r="O34" s="8" t="s">
        <v>17</v>
      </c>
      <c r="P34" s="15">
        <f>(Table1_149[[#This Row],[Likes]]+Table1_149[[#This Row],[Shares]]+Table1_149[[#This Row],[Comments]])/Table1_149[[#This Row],[Impressions]]</f>
        <v>0.12781331438047855</v>
      </c>
      <c r="Q34" s="81" t="str">
        <f t="shared" si="0"/>
        <v>Before</v>
      </c>
    </row>
    <row r="35" spans="1:17" x14ac:dyDescent="0.3">
      <c r="A35" s="6" t="s">
        <v>81</v>
      </c>
      <c r="B35" s="1" t="s">
        <v>35</v>
      </c>
      <c r="C35" s="7">
        <v>45742</v>
      </c>
      <c r="D35" s="1" t="s">
        <v>19</v>
      </c>
      <c r="E35" s="1" t="s">
        <v>44</v>
      </c>
      <c r="F35" s="1">
        <v>1652</v>
      </c>
      <c r="G35" s="1">
        <v>89</v>
      </c>
      <c r="H35" s="1">
        <v>357</v>
      </c>
      <c r="I35" s="1">
        <v>29736</v>
      </c>
      <c r="J35" s="1">
        <v>28771</v>
      </c>
      <c r="K35" s="1">
        <v>215</v>
      </c>
      <c r="L35" s="1" t="s">
        <v>25</v>
      </c>
      <c r="M35" s="1" t="s">
        <v>359</v>
      </c>
      <c r="N35" s="1" t="s">
        <v>359</v>
      </c>
      <c r="O35" s="8" t="s">
        <v>26</v>
      </c>
      <c r="P35" s="15">
        <f>(Table1_149[[#This Row],[Likes]]+Table1_149[[#This Row],[Shares]]+Table1_149[[#This Row],[Comments]])/Table1_149[[#This Row],[Impressions]]</f>
        <v>7.055421038471886E-2</v>
      </c>
      <c r="Q35" s="81" t="str">
        <f t="shared" si="0"/>
        <v>Before</v>
      </c>
    </row>
    <row r="36" spans="1:17" x14ac:dyDescent="0.3">
      <c r="A36" s="6" t="s">
        <v>82</v>
      </c>
      <c r="B36" s="1" t="s">
        <v>28</v>
      </c>
      <c r="C36" s="7">
        <v>45626</v>
      </c>
      <c r="D36" s="1" t="s">
        <v>56</v>
      </c>
      <c r="E36" s="1" t="s">
        <v>63</v>
      </c>
      <c r="F36" s="1">
        <v>3775</v>
      </c>
      <c r="G36" s="1">
        <v>16</v>
      </c>
      <c r="H36" s="1">
        <v>239</v>
      </c>
      <c r="I36" s="1">
        <v>33975</v>
      </c>
      <c r="J36" s="1">
        <v>33310</v>
      </c>
      <c r="K36" s="1">
        <v>271</v>
      </c>
      <c r="L36" s="1" t="s">
        <v>48</v>
      </c>
      <c r="M36" s="1" t="s">
        <v>359</v>
      </c>
      <c r="N36" s="1" t="s">
        <v>359</v>
      </c>
      <c r="O36" s="8" t="s">
        <v>21</v>
      </c>
      <c r="P36" s="15">
        <f>(Table1_149[[#This Row],[Likes]]+Table1_149[[#This Row],[Shares]]+Table1_149[[#This Row],[Comments]])/Table1_149[[#This Row],[Impressions]]</f>
        <v>0.11861662987490802</v>
      </c>
      <c r="Q36" s="81" t="str">
        <f t="shared" si="0"/>
        <v>Before</v>
      </c>
    </row>
    <row r="37" spans="1:17" x14ac:dyDescent="0.3">
      <c r="A37" s="6" t="s">
        <v>83</v>
      </c>
      <c r="B37" s="1" t="s">
        <v>28</v>
      </c>
      <c r="C37" s="7">
        <v>45766</v>
      </c>
      <c r="D37" s="1" t="s">
        <v>29</v>
      </c>
      <c r="E37" s="1" t="s">
        <v>30</v>
      </c>
      <c r="F37" s="1">
        <v>4518</v>
      </c>
      <c r="G37" s="1">
        <v>285</v>
      </c>
      <c r="H37" s="1">
        <v>383</v>
      </c>
      <c r="I37" s="1">
        <v>67770</v>
      </c>
      <c r="J37" s="1">
        <v>67621</v>
      </c>
      <c r="K37" s="1">
        <v>31</v>
      </c>
      <c r="L37" s="1" t="s">
        <v>31</v>
      </c>
      <c r="M37" s="1" t="s">
        <v>359</v>
      </c>
      <c r="N37" s="1" t="s">
        <v>359</v>
      </c>
      <c r="O37" s="8" t="s">
        <v>21</v>
      </c>
      <c r="P37" s="15">
        <f>(Table1_149[[#This Row],[Likes]]+Table1_149[[#This Row],[Shares]]+Table1_149[[#This Row],[Comments]])/Table1_149[[#This Row],[Impressions]]</f>
        <v>7.6523535487678915E-2</v>
      </c>
      <c r="Q37" s="81" t="str">
        <f t="shared" si="0"/>
        <v>After</v>
      </c>
    </row>
    <row r="38" spans="1:17" x14ac:dyDescent="0.3">
      <c r="A38" s="6" t="s">
        <v>84</v>
      </c>
      <c r="B38" s="1" t="s">
        <v>35</v>
      </c>
      <c r="C38" s="7">
        <v>45663</v>
      </c>
      <c r="D38" s="1" t="s">
        <v>36</v>
      </c>
      <c r="E38" s="1" t="s">
        <v>37</v>
      </c>
      <c r="F38" s="1">
        <v>3024</v>
      </c>
      <c r="G38" s="1">
        <v>925</v>
      </c>
      <c r="H38" s="1">
        <v>350</v>
      </c>
      <c r="I38" s="1">
        <v>24192</v>
      </c>
      <c r="J38" s="1">
        <v>23518</v>
      </c>
      <c r="K38" s="1">
        <v>36</v>
      </c>
      <c r="L38" s="1" t="s">
        <v>31</v>
      </c>
      <c r="M38" s="1" t="s">
        <v>359</v>
      </c>
      <c r="N38" s="1" t="s">
        <v>359</v>
      </c>
      <c r="O38" s="8" t="s">
        <v>21</v>
      </c>
      <c r="P38" s="15">
        <f>(Table1_149[[#This Row],[Likes]]+Table1_149[[#This Row],[Shares]]+Table1_149[[#This Row],[Comments]])/Table1_149[[#This Row],[Impressions]]</f>
        <v>0.17770337301587302</v>
      </c>
      <c r="Q38" s="81" t="str">
        <f t="shared" si="0"/>
        <v>Before</v>
      </c>
    </row>
    <row r="39" spans="1:17" x14ac:dyDescent="0.3">
      <c r="A39" s="6" t="s">
        <v>85</v>
      </c>
      <c r="B39" s="1" t="s">
        <v>23</v>
      </c>
      <c r="C39" s="7">
        <v>45705</v>
      </c>
      <c r="D39" s="1" t="s">
        <v>15</v>
      </c>
      <c r="E39" s="1" t="s">
        <v>24</v>
      </c>
      <c r="F39" s="1">
        <v>3138</v>
      </c>
      <c r="G39" s="1">
        <v>123</v>
      </c>
      <c r="H39" s="1">
        <v>291</v>
      </c>
      <c r="I39" s="1">
        <v>28242</v>
      </c>
      <c r="J39" s="1">
        <v>27550</v>
      </c>
      <c r="K39" s="1">
        <v>87</v>
      </c>
      <c r="L39" s="1" t="s">
        <v>25</v>
      </c>
      <c r="M39" s="1" t="s">
        <v>359</v>
      </c>
      <c r="N39" s="1" t="s">
        <v>359</v>
      </c>
      <c r="O39" s="8" t="s">
        <v>32</v>
      </c>
      <c r="P39" s="15">
        <f>(Table1_149[[#This Row],[Likes]]+Table1_149[[#This Row],[Shares]]+Table1_149[[#This Row],[Comments]])/Table1_149[[#This Row],[Impressions]]</f>
        <v>0.12577012959422137</v>
      </c>
      <c r="Q39" s="81" t="str">
        <f t="shared" si="0"/>
        <v>After</v>
      </c>
    </row>
    <row r="40" spans="1:17" x14ac:dyDescent="0.3">
      <c r="A40" s="6" t="s">
        <v>86</v>
      </c>
      <c r="B40" s="1" t="s">
        <v>35</v>
      </c>
      <c r="C40" s="7">
        <v>45621</v>
      </c>
      <c r="D40" s="1" t="s">
        <v>41</v>
      </c>
      <c r="E40" s="1" t="s">
        <v>46</v>
      </c>
      <c r="F40" s="1">
        <v>3564</v>
      </c>
      <c r="G40" s="1">
        <v>629</v>
      </c>
      <c r="H40" s="1">
        <v>177</v>
      </c>
      <c r="I40" s="1">
        <v>60588</v>
      </c>
      <c r="J40" s="1">
        <v>59627</v>
      </c>
      <c r="K40" s="1">
        <v>92</v>
      </c>
      <c r="L40" s="1" t="s">
        <v>25</v>
      </c>
      <c r="M40" s="1" t="s">
        <v>359</v>
      </c>
      <c r="N40" s="1" t="s">
        <v>359</v>
      </c>
      <c r="O40" s="8" t="s">
        <v>360</v>
      </c>
      <c r="P40" s="15">
        <f>(Table1_149[[#This Row],[Likes]]+Table1_149[[#This Row],[Shares]]+Table1_149[[#This Row],[Comments]])/Table1_149[[#This Row],[Impressions]]</f>
        <v>7.2126493695121141E-2</v>
      </c>
      <c r="Q40" s="81" t="b">
        <f t="shared" si="0"/>
        <v>0</v>
      </c>
    </row>
    <row r="41" spans="1:17" x14ac:dyDescent="0.3">
      <c r="A41" s="6" t="s">
        <v>87</v>
      </c>
      <c r="B41" s="1" t="s">
        <v>14</v>
      </c>
      <c r="C41" s="7">
        <v>45723</v>
      </c>
      <c r="D41" s="1" t="s">
        <v>41</v>
      </c>
      <c r="E41" s="1" t="s">
        <v>88</v>
      </c>
      <c r="F41" s="1">
        <v>4750</v>
      </c>
      <c r="G41" s="1">
        <v>151</v>
      </c>
      <c r="H41" s="1">
        <v>415</v>
      </c>
      <c r="I41" s="1">
        <v>38000</v>
      </c>
      <c r="J41" s="1">
        <v>37792</v>
      </c>
      <c r="K41" s="1">
        <v>299</v>
      </c>
      <c r="L41" s="1" t="s">
        <v>31</v>
      </c>
      <c r="M41" s="1" t="s">
        <v>359</v>
      </c>
      <c r="N41" s="1" t="s">
        <v>359</v>
      </c>
      <c r="O41" s="8" t="s">
        <v>32</v>
      </c>
      <c r="P41" s="15">
        <f>(Table1_149[[#This Row],[Likes]]+Table1_149[[#This Row],[Shares]]+Table1_149[[#This Row],[Comments]])/Table1_149[[#This Row],[Impressions]]</f>
        <v>0.13989473684210527</v>
      </c>
      <c r="Q41" s="81" t="str">
        <f t="shared" si="0"/>
        <v>After</v>
      </c>
    </row>
    <row r="42" spans="1:17" x14ac:dyDescent="0.3">
      <c r="A42" s="6" t="s">
        <v>89</v>
      </c>
      <c r="B42" s="1" t="s">
        <v>28</v>
      </c>
      <c r="C42" s="7">
        <v>45724</v>
      </c>
      <c r="D42" s="1" t="s">
        <v>15</v>
      </c>
      <c r="E42" s="1" t="s">
        <v>61</v>
      </c>
      <c r="F42" s="1">
        <v>456</v>
      </c>
      <c r="G42" s="1">
        <v>629</v>
      </c>
      <c r="H42" s="1">
        <v>428</v>
      </c>
      <c r="I42" s="1">
        <v>8208</v>
      </c>
      <c r="J42" s="1">
        <v>7377</v>
      </c>
      <c r="K42" s="1">
        <v>205</v>
      </c>
      <c r="L42" s="1" t="s">
        <v>48</v>
      </c>
      <c r="M42" s="1" t="s">
        <v>359</v>
      </c>
      <c r="N42" s="1" t="s">
        <v>359</v>
      </c>
      <c r="O42" s="8" t="s">
        <v>32</v>
      </c>
      <c r="P42" s="15">
        <f>(Table1_149[[#This Row],[Likes]]+Table1_149[[#This Row],[Shares]]+Table1_149[[#This Row],[Comments]])/Table1_149[[#This Row],[Impressions]]</f>
        <v>0.18433235867446393</v>
      </c>
      <c r="Q42" s="81" t="str">
        <f t="shared" si="0"/>
        <v>After</v>
      </c>
    </row>
    <row r="43" spans="1:17" x14ac:dyDescent="0.3">
      <c r="A43" s="6" t="s">
        <v>90</v>
      </c>
      <c r="B43" s="1" t="s">
        <v>23</v>
      </c>
      <c r="C43" s="7">
        <v>45721</v>
      </c>
      <c r="D43" s="1" t="s">
        <v>15</v>
      </c>
      <c r="E43" s="1" t="s">
        <v>24</v>
      </c>
      <c r="F43" s="1">
        <v>1543</v>
      </c>
      <c r="G43" s="1">
        <v>820</v>
      </c>
      <c r="H43" s="1">
        <v>333</v>
      </c>
      <c r="I43" s="1">
        <v>12344</v>
      </c>
      <c r="J43" s="1">
        <v>11496</v>
      </c>
      <c r="K43" s="1">
        <v>241</v>
      </c>
      <c r="L43" s="1" t="s">
        <v>31</v>
      </c>
      <c r="M43" s="1" t="s">
        <v>359</v>
      </c>
      <c r="N43" s="1" t="s">
        <v>359</v>
      </c>
      <c r="O43" s="8" t="s">
        <v>360</v>
      </c>
      <c r="P43" s="15">
        <f>(Table1_149[[#This Row],[Likes]]+Table1_149[[#This Row],[Shares]]+Table1_149[[#This Row],[Comments]])/Table1_149[[#This Row],[Impressions]]</f>
        <v>0.21840570317563188</v>
      </c>
      <c r="Q43" s="81" t="b">
        <f t="shared" si="0"/>
        <v>0</v>
      </c>
    </row>
    <row r="44" spans="1:17" x14ac:dyDescent="0.3">
      <c r="A44" s="6" t="s">
        <v>91</v>
      </c>
      <c r="B44" s="1" t="s">
        <v>28</v>
      </c>
      <c r="C44" s="7">
        <v>45640</v>
      </c>
      <c r="D44" s="1" t="s">
        <v>36</v>
      </c>
      <c r="E44" s="1" t="s">
        <v>65</v>
      </c>
      <c r="F44" s="1">
        <v>2174</v>
      </c>
      <c r="G44" s="1">
        <v>658</v>
      </c>
      <c r="H44" s="1">
        <v>15</v>
      </c>
      <c r="I44" s="1">
        <v>13044</v>
      </c>
      <c r="J44" s="1">
        <v>12206</v>
      </c>
      <c r="K44" s="1">
        <v>137</v>
      </c>
      <c r="L44" s="1" t="s">
        <v>25</v>
      </c>
      <c r="M44" s="1" t="s">
        <v>359</v>
      </c>
      <c r="N44" s="1" t="s">
        <v>359</v>
      </c>
      <c r="O44" s="8" t="s">
        <v>26</v>
      </c>
      <c r="P44" s="15">
        <f>(Table1_149[[#This Row],[Likes]]+Table1_149[[#This Row],[Shares]]+Table1_149[[#This Row],[Comments]])/Table1_149[[#This Row],[Impressions]]</f>
        <v>0.21826126954921804</v>
      </c>
      <c r="Q44" s="81" t="str">
        <f t="shared" si="0"/>
        <v>Before</v>
      </c>
    </row>
    <row r="45" spans="1:17" x14ac:dyDescent="0.3">
      <c r="A45" s="6" t="s">
        <v>92</v>
      </c>
      <c r="B45" s="1" t="s">
        <v>14</v>
      </c>
      <c r="C45" s="7">
        <v>45718</v>
      </c>
      <c r="D45" s="1" t="s">
        <v>41</v>
      </c>
      <c r="E45" s="1" t="s">
        <v>88</v>
      </c>
      <c r="F45" s="1">
        <v>2358</v>
      </c>
      <c r="G45" s="1">
        <v>784</v>
      </c>
      <c r="H45" s="1">
        <v>344</v>
      </c>
      <c r="I45" s="1">
        <v>35370</v>
      </c>
      <c r="J45" s="1">
        <v>34475</v>
      </c>
      <c r="K45" s="1">
        <v>216</v>
      </c>
      <c r="L45" s="1" t="s">
        <v>25</v>
      </c>
      <c r="M45" s="1" t="s">
        <v>359</v>
      </c>
      <c r="N45" s="1" t="s">
        <v>359</v>
      </c>
      <c r="O45" s="8" t="s">
        <v>360</v>
      </c>
      <c r="P45" s="15">
        <f>(Table1_149[[#This Row],[Likes]]+Table1_149[[#This Row],[Shares]]+Table1_149[[#This Row],[Comments]])/Table1_149[[#This Row],[Impressions]]</f>
        <v>9.8558100084817649E-2</v>
      </c>
      <c r="Q45" s="81" t="b">
        <f t="shared" si="0"/>
        <v>0</v>
      </c>
    </row>
    <row r="46" spans="1:17" x14ac:dyDescent="0.3">
      <c r="A46" s="6" t="s">
        <v>93</v>
      </c>
      <c r="B46" s="1" t="s">
        <v>35</v>
      </c>
      <c r="C46" s="7">
        <v>45597</v>
      </c>
      <c r="D46" s="1" t="s">
        <v>56</v>
      </c>
      <c r="E46" s="1" t="s">
        <v>57</v>
      </c>
      <c r="F46" s="1">
        <v>3371</v>
      </c>
      <c r="G46" s="1">
        <v>106</v>
      </c>
      <c r="H46" s="1">
        <v>327</v>
      </c>
      <c r="I46" s="1">
        <v>50565</v>
      </c>
      <c r="J46" s="1">
        <v>49816</v>
      </c>
      <c r="K46" s="1">
        <v>176</v>
      </c>
      <c r="L46" s="1" t="s">
        <v>48</v>
      </c>
      <c r="M46" s="1" t="s">
        <v>359</v>
      </c>
      <c r="N46" s="1" t="s">
        <v>359</v>
      </c>
      <c r="O46" s="8" t="s">
        <v>17</v>
      </c>
      <c r="P46" s="15">
        <f>(Table1_149[[#This Row],[Likes]]+Table1_149[[#This Row],[Shares]]+Table1_149[[#This Row],[Comments]])/Table1_149[[#This Row],[Impressions]]</f>
        <v>7.5229902106199939E-2</v>
      </c>
      <c r="Q46" s="81" t="str">
        <f t="shared" si="0"/>
        <v>During</v>
      </c>
    </row>
    <row r="47" spans="1:17" x14ac:dyDescent="0.3">
      <c r="A47" s="6" t="s">
        <v>94</v>
      </c>
      <c r="B47" s="1" t="s">
        <v>14</v>
      </c>
      <c r="C47" s="7">
        <v>45779</v>
      </c>
      <c r="D47" s="1" t="s">
        <v>56</v>
      </c>
      <c r="E47" s="1" t="s">
        <v>95</v>
      </c>
      <c r="F47" s="1">
        <v>1108</v>
      </c>
      <c r="G47" s="1">
        <v>177</v>
      </c>
      <c r="H47" s="1">
        <v>212</v>
      </c>
      <c r="I47" s="1">
        <v>8864</v>
      </c>
      <c r="J47" s="1">
        <v>8710</v>
      </c>
      <c r="K47" s="1">
        <v>97</v>
      </c>
      <c r="L47" s="1" t="s">
        <v>25</v>
      </c>
      <c r="M47" s="1" t="s">
        <v>359</v>
      </c>
      <c r="N47" s="1" t="s">
        <v>359</v>
      </c>
      <c r="O47" s="8" t="s">
        <v>32</v>
      </c>
      <c r="P47" s="15">
        <f>(Table1_149[[#This Row],[Likes]]+Table1_149[[#This Row],[Shares]]+Table1_149[[#This Row],[Comments]])/Table1_149[[#This Row],[Impressions]]</f>
        <v>0.16888537906137185</v>
      </c>
      <c r="Q47" s="81" t="str">
        <f t="shared" si="0"/>
        <v>After</v>
      </c>
    </row>
    <row r="48" spans="1:17" x14ac:dyDescent="0.3">
      <c r="A48" s="6" t="s">
        <v>96</v>
      </c>
      <c r="B48" s="1" t="s">
        <v>14</v>
      </c>
      <c r="C48" s="7">
        <v>45712</v>
      </c>
      <c r="D48" s="1" t="s">
        <v>36</v>
      </c>
      <c r="E48" s="1" t="s">
        <v>39</v>
      </c>
      <c r="F48" s="1">
        <v>2704</v>
      </c>
      <c r="G48" s="1">
        <v>752</v>
      </c>
      <c r="H48" s="1">
        <v>153</v>
      </c>
      <c r="I48" s="1">
        <v>21632</v>
      </c>
      <c r="J48" s="1">
        <v>20792</v>
      </c>
      <c r="K48" s="1">
        <v>127</v>
      </c>
      <c r="L48" s="1" t="s">
        <v>48</v>
      </c>
      <c r="M48" s="1" t="s">
        <v>359</v>
      </c>
      <c r="N48" s="1" t="s">
        <v>359</v>
      </c>
      <c r="O48" s="8" t="s">
        <v>360</v>
      </c>
      <c r="P48" s="15">
        <f>(Table1_149[[#This Row],[Likes]]+Table1_149[[#This Row],[Shares]]+Table1_149[[#This Row],[Comments]])/Table1_149[[#This Row],[Impressions]]</f>
        <v>0.16683616863905326</v>
      </c>
      <c r="Q48" s="81" t="b">
        <f t="shared" si="0"/>
        <v>0</v>
      </c>
    </row>
    <row r="49" spans="1:17" x14ac:dyDescent="0.3">
      <c r="A49" s="6" t="s">
        <v>97</v>
      </c>
      <c r="B49" s="1" t="s">
        <v>14</v>
      </c>
      <c r="C49" s="7">
        <v>45727</v>
      </c>
      <c r="D49" s="1" t="s">
        <v>29</v>
      </c>
      <c r="E49" s="1" t="s">
        <v>98</v>
      </c>
      <c r="F49" s="1">
        <v>1950</v>
      </c>
      <c r="G49" s="1">
        <v>295</v>
      </c>
      <c r="H49" s="1">
        <v>478</v>
      </c>
      <c r="I49" s="1">
        <v>37050</v>
      </c>
      <c r="J49" s="1">
        <v>36272</v>
      </c>
      <c r="K49" s="1">
        <v>119</v>
      </c>
      <c r="L49" s="1" t="s">
        <v>25</v>
      </c>
      <c r="M49" s="1" t="s">
        <v>359</v>
      </c>
      <c r="N49" s="1" t="s">
        <v>359</v>
      </c>
      <c r="O49" s="8" t="s">
        <v>360</v>
      </c>
      <c r="P49" s="15">
        <f>(Table1_149[[#This Row],[Likes]]+Table1_149[[#This Row],[Shares]]+Table1_149[[#This Row],[Comments]])/Table1_149[[#This Row],[Impressions]]</f>
        <v>7.349527665317139E-2</v>
      </c>
      <c r="Q49" s="81" t="b">
        <f t="shared" si="0"/>
        <v>0</v>
      </c>
    </row>
    <row r="50" spans="1:17" x14ac:dyDescent="0.3">
      <c r="A50" s="6" t="s">
        <v>99</v>
      </c>
      <c r="B50" s="1" t="s">
        <v>14</v>
      </c>
      <c r="C50" s="7">
        <v>45453</v>
      </c>
      <c r="D50" s="1" t="s">
        <v>29</v>
      </c>
      <c r="E50" s="1" t="s">
        <v>98</v>
      </c>
      <c r="F50" s="1">
        <v>2164</v>
      </c>
      <c r="G50" s="1">
        <v>549</v>
      </c>
      <c r="H50" s="1">
        <v>274</v>
      </c>
      <c r="I50" s="1">
        <v>28132</v>
      </c>
      <c r="J50" s="1">
        <v>27361</v>
      </c>
      <c r="K50" s="1">
        <v>177</v>
      </c>
      <c r="L50" s="1" t="s">
        <v>25</v>
      </c>
      <c r="M50" s="1" t="s">
        <v>359</v>
      </c>
      <c r="N50" s="1" t="s">
        <v>359</v>
      </c>
      <c r="O50" s="8" t="s">
        <v>32</v>
      </c>
      <c r="P50" s="15">
        <f>(Table1_149[[#This Row],[Likes]]+Table1_149[[#This Row],[Shares]]+Table1_149[[#This Row],[Comments]])/Table1_149[[#This Row],[Impressions]]</f>
        <v>0.10617801791554102</v>
      </c>
      <c r="Q50" s="81" t="str">
        <f t="shared" si="0"/>
        <v>During</v>
      </c>
    </row>
    <row r="51" spans="1:17" x14ac:dyDescent="0.3">
      <c r="A51" s="6" t="s">
        <v>100</v>
      </c>
      <c r="B51" s="1" t="s">
        <v>23</v>
      </c>
      <c r="C51" s="7">
        <v>45476</v>
      </c>
      <c r="D51" s="1" t="s">
        <v>29</v>
      </c>
      <c r="E51" s="1" t="s">
        <v>101</v>
      </c>
      <c r="F51" s="1">
        <v>2754</v>
      </c>
      <c r="G51" s="1">
        <v>130</v>
      </c>
      <c r="H51" s="1">
        <v>90</v>
      </c>
      <c r="I51" s="1">
        <v>22032</v>
      </c>
      <c r="J51" s="1">
        <v>21288</v>
      </c>
      <c r="K51" s="1">
        <v>112</v>
      </c>
      <c r="L51" s="1" t="s">
        <v>25</v>
      </c>
      <c r="M51" s="1" t="s">
        <v>359</v>
      </c>
      <c r="N51" s="1" t="s">
        <v>359</v>
      </c>
      <c r="O51" s="8" t="s">
        <v>26</v>
      </c>
      <c r="P51" s="15">
        <f>(Table1_149[[#This Row],[Likes]]+Table1_149[[#This Row],[Shares]]+Table1_149[[#This Row],[Comments]])/Table1_149[[#This Row],[Impressions]]</f>
        <v>0.13498547567175018</v>
      </c>
      <c r="Q51" s="81" t="str">
        <f t="shared" si="0"/>
        <v>Before</v>
      </c>
    </row>
    <row r="52" spans="1:17" x14ac:dyDescent="0.3">
      <c r="A52" s="6" t="s">
        <v>102</v>
      </c>
      <c r="B52" s="1" t="s">
        <v>35</v>
      </c>
      <c r="C52" s="7">
        <v>45456</v>
      </c>
      <c r="D52" s="1" t="s">
        <v>36</v>
      </c>
      <c r="E52" s="1" t="s">
        <v>37</v>
      </c>
      <c r="F52" s="1">
        <v>2200</v>
      </c>
      <c r="G52" s="1">
        <v>504</v>
      </c>
      <c r="H52" s="1">
        <v>239</v>
      </c>
      <c r="I52" s="1">
        <v>37400</v>
      </c>
      <c r="J52" s="1">
        <v>36938</v>
      </c>
      <c r="K52" s="1">
        <v>225</v>
      </c>
      <c r="L52" s="1" t="s">
        <v>48</v>
      </c>
      <c r="M52" s="1" t="s">
        <v>359</v>
      </c>
      <c r="N52" s="1" t="s">
        <v>359</v>
      </c>
      <c r="O52" s="8" t="s">
        <v>21</v>
      </c>
      <c r="P52" s="15">
        <f>(Table1_149[[#This Row],[Likes]]+Table1_149[[#This Row],[Shares]]+Table1_149[[#This Row],[Comments]])/Table1_149[[#This Row],[Impressions]]</f>
        <v>7.8689839572192513E-2</v>
      </c>
      <c r="Q52" s="81" t="str">
        <f t="shared" si="0"/>
        <v>Before</v>
      </c>
    </row>
    <row r="53" spans="1:17" x14ac:dyDescent="0.3">
      <c r="A53" s="6" t="s">
        <v>103</v>
      </c>
      <c r="B53" s="1" t="s">
        <v>35</v>
      </c>
      <c r="C53" s="7">
        <v>45660</v>
      </c>
      <c r="D53" s="1" t="s">
        <v>41</v>
      </c>
      <c r="E53" s="1" t="s">
        <v>46</v>
      </c>
      <c r="F53" s="1">
        <v>947</v>
      </c>
      <c r="G53" s="1">
        <v>338</v>
      </c>
      <c r="H53" s="1">
        <v>350</v>
      </c>
      <c r="I53" s="1">
        <v>10417</v>
      </c>
      <c r="J53" s="1">
        <v>9730</v>
      </c>
      <c r="K53" s="1">
        <v>34</v>
      </c>
      <c r="L53" s="1" t="s">
        <v>25</v>
      </c>
      <c r="M53" s="1" t="s">
        <v>359</v>
      </c>
      <c r="N53" s="1" t="s">
        <v>359</v>
      </c>
      <c r="O53" s="8" t="s">
        <v>32</v>
      </c>
      <c r="P53" s="15">
        <f>(Table1_149[[#This Row],[Likes]]+Table1_149[[#This Row],[Shares]]+Table1_149[[#This Row],[Comments]])/Table1_149[[#This Row],[Impressions]]</f>
        <v>0.1569549774407219</v>
      </c>
      <c r="Q53" s="81" t="str">
        <f t="shared" si="0"/>
        <v>After</v>
      </c>
    </row>
    <row r="54" spans="1:17" x14ac:dyDescent="0.3">
      <c r="A54" s="6" t="s">
        <v>104</v>
      </c>
      <c r="B54" s="1" t="s">
        <v>23</v>
      </c>
      <c r="C54" s="7">
        <v>45712</v>
      </c>
      <c r="D54" s="1" t="s">
        <v>36</v>
      </c>
      <c r="E54" s="1" t="s">
        <v>52</v>
      </c>
      <c r="F54" s="1">
        <v>804</v>
      </c>
      <c r="G54" s="1">
        <v>639</v>
      </c>
      <c r="H54" s="1">
        <v>43</v>
      </c>
      <c r="I54" s="1">
        <v>4020</v>
      </c>
      <c r="J54" s="1">
        <v>3144</v>
      </c>
      <c r="K54" s="1">
        <v>11</v>
      </c>
      <c r="L54" s="1" t="s">
        <v>31</v>
      </c>
      <c r="M54" s="1" t="s">
        <v>355</v>
      </c>
      <c r="N54" s="1" t="s">
        <v>359</v>
      </c>
      <c r="O54" s="8" t="s">
        <v>360</v>
      </c>
      <c r="P54" s="15">
        <f>(Table1_149[[#This Row],[Likes]]+Table1_149[[#This Row],[Shares]]+Table1_149[[#This Row],[Comments]])/Table1_149[[#This Row],[Impressions]]</f>
        <v>0.36965174129353234</v>
      </c>
      <c r="Q54" s="81" t="b">
        <f t="shared" si="0"/>
        <v>0</v>
      </c>
    </row>
    <row r="55" spans="1:17" x14ac:dyDescent="0.3">
      <c r="A55" s="6" t="s">
        <v>105</v>
      </c>
      <c r="B55" s="1" t="s">
        <v>23</v>
      </c>
      <c r="C55" s="7">
        <v>45729</v>
      </c>
      <c r="D55" s="1" t="s">
        <v>36</v>
      </c>
      <c r="E55" s="1" t="s">
        <v>52</v>
      </c>
      <c r="F55" s="1">
        <v>1686</v>
      </c>
      <c r="G55" s="1">
        <v>904</v>
      </c>
      <c r="H55" s="1">
        <v>472</v>
      </c>
      <c r="I55" s="1">
        <v>18546</v>
      </c>
      <c r="J55" s="1">
        <v>18171</v>
      </c>
      <c r="K55" s="1">
        <v>52</v>
      </c>
      <c r="L55" s="1" t="s">
        <v>48</v>
      </c>
      <c r="M55" s="1" t="s">
        <v>359</v>
      </c>
      <c r="N55" s="1" t="s">
        <v>359</v>
      </c>
      <c r="O55" s="8" t="s">
        <v>21</v>
      </c>
      <c r="P55" s="15">
        <f>(Table1_149[[#This Row],[Likes]]+Table1_149[[#This Row],[Shares]]+Table1_149[[#This Row],[Comments]])/Table1_149[[#This Row],[Impressions]]</f>
        <v>0.16510298716704411</v>
      </c>
      <c r="Q55" s="81" t="str">
        <f t="shared" si="0"/>
        <v>During</v>
      </c>
    </row>
    <row r="56" spans="1:17" x14ac:dyDescent="0.3">
      <c r="A56" s="6" t="s">
        <v>106</v>
      </c>
      <c r="B56" s="1" t="s">
        <v>35</v>
      </c>
      <c r="C56" s="7">
        <v>45460</v>
      </c>
      <c r="D56" s="1" t="s">
        <v>41</v>
      </c>
      <c r="E56" s="1" t="s">
        <v>46</v>
      </c>
      <c r="F56" s="1">
        <v>1226</v>
      </c>
      <c r="G56" s="1">
        <v>119</v>
      </c>
      <c r="H56" s="1">
        <v>7</v>
      </c>
      <c r="I56" s="1">
        <v>14712</v>
      </c>
      <c r="J56" s="1">
        <v>14049</v>
      </c>
      <c r="K56" s="1">
        <v>123</v>
      </c>
      <c r="L56" s="1" t="s">
        <v>31</v>
      </c>
      <c r="M56" s="1" t="s">
        <v>359</v>
      </c>
      <c r="N56" s="1" t="s">
        <v>359</v>
      </c>
      <c r="O56" s="8" t="s">
        <v>32</v>
      </c>
      <c r="P56" s="15">
        <f>(Table1_149[[#This Row],[Likes]]+Table1_149[[#This Row],[Shares]]+Table1_149[[#This Row],[Comments]])/Table1_149[[#This Row],[Impressions]]</f>
        <v>9.1897770527460579E-2</v>
      </c>
      <c r="Q56" s="81" t="str">
        <f t="shared" si="0"/>
        <v>During</v>
      </c>
    </row>
    <row r="57" spans="1:17" x14ac:dyDescent="0.3">
      <c r="A57" s="6" t="s">
        <v>107</v>
      </c>
      <c r="B57" s="1" t="s">
        <v>35</v>
      </c>
      <c r="C57" s="7">
        <v>45644</v>
      </c>
      <c r="D57" s="1" t="s">
        <v>36</v>
      </c>
      <c r="E57" s="1" t="s">
        <v>37</v>
      </c>
      <c r="F57" s="1">
        <v>2946</v>
      </c>
      <c r="G57" s="1">
        <v>498</v>
      </c>
      <c r="H57" s="1">
        <v>367</v>
      </c>
      <c r="I57" s="1">
        <v>29460</v>
      </c>
      <c r="J57" s="1">
        <v>28527</v>
      </c>
      <c r="K57" s="1">
        <v>60</v>
      </c>
      <c r="L57" s="1" t="s">
        <v>48</v>
      </c>
      <c r="M57" s="1" t="s">
        <v>359</v>
      </c>
      <c r="N57" s="1" t="s">
        <v>359</v>
      </c>
      <c r="O57" s="8" t="s">
        <v>26</v>
      </c>
      <c r="P57" s="15">
        <f>(Table1_149[[#This Row],[Likes]]+Table1_149[[#This Row],[Shares]]+Table1_149[[#This Row],[Comments]])/Table1_149[[#This Row],[Impressions]]</f>
        <v>0.12936184657162253</v>
      </c>
      <c r="Q57" s="81" t="str">
        <f t="shared" si="0"/>
        <v>Before</v>
      </c>
    </row>
    <row r="58" spans="1:17" x14ac:dyDescent="0.3">
      <c r="A58" s="6" t="s">
        <v>108</v>
      </c>
      <c r="B58" s="1" t="s">
        <v>14</v>
      </c>
      <c r="C58" s="7">
        <v>45586</v>
      </c>
      <c r="D58" s="1" t="s">
        <v>56</v>
      </c>
      <c r="E58" s="1" t="s">
        <v>95</v>
      </c>
      <c r="F58" s="1">
        <v>2825</v>
      </c>
      <c r="G58" s="1">
        <v>535</v>
      </c>
      <c r="H58" s="1">
        <v>295</v>
      </c>
      <c r="I58" s="1">
        <v>45200</v>
      </c>
      <c r="J58" s="1">
        <v>44739</v>
      </c>
      <c r="K58" s="1">
        <v>169</v>
      </c>
      <c r="L58" s="1" t="s">
        <v>25</v>
      </c>
      <c r="M58" s="1" t="s">
        <v>359</v>
      </c>
      <c r="N58" s="1" t="s">
        <v>359</v>
      </c>
      <c r="O58" s="8" t="s">
        <v>17</v>
      </c>
      <c r="P58" s="15">
        <f>(Table1_149[[#This Row],[Likes]]+Table1_149[[#This Row],[Shares]]+Table1_149[[#This Row],[Comments]])/Table1_149[[#This Row],[Impressions]]</f>
        <v>8.0862831858407078E-2</v>
      </c>
      <c r="Q58" s="81" t="str">
        <f t="shared" si="0"/>
        <v>During</v>
      </c>
    </row>
    <row r="59" spans="1:17" x14ac:dyDescent="0.3">
      <c r="A59" s="6" t="s">
        <v>109</v>
      </c>
      <c r="B59" s="1" t="s">
        <v>28</v>
      </c>
      <c r="C59" s="7">
        <v>45762</v>
      </c>
      <c r="D59" s="1" t="s">
        <v>15</v>
      </c>
      <c r="E59" s="1" t="s">
        <v>61</v>
      </c>
      <c r="F59" s="1">
        <v>103</v>
      </c>
      <c r="G59" s="1">
        <v>770</v>
      </c>
      <c r="H59" s="1">
        <v>19</v>
      </c>
      <c r="I59" s="1">
        <v>1030</v>
      </c>
      <c r="J59" s="1">
        <v>410</v>
      </c>
      <c r="K59" s="1">
        <v>262</v>
      </c>
      <c r="L59" s="1" t="s">
        <v>25</v>
      </c>
      <c r="M59" s="1" t="s">
        <v>359</v>
      </c>
      <c r="N59" s="1" t="s">
        <v>359</v>
      </c>
      <c r="O59" s="8" t="s">
        <v>32</v>
      </c>
      <c r="P59" s="15">
        <f>(Table1_149[[#This Row],[Likes]]+Table1_149[[#This Row],[Shares]]+Table1_149[[#This Row],[Comments]])/Table1_149[[#This Row],[Impressions]]</f>
        <v>0.86601941747572819</v>
      </c>
      <c r="Q59" s="81" t="str">
        <f t="shared" si="0"/>
        <v>After</v>
      </c>
    </row>
    <row r="60" spans="1:17" x14ac:dyDescent="0.3">
      <c r="A60" s="6" t="s">
        <v>110</v>
      </c>
      <c r="B60" s="1" t="s">
        <v>28</v>
      </c>
      <c r="C60" s="7">
        <v>45465</v>
      </c>
      <c r="D60" s="1" t="s">
        <v>19</v>
      </c>
      <c r="E60" s="1" t="s">
        <v>78</v>
      </c>
      <c r="F60" s="1">
        <v>2180</v>
      </c>
      <c r="G60" s="1">
        <v>263</v>
      </c>
      <c r="H60" s="1">
        <v>387</v>
      </c>
      <c r="I60" s="1">
        <v>30520</v>
      </c>
      <c r="J60" s="1">
        <v>30059</v>
      </c>
      <c r="K60" s="1">
        <v>174</v>
      </c>
      <c r="L60" s="1" t="s">
        <v>31</v>
      </c>
      <c r="M60" s="1" t="s">
        <v>359</v>
      </c>
      <c r="N60" s="1" t="s">
        <v>359</v>
      </c>
      <c r="O60" s="8" t="s">
        <v>360</v>
      </c>
      <c r="P60" s="15">
        <f>(Table1_149[[#This Row],[Likes]]+Table1_149[[#This Row],[Shares]]+Table1_149[[#This Row],[Comments]])/Table1_149[[#This Row],[Impressions]]</f>
        <v>9.2726081258191345E-2</v>
      </c>
      <c r="Q60" s="81" t="b">
        <f t="shared" si="0"/>
        <v>0</v>
      </c>
    </row>
    <row r="61" spans="1:17" x14ac:dyDescent="0.3">
      <c r="A61" s="6" t="s">
        <v>111</v>
      </c>
      <c r="B61" s="1" t="s">
        <v>28</v>
      </c>
      <c r="C61" s="7">
        <v>45685</v>
      </c>
      <c r="D61" s="1" t="s">
        <v>56</v>
      </c>
      <c r="E61" s="1" t="s">
        <v>63</v>
      </c>
      <c r="F61" s="1">
        <v>904</v>
      </c>
      <c r="G61" s="1">
        <v>973</v>
      </c>
      <c r="H61" s="1">
        <v>63</v>
      </c>
      <c r="I61" s="1">
        <v>11752</v>
      </c>
      <c r="J61" s="1">
        <v>11580</v>
      </c>
      <c r="K61" s="1">
        <v>84</v>
      </c>
      <c r="L61" s="1" t="s">
        <v>31</v>
      </c>
      <c r="M61" s="1" t="s">
        <v>25</v>
      </c>
      <c r="N61" s="1" t="s">
        <v>354</v>
      </c>
      <c r="O61" s="8" t="s">
        <v>26</v>
      </c>
      <c r="P61" s="15">
        <f>(Table1_149[[#This Row],[Likes]]+Table1_149[[#This Row],[Shares]]+Table1_149[[#This Row],[Comments]])/Table1_149[[#This Row],[Impressions]]</f>
        <v>0.1650782845473111</v>
      </c>
      <c r="Q61" s="81" t="str">
        <f t="shared" si="0"/>
        <v>Before</v>
      </c>
    </row>
    <row r="62" spans="1:17" x14ac:dyDescent="0.3">
      <c r="A62" s="6" t="s">
        <v>112</v>
      </c>
      <c r="B62" s="1" t="s">
        <v>14</v>
      </c>
      <c r="C62" s="7">
        <v>45540</v>
      </c>
      <c r="D62" s="1" t="s">
        <v>56</v>
      </c>
      <c r="E62" s="1" t="s">
        <v>95</v>
      </c>
      <c r="F62" s="1">
        <v>4886</v>
      </c>
      <c r="G62" s="1">
        <v>983</v>
      </c>
      <c r="H62" s="1">
        <v>409</v>
      </c>
      <c r="I62" s="1">
        <v>43974</v>
      </c>
      <c r="J62" s="1">
        <v>43239</v>
      </c>
      <c r="K62" s="1">
        <v>65</v>
      </c>
      <c r="L62" s="1" t="s">
        <v>25</v>
      </c>
      <c r="M62" s="1" t="s">
        <v>359</v>
      </c>
      <c r="N62" s="1" t="s">
        <v>359</v>
      </c>
      <c r="O62" s="8" t="s">
        <v>17</v>
      </c>
      <c r="P62" s="15">
        <f>(Table1_149[[#This Row],[Likes]]+Table1_149[[#This Row],[Shares]]+Table1_149[[#This Row],[Comments]])/Table1_149[[#This Row],[Impressions]]</f>
        <v>0.14276618001546368</v>
      </c>
      <c r="Q62" s="81" t="str">
        <f t="shared" si="0"/>
        <v>Before</v>
      </c>
    </row>
    <row r="63" spans="1:17" x14ac:dyDescent="0.3">
      <c r="A63" s="6" t="s">
        <v>113</v>
      </c>
      <c r="B63" s="1" t="s">
        <v>14</v>
      </c>
      <c r="C63" s="7">
        <v>45618</v>
      </c>
      <c r="D63" s="1" t="s">
        <v>36</v>
      </c>
      <c r="E63" s="1" t="s">
        <v>39</v>
      </c>
      <c r="F63" s="1">
        <v>53</v>
      </c>
      <c r="G63" s="1">
        <v>81</v>
      </c>
      <c r="H63" s="1">
        <v>379</v>
      </c>
      <c r="I63" s="1">
        <v>954</v>
      </c>
      <c r="J63" s="1">
        <v>7</v>
      </c>
      <c r="K63" s="1">
        <v>148</v>
      </c>
      <c r="L63" s="1" t="s">
        <v>25</v>
      </c>
      <c r="M63" s="1" t="s">
        <v>359</v>
      </c>
      <c r="N63" s="1" t="s">
        <v>359</v>
      </c>
      <c r="O63" s="8" t="s">
        <v>26</v>
      </c>
      <c r="P63" s="15">
        <f>(Table1_149[[#This Row],[Likes]]+Table1_149[[#This Row],[Shares]]+Table1_149[[#This Row],[Comments]])/Table1_149[[#This Row],[Impressions]]</f>
        <v>0.53773584905660377</v>
      </c>
      <c r="Q63" s="81" t="str">
        <f t="shared" si="0"/>
        <v>Before</v>
      </c>
    </row>
    <row r="64" spans="1:17" x14ac:dyDescent="0.3">
      <c r="A64" s="6" t="s">
        <v>114</v>
      </c>
      <c r="B64" s="1" t="s">
        <v>14</v>
      </c>
      <c r="C64" s="7">
        <v>45504</v>
      </c>
      <c r="D64" s="1" t="s">
        <v>36</v>
      </c>
      <c r="E64" s="1" t="s">
        <v>39</v>
      </c>
      <c r="F64" s="1">
        <v>4507</v>
      </c>
      <c r="G64" s="1">
        <v>217</v>
      </c>
      <c r="H64" s="1">
        <v>13</v>
      </c>
      <c r="I64" s="1">
        <v>90140</v>
      </c>
      <c r="J64" s="1">
        <v>89591</v>
      </c>
      <c r="K64" s="1">
        <v>125</v>
      </c>
      <c r="L64" s="1" t="s">
        <v>48</v>
      </c>
      <c r="M64" s="1" t="s">
        <v>359</v>
      </c>
      <c r="N64" s="1" t="s">
        <v>359</v>
      </c>
      <c r="O64" s="8" t="s">
        <v>26</v>
      </c>
      <c r="P64" s="15">
        <f>(Table1_149[[#This Row],[Likes]]+Table1_149[[#This Row],[Shares]]+Table1_149[[#This Row],[Comments]])/Table1_149[[#This Row],[Impressions]]</f>
        <v>5.2551586421122697E-2</v>
      </c>
      <c r="Q64" s="81" t="str">
        <f t="shared" si="0"/>
        <v>Before</v>
      </c>
    </row>
    <row r="65" spans="1:17" x14ac:dyDescent="0.3">
      <c r="A65" s="6" t="s">
        <v>115</v>
      </c>
      <c r="B65" s="1" t="s">
        <v>35</v>
      </c>
      <c r="C65" s="7">
        <v>45521</v>
      </c>
      <c r="D65" s="1" t="s">
        <v>41</v>
      </c>
      <c r="E65" s="1" t="s">
        <v>46</v>
      </c>
      <c r="F65" s="1">
        <v>2878</v>
      </c>
      <c r="G65" s="1">
        <v>248</v>
      </c>
      <c r="H65" s="1">
        <v>416</v>
      </c>
      <c r="I65" s="1">
        <v>43170</v>
      </c>
      <c r="J65" s="1">
        <v>42667</v>
      </c>
      <c r="K65" s="1">
        <v>75</v>
      </c>
      <c r="L65" s="1" t="s">
        <v>48</v>
      </c>
      <c r="M65" s="1" t="s">
        <v>359</v>
      </c>
      <c r="N65" s="1" t="s">
        <v>359</v>
      </c>
      <c r="O65" s="8" t="s">
        <v>26</v>
      </c>
      <c r="P65" s="15">
        <f>(Table1_149[[#This Row],[Likes]]+Table1_149[[#This Row],[Shares]]+Table1_149[[#This Row],[Comments]])/Table1_149[[#This Row],[Impressions]]</f>
        <v>8.2047718322909427E-2</v>
      </c>
      <c r="Q65" s="81" t="str">
        <f t="shared" si="0"/>
        <v>Before</v>
      </c>
    </row>
    <row r="66" spans="1:17" x14ac:dyDescent="0.3">
      <c r="A66" s="6" t="s">
        <v>116</v>
      </c>
      <c r="B66" s="1" t="s">
        <v>28</v>
      </c>
      <c r="C66" s="7">
        <v>45744</v>
      </c>
      <c r="D66" s="1" t="s">
        <v>29</v>
      </c>
      <c r="E66" s="1" t="s">
        <v>30</v>
      </c>
      <c r="F66" s="1">
        <v>1881</v>
      </c>
      <c r="G66" s="1">
        <v>501</v>
      </c>
      <c r="H66" s="1">
        <v>99</v>
      </c>
      <c r="I66" s="1">
        <v>20691</v>
      </c>
      <c r="J66" s="1">
        <v>19987</v>
      </c>
      <c r="K66" s="1">
        <v>289</v>
      </c>
      <c r="L66" s="1" t="s">
        <v>31</v>
      </c>
      <c r="M66" s="1" t="s">
        <v>359</v>
      </c>
      <c r="N66" s="1" t="s">
        <v>359</v>
      </c>
      <c r="O66" s="8" t="s">
        <v>360</v>
      </c>
      <c r="P66" s="15">
        <f>(Table1_149[[#This Row],[Likes]]+Table1_149[[#This Row],[Shares]]+Table1_149[[#This Row],[Comments]])/Table1_149[[#This Row],[Impressions]]</f>
        <v>0.11990720603160794</v>
      </c>
      <c r="Q66" s="81" t="b">
        <f t="shared" ref="Q66:Q129" si="1">IF(O:O="CybertruckLaunch",
     IF(AND(C:C&gt;=DATE(2024,10,15),C:C&lt;=DATE(2024,11,10)),"During",
        IF(C:C&lt;DATE(2024,10,15),"Before","After")),
 IF(O:O="ModelYCampaign",
     IF(AND(C:C&gt;=DATE(2025,3,1),C:C&lt;=DATE(2025,3,20)),"During",
        IF(C:C&lt;DATE(2025,3,1),"Before","After")),
 IF(O:O="SustainabilityDrive",
     IF(AND(C:C&gt;=DATE(2024,6,10),C:C&lt;=DATE(2024,6,25)),"During",
        IF(C:C&lt;DATE(2024,6,10),"Before","After")),
 IF(O:O="FSDUpdate",
     IF(AND(C:C&gt;=DATE(2025,5,1),C:C&lt;=DATE(2025,5,15)),"During",
        IF(C:C&lt;DATE(2025,5,1),"Before","After"))))))</f>
        <v>0</v>
      </c>
    </row>
    <row r="67" spans="1:17" x14ac:dyDescent="0.3">
      <c r="A67" s="6" t="s">
        <v>117</v>
      </c>
      <c r="B67" s="1" t="s">
        <v>14</v>
      </c>
      <c r="C67" s="7">
        <v>45499</v>
      </c>
      <c r="D67" s="1" t="s">
        <v>36</v>
      </c>
      <c r="E67" s="1" t="s">
        <v>39</v>
      </c>
      <c r="F67" s="1">
        <v>432</v>
      </c>
      <c r="G67" s="1">
        <v>171</v>
      </c>
      <c r="H67" s="1">
        <v>280</v>
      </c>
      <c r="I67" s="1">
        <v>3024</v>
      </c>
      <c r="J67" s="1">
        <v>2285</v>
      </c>
      <c r="K67" s="1">
        <v>184</v>
      </c>
      <c r="L67" s="1" t="s">
        <v>31</v>
      </c>
      <c r="M67" s="1" t="s">
        <v>359</v>
      </c>
      <c r="N67" s="1" t="s">
        <v>359</v>
      </c>
      <c r="O67" s="8" t="s">
        <v>17</v>
      </c>
      <c r="P67" s="15">
        <f>(Table1_149[[#This Row],[Likes]]+Table1_149[[#This Row],[Shares]]+Table1_149[[#This Row],[Comments]])/Table1_149[[#This Row],[Impressions]]</f>
        <v>0.29199735449735448</v>
      </c>
      <c r="Q67" s="81" t="str">
        <f t="shared" si="1"/>
        <v>Before</v>
      </c>
    </row>
    <row r="68" spans="1:17" x14ac:dyDescent="0.3">
      <c r="A68" s="6" t="s">
        <v>118</v>
      </c>
      <c r="B68" s="1" t="s">
        <v>35</v>
      </c>
      <c r="C68" s="7">
        <v>45745</v>
      </c>
      <c r="D68" s="1" t="s">
        <v>36</v>
      </c>
      <c r="E68" s="1" t="s">
        <v>37</v>
      </c>
      <c r="F68" s="1">
        <v>4712</v>
      </c>
      <c r="G68" s="1">
        <v>568</v>
      </c>
      <c r="H68" s="1">
        <v>127</v>
      </c>
      <c r="I68" s="1">
        <v>84816</v>
      </c>
      <c r="J68" s="1">
        <v>84691</v>
      </c>
      <c r="K68" s="1">
        <v>100</v>
      </c>
      <c r="L68" s="1" t="s">
        <v>31</v>
      </c>
      <c r="M68" s="1" t="s">
        <v>359</v>
      </c>
      <c r="N68" s="1" t="s">
        <v>359</v>
      </c>
      <c r="O68" s="8" t="s">
        <v>26</v>
      </c>
      <c r="P68" s="15">
        <f>(Table1_149[[#This Row],[Likes]]+Table1_149[[#This Row],[Shares]]+Table1_149[[#This Row],[Comments]])/Table1_149[[#This Row],[Impressions]]</f>
        <v>6.3749764195434822E-2</v>
      </c>
      <c r="Q68" s="81" t="str">
        <f t="shared" si="1"/>
        <v>Before</v>
      </c>
    </row>
    <row r="69" spans="1:17" x14ac:dyDescent="0.3">
      <c r="A69" s="6" t="s">
        <v>119</v>
      </c>
      <c r="B69" s="1" t="s">
        <v>28</v>
      </c>
      <c r="C69" s="7">
        <v>45634</v>
      </c>
      <c r="D69" s="1" t="s">
        <v>29</v>
      </c>
      <c r="E69" s="1" t="s">
        <v>30</v>
      </c>
      <c r="F69" s="1">
        <v>2610</v>
      </c>
      <c r="G69" s="1">
        <v>126</v>
      </c>
      <c r="H69" s="1">
        <v>288</v>
      </c>
      <c r="I69" s="1">
        <v>15660</v>
      </c>
      <c r="J69" s="1">
        <v>15145</v>
      </c>
      <c r="K69" s="1">
        <v>73</v>
      </c>
      <c r="L69" s="1" t="s">
        <v>31</v>
      </c>
      <c r="M69" s="1" t="s">
        <v>359</v>
      </c>
      <c r="N69" s="1" t="s">
        <v>359</v>
      </c>
      <c r="O69" s="8" t="s">
        <v>360</v>
      </c>
      <c r="P69" s="15">
        <f>(Table1_149[[#This Row],[Likes]]+Table1_149[[#This Row],[Shares]]+Table1_149[[#This Row],[Comments]])/Table1_149[[#This Row],[Impressions]]</f>
        <v>0.19310344827586207</v>
      </c>
      <c r="Q69" s="81" t="b">
        <f t="shared" si="1"/>
        <v>0</v>
      </c>
    </row>
    <row r="70" spans="1:17" x14ac:dyDescent="0.3">
      <c r="A70" s="6" t="s">
        <v>120</v>
      </c>
      <c r="B70" s="1" t="s">
        <v>14</v>
      </c>
      <c r="C70" s="7">
        <v>45724</v>
      </c>
      <c r="D70" s="1" t="s">
        <v>19</v>
      </c>
      <c r="E70" s="1" t="s">
        <v>20</v>
      </c>
      <c r="F70" s="1">
        <v>1292</v>
      </c>
      <c r="G70" s="1">
        <v>626</v>
      </c>
      <c r="H70" s="1">
        <v>496</v>
      </c>
      <c r="I70" s="1">
        <v>25840</v>
      </c>
      <c r="J70" s="1">
        <v>24916</v>
      </c>
      <c r="K70" s="1">
        <v>149</v>
      </c>
      <c r="L70" s="1" t="s">
        <v>48</v>
      </c>
      <c r="M70" s="1" t="s">
        <v>359</v>
      </c>
      <c r="N70" s="1" t="s">
        <v>359</v>
      </c>
      <c r="O70" s="8" t="s">
        <v>26</v>
      </c>
      <c r="P70" s="15">
        <f>(Table1_149[[#This Row],[Likes]]+Table1_149[[#This Row],[Shares]]+Table1_149[[#This Row],[Comments]])/Table1_149[[#This Row],[Impressions]]</f>
        <v>9.3421052631578946E-2</v>
      </c>
      <c r="Q70" s="81" t="str">
        <f t="shared" si="1"/>
        <v>Before</v>
      </c>
    </row>
    <row r="71" spans="1:17" x14ac:dyDescent="0.3">
      <c r="A71" s="6" t="s">
        <v>121</v>
      </c>
      <c r="B71" s="1" t="s">
        <v>35</v>
      </c>
      <c r="C71" s="7">
        <v>45749</v>
      </c>
      <c r="D71" s="1" t="s">
        <v>56</v>
      </c>
      <c r="E71" s="1" t="s">
        <v>57</v>
      </c>
      <c r="F71" s="1">
        <v>199</v>
      </c>
      <c r="G71" s="1">
        <v>772</v>
      </c>
      <c r="H71" s="1">
        <v>400</v>
      </c>
      <c r="I71" s="1">
        <v>3582</v>
      </c>
      <c r="J71" s="1">
        <v>2988</v>
      </c>
      <c r="K71" s="1">
        <v>43</v>
      </c>
      <c r="L71" s="1" t="s">
        <v>25</v>
      </c>
      <c r="M71" s="1" t="s">
        <v>359</v>
      </c>
      <c r="N71" s="1" t="s">
        <v>359</v>
      </c>
      <c r="O71" s="8" t="s">
        <v>360</v>
      </c>
      <c r="P71" s="15">
        <f>(Table1_149[[#This Row],[Likes]]+Table1_149[[#This Row],[Shares]]+Table1_149[[#This Row],[Comments]])/Table1_149[[#This Row],[Impressions]]</f>
        <v>0.38274706867671693</v>
      </c>
      <c r="Q71" s="81" t="b">
        <f t="shared" si="1"/>
        <v>0</v>
      </c>
    </row>
    <row r="72" spans="1:17" x14ac:dyDescent="0.3">
      <c r="A72" s="6" t="s">
        <v>122</v>
      </c>
      <c r="B72" s="1" t="s">
        <v>23</v>
      </c>
      <c r="C72" s="7">
        <v>45537</v>
      </c>
      <c r="D72" s="1" t="s">
        <v>36</v>
      </c>
      <c r="E72" s="1" t="s">
        <v>52</v>
      </c>
      <c r="F72" s="1">
        <v>2551</v>
      </c>
      <c r="G72" s="1">
        <v>915</v>
      </c>
      <c r="H72" s="1">
        <v>205</v>
      </c>
      <c r="I72" s="1">
        <v>30612</v>
      </c>
      <c r="J72" s="1">
        <v>30360</v>
      </c>
      <c r="K72" s="1">
        <v>227</v>
      </c>
      <c r="L72" s="1" t="s">
        <v>25</v>
      </c>
      <c r="M72" s="1" t="s">
        <v>359</v>
      </c>
      <c r="N72" s="1" t="s">
        <v>359</v>
      </c>
      <c r="O72" s="8" t="s">
        <v>21</v>
      </c>
      <c r="P72" s="15">
        <f>(Table1_149[[#This Row],[Likes]]+Table1_149[[#This Row],[Shares]]+Table1_149[[#This Row],[Comments]])/Table1_149[[#This Row],[Impressions]]</f>
        <v>0.1199202926956749</v>
      </c>
      <c r="Q72" s="81" t="str">
        <f t="shared" si="1"/>
        <v>Before</v>
      </c>
    </row>
    <row r="73" spans="1:17" x14ac:dyDescent="0.3">
      <c r="A73" s="6" t="s">
        <v>123</v>
      </c>
      <c r="B73" s="1" t="s">
        <v>23</v>
      </c>
      <c r="C73" s="7">
        <v>45719</v>
      </c>
      <c r="D73" s="1" t="s">
        <v>15</v>
      </c>
      <c r="E73" s="1" t="s">
        <v>24</v>
      </c>
      <c r="F73" s="1">
        <v>296</v>
      </c>
      <c r="G73" s="1">
        <v>60</v>
      </c>
      <c r="H73" s="1">
        <v>141</v>
      </c>
      <c r="I73" s="1">
        <v>5624</v>
      </c>
      <c r="J73" s="1">
        <v>5239</v>
      </c>
      <c r="K73" s="1">
        <v>88</v>
      </c>
      <c r="L73" s="1" t="s">
        <v>31</v>
      </c>
      <c r="M73" s="1" t="s">
        <v>359</v>
      </c>
      <c r="N73" s="1" t="s">
        <v>359</v>
      </c>
      <c r="O73" s="8" t="s">
        <v>21</v>
      </c>
      <c r="P73" s="15">
        <f>(Table1_149[[#This Row],[Likes]]+Table1_149[[#This Row],[Shares]]+Table1_149[[#This Row],[Comments]])/Table1_149[[#This Row],[Impressions]]</f>
        <v>8.837126600284495E-2</v>
      </c>
      <c r="Q73" s="81" t="str">
        <f t="shared" si="1"/>
        <v>During</v>
      </c>
    </row>
    <row r="74" spans="1:17" x14ac:dyDescent="0.3">
      <c r="A74" s="6" t="s">
        <v>124</v>
      </c>
      <c r="B74" s="1" t="s">
        <v>35</v>
      </c>
      <c r="C74" s="7">
        <v>45583</v>
      </c>
      <c r="D74" s="1" t="s">
        <v>29</v>
      </c>
      <c r="E74" s="1" t="s">
        <v>54</v>
      </c>
      <c r="F74" s="1">
        <v>4126</v>
      </c>
      <c r="G74" s="1">
        <v>426</v>
      </c>
      <c r="H74" s="1">
        <v>486</v>
      </c>
      <c r="I74" s="1">
        <v>78394</v>
      </c>
      <c r="J74" s="1">
        <v>77798</v>
      </c>
      <c r="K74" s="1">
        <v>88</v>
      </c>
      <c r="L74" s="1" t="s">
        <v>48</v>
      </c>
      <c r="M74" s="1" t="s">
        <v>359</v>
      </c>
      <c r="N74" s="1" t="s">
        <v>359</v>
      </c>
      <c r="O74" s="8" t="s">
        <v>32</v>
      </c>
      <c r="P74" s="15">
        <f>(Table1_149[[#This Row],[Likes]]+Table1_149[[#This Row],[Shares]]+Table1_149[[#This Row],[Comments]])/Table1_149[[#This Row],[Impressions]]</f>
        <v>6.4265122330790625E-2</v>
      </c>
      <c r="Q74" s="81" t="str">
        <f t="shared" si="1"/>
        <v>After</v>
      </c>
    </row>
    <row r="75" spans="1:17" x14ac:dyDescent="0.3">
      <c r="A75" s="6" t="s">
        <v>125</v>
      </c>
      <c r="B75" s="1" t="s">
        <v>23</v>
      </c>
      <c r="C75" s="7">
        <v>45593</v>
      </c>
      <c r="D75" s="1" t="s">
        <v>15</v>
      </c>
      <c r="E75" s="1" t="s">
        <v>24</v>
      </c>
      <c r="F75" s="1">
        <v>1855</v>
      </c>
      <c r="G75" s="1">
        <v>200</v>
      </c>
      <c r="H75" s="1">
        <v>174</v>
      </c>
      <c r="I75" s="1">
        <v>16695</v>
      </c>
      <c r="J75" s="1">
        <v>16330</v>
      </c>
      <c r="K75" s="1">
        <v>123</v>
      </c>
      <c r="L75" s="1" t="s">
        <v>25</v>
      </c>
      <c r="M75" s="1" t="s">
        <v>359</v>
      </c>
      <c r="N75" s="1" t="s">
        <v>359</v>
      </c>
      <c r="O75" s="8" t="s">
        <v>26</v>
      </c>
      <c r="P75" s="15">
        <f>(Table1_149[[#This Row],[Likes]]+Table1_149[[#This Row],[Shares]]+Table1_149[[#This Row],[Comments]])/Table1_149[[#This Row],[Impressions]]</f>
        <v>0.13351302785265048</v>
      </c>
      <c r="Q75" s="81" t="str">
        <f t="shared" si="1"/>
        <v>Before</v>
      </c>
    </row>
    <row r="76" spans="1:17" x14ac:dyDescent="0.3">
      <c r="A76" s="6" t="s">
        <v>126</v>
      </c>
      <c r="B76" s="1" t="s">
        <v>28</v>
      </c>
      <c r="C76" s="7">
        <v>45505</v>
      </c>
      <c r="D76" s="1" t="s">
        <v>15</v>
      </c>
      <c r="E76" s="1" t="s">
        <v>61</v>
      </c>
      <c r="F76" s="1">
        <v>1674</v>
      </c>
      <c r="G76" s="1">
        <v>929</v>
      </c>
      <c r="H76" s="1">
        <v>37</v>
      </c>
      <c r="I76" s="1">
        <v>21762</v>
      </c>
      <c r="J76" s="1">
        <v>20998</v>
      </c>
      <c r="K76" s="1">
        <v>255</v>
      </c>
      <c r="L76" s="1" t="s">
        <v>25</v>
      </c>
      <c r="M76" s="1" t="s">
        <v>359</v>
      </c>
      <c r="N76" s="1" t="s">
        <v>359</v>
      </c>
      <c r="O76" s="8" t="s">
        <v>32</v>
      </c>
      <c r="P76" s="15">
        <f>(Table1_149[[#This Row],[Likes]]+Table1_149[[#This Row],[Shares]]+Table1_149[[#This Row],[Comments]])/Table1_149[[#This Row],[Impressions]]</f>
        <v>0.12131237937689551</v>
      </c>
      <c r="Q76" s="81" t="str">
        <f t="shared" si="1"/>
        <v>After</v>
      </c>
    </row>
    <row r="77" spans="1:17" x14ac:dyDescent="0.3">
      <c r="A77" s="6" t="s">
        <v>127</v>
      </c>
      <c r="B77" s="1" t="s">
        <v>14</v>
      </c>
      <c r="C77" s="7">
        <v>45603</v>
      </c>
      <c r="D77" s="1" t="s">
        <v>29</v>
      </c>
      <c r="E77" s="1" t="s">
        <v>98</v>
      </c>
      <c r="F77" s="1">
        <v>1121</v>
      </c>
      <c r="G77" s="1">
        <v>135</v>
      </c>
      <c r="H77" s="1">
        <v>18</v>
      </c>
      <c r="I77" s="1">
        <v>15694</v>
      </c>
      <c r="J77" s="1">
        <v>14957</v>
      </c>
      <c r="K77" s="1">
        <v>99</v>
      </c>
      <c r="L77" s="1" t="s">
        <v>25</v>
      </c>
      <c r="M77" s="1" t="s">
        <v>359</v>
      </c>
      <c r="N77" s="1" t="s">
        <v>359</v>
      </c>
      <c r="O77" s="8" t="s">
        <v>32</v>
      </c>
      <c r="P77" s="15">
        <f>(Table1_149[[#This Row],[Likes]]+Table1_149[[#This Row],[Shares]]+Table1_149[[#This Row],[Comments]])/Table1_149[[#This Row],[Impressions]]</f>
        <v>8.1177520071364848E-2</v>
      </c>
      <c r="Q77" s="81" t="str">
        <f t="shared" si="1"/>
        <v>After</v>
      </c>
    </row>
    <row r="78" spans="1:17" x14ac:dyDescent="0.3">
      <c r="A78" s="6" t="s">
        <v>128</v>
      </c>
      <c r="B78" s="1" t="s">
        <v>35</v>
      </c>
      <c r="C78" s="7">
        <v>45720</v>
      </c>
      <c r="D78" s="1" t="s">
        <v>29</v>
      </c>
      <c r="E78" s="1" t="s">
        <v>54</v>
      </c>
      <c r="F78" s="1">
        <v>1249</v>
      </c>
      <c r="G78" s="1">
        <v>116</v>
      </c>
      <c r="H78" s="1">
        <v>420</v>
      </c>
      <c r="I78" s="1">
        <v>8743</v>
      </c>
      <c r="J78" s="1">
        <v>8538</v>
      </c>
      <c r="K78" s="1">
        <v>63</v>
      </c>
      <c r="L78" s="1" t="s">
        <v>25</v>
      </c>
      <c r="M78" s="1" t="s">
        <v>359</v>
      </c>
      <c r="N78" s="1" t="s">
        <v>359</v>
      </c>
      <c r="O78" s="8" t="s">
        <v>360</v>
      </c>
      <c r="P78" s="15">
        <f>(Table1_149[[#This Row],[Likes]]+Table1_149[[#This Row],[Shares]]+Table1_149[[#This Row],[Comments]])/Table1_149[[#This Row],[Impressions]]</f>
        <v>0.20416333066453163</v>
      </c>
      <c r="Q78" s="81" t="b">
        <f t="shared" si="1"/>
        <v>0</v>
      </c>
    </row>
    <row r="79" spans="1:17" x14ac:dyDescent="0.3">
      <c r="A79" s="6" t="s">
        <v>129</v>
      </c>
      <c r="B79" s="1" t="s">
        <v>14</v>
      </c>
      <c r="C79" s="7">
        <v>45460</v>
      </c>
      <c r="D79" s="1" t="s">
        <v>41</v>
      </c>
      <c r="E79" s="1" t="s">
        <v>88</v>
      </c>
      <c r="F79" s="1">
        <v>954</v>
      </c>
      <c r="G79" s="1">
        <v>324</v>
      </c>
      <c r="H79" s="1">
        <v>288</v>
      </c>
      <c r="I79" s="1">
        <v>19080</v>
      </c>
      <c r="J79" s="1">
        <v>18859</v>
      </c>
      <c r="K79" s="1">
        <v>21</v>
      </c>
      <c r="L79" s="1" t="s">
        <v>48</v>
      </c>
      <c r="M79" s="1" t="s">
        <v>359</v>
      </c>
      <c r="N79" s="1" t="s">
        <v>359</v>
      </c>
      <c r="O79" s="8" t="s">
        <v>32</v>
      </c>
      <c r="P79" s="15">
        <f>(Table1_149[[#This Row],[Likes]]+Table1_149[[#This Row],[Shares]]+Table1_149[[#This Row],[Comments]])/Table1_149[[#This Row],[Impressions]]</f>
        <v>8.2075471698113203E-2</v>
      </c>
      <c r="Q79" s="81" t="str">
        <f t="shared" si="1"/>
        <v>During</v>
      </c>
    </row>
    <row r="80" spans="1:17" x14ac:dyDescent="0.3">
      <c r="A80" s="6" t="s">
        <v>130</v>
      </c>
      <c r="B80" s="1" t="s">
        <v>28</v>
      </c>
      <c r="C80" s="7">
        <v>45574</v>
      </c>
      <c r="D80" s="1" t="s">
        <v>36</v>
      </c>
      <c r="E80" s="1" t="s">
        <v>65</v>
      </c>
      <c r="F80" s="1">
        <v>3068</v>
      </c>
      <c r="G80" s="1">
        <v>137</v>
      </c>
      <c r="H80" s="1">
        <v>329</v>
      </c>
      <c r="I80" s="1">
        <v>39884</v>
      </c>
      <c r="J80" s="1">
        <v>39404</v>
      </c>
      <c r="K80" s="1">
        <v>266</v>
      </c>
      <c r="L80" s="1" t="s">
        <v>31</v>
      </c>
      <c r="M80" s="1" t="s">
        <v>359</v>
      </c>
      <c r="N80" s="1" t="s">
        <v>359</v>
      </c>
      <c r="O80" s="8" t="s">
        <v>21</v>
      </c>
      <c r="P80" s="15">
        <f>(Table1_149[[#This Row],[Likes]]+Table1_149[[#This Row],[Shares]]+Table1_149[[#This Row],[Comments]])/Table1_149[[#This Row],[Impressions]]</f>
        <v>8.860696018453515E-2</v>
      </c>
      <c r="Q80" s="81" t="str">
        <f t="shared" si="1"/>
        <v>Before</v>
      </c>
    </row>
    <row r="81" spans="1:17" x14ac:dyDescent="0.3">
      <c r="A81" s="6" t="s">
        <v>131</v>
      </c>
      <c r="B81" s="1" t="s">
        <v>28</v>
      </c>
      <c r="C81" s="7">
        <v>45456</v>
      </c>
      <c r="D81" s="1" t="s">
        <v>29</v>
      </c>
      <c r="E81" s="1" t="s">
        <v>30</v>
      </c>
      <c r="F81" s="1">
        <v>2103</v>
      </c>
      <c r="G81" s="1">
        <v>892</v>
      </c>
      <c r="H81" s="1">
        <v>103</v>
      </c>
      <c r="I81" s="1">
        <v>39957</v>
      </c>
      <c r="J81" s="1">
        <v>39466</v>
      </c>
      <c r="K81" s="1">
        <v>28</v>
      </c>
      <c r="L81" s="1" t="s">
        <v>48</v>
      </c>
      <c r="M81" s="1" t="s">
        <v>359</v>
      </c>
      <c r="N81" s="1" t="s">
        <v>359</v>
      </c>
      <c r="O81" s="8" t="s">
        <v>360</v>
      </c>
      <c r="P81" s="15">
        <f>(Table1_149[[#This Row],[Likes]]+Table1_149[[#This Row],[Shares]]+Table1_149[[#This Row],[Comments]])/Table1_149[[#This Row],[Impressions]]</f>
        <v>7.7533348349475686E-2</v>
      </c>
      <c r="Q81" s="81" t="b">
        <f t="shared" si="1"/>
        <v>0</v>
      </c>
    </row>
    <row r="82" spans="1:17" x14ac:dyDescent="0.3">
      <c r="A82" s="6" t="s">
        <v>132</v>
      </c>
      <c r="B82" s="1" t="s">
        <v>28</v>
      </c>
      <c r="C82" s="7">
        <v>45584</v>
      </c>
      <c r="D82" s="1" t="s">
        <v>29</v>
      </c>
      <c r="E82" s="1" t="s">
        <v>30</v>
      </c>
      <c r="F82" s="1">
        <v>1816</v>
      </c>
      <c r="G82" s="1">
        <v>29</v>
      </c>
      <c r="H82" s="1">
        <v>41</v>
      </c>
      <c r="I82" s="1">
        <v>19976</v>
      </c>
      <c r="J82" s="1">
        <v>19262</v>
      </c>
      <c r="K82" s="1">
        <v>283</v>
      </c>
      <c r="L82" s="1" t="s">
        <v>25</v>
      </c>
      <c r="M82" s="1" t="s">
        <v>359</v>
      </c>
      <c r="N82" s="1" t="s">
        <v>359</v>
      </c>
      <c r="O82" s="8" t="s">
        <v>26</v>
      </c>
      <c r="P82" s="15">
        <f>(Table1_149[[#This Row],[Likes]]+Table1_149[[#This Row],[Shares]]+Table1_149[[#This Row],[Comments]])/Table1_149[[#This Row],[Impressions]]</f>
        <v>9.4413295955146179E-2</v>
      </c>
      <c r="Q82" s="81" t="str">
        <f t="shared" si="1"/>
        <v>Before</v>
      </c>
    </row>
    <row r="83" spans="1:17" x14ac:dyDescent="0.3">
      <c r="A83" s="6" t="s">
        <v>133</v>
      </c>
      <c r="B83" s="1" t="s">
        <v>28</v>
      </c>
      <c r="C83" s="7">
        <v>45497</v>
      </c>
      <c r="D83" s="1" t="s">
        <v>41</v>
      </c>
      <c r="E83" s="1" t="s">
        <v>134</v>
      </c>
      <c r="F83" s="1">
        <v>725</v>
      </c>
      <c r="G83" s="1">
        <v>88</v>
      </c>
      <c r="H83" s="1">
        <v>428</v>
      </c>
      <c r="I83" s="1">
        <v>14500</v>
      </c>
      <c r="J83" s="1">
        <v>13637</v>
      </c>
      <c r="K83" s="1">
        <v>200</v>
      </c>
      <c r="L83" s="1" t="s">
        <v>48</v>
      </c>
      <c r="M83" s="1" t="s">
        <v>25</v>
      </c>
      <c r="N83" s="1" t="s">
        <v>354</v>
      </c>
      <c r="O83" s="8" t="s">
        <v>26</v>
      </c>
      <c r="P83" s="15">
        <f>(Table1_149[[#This Row],[Likes]]+Table1_149[[#This Row],[Shares]]+Table1_149[[#This Row],[Comments]])/Table1_149[[#This Row],[Impressions]]</f>
        <v>8.558620689655172E-2</v>
      </c>
      <c r="Q83" s="81" t="str">
        <f t="shared" si="1"/>
        <v>Before</v>
      </c>
    </row>
    <row r="84" spans="1:17" x14ac:dyDescent="0.3">
      <c r="A84" s="6" t="s">
        <v>135</v>
      </c>
      <c r="B84" s="1" t="s">
        <v>23</v>
      </c>
      <c r="C84" s="7">
        <v>45580</v>
      </c>
      <c r="D84" s="1" t="s">
        <v>56</v>
      </c>
      <c r="E84" s="1" t="s">
        <v>136</v>
      </c>
      <c r="F84" s="1">
        <v>1094</v>
      </c>
      <c r="G84" s="1">
        <v>472</v>
      </c>
      <c r="H84" s="1">
        <v>21</v>
      </c>
      <c r="I84" s="1">
        <v>9846</v>
      </c>
      <c r="J84" s="1">
        <v>9609</v>
      </c>
      <c r="K84" s="1">
        <v>112</v>
      </c>
      <c r="L84" s="1" t="s">
        <v>31</v>
      </c>
      <c r="M84" s="1" t="s">
        <v>359</v>
      </c>
      <c r="N84" s="1" t="s">
        <v>359</v>
      </c>
      <c r="O84" s="8" t="s">
        <v>360</v>
      </c>
      <c r="P84" s="15">
        <f>(Table1_149[[#This Row],[Likes]]+Table1_149[[#This Row],[Shares]]+Table1_149[[#This Row],[Comments]])/Table1_149[[#This Row],[Impressions]]</f>
        <v>0.16118220597196831</v>
      </c>
      <c r="Q84" s="81" t="b">
        <f t="shared" si="1"/>
        <v>0</v>
      </c>
    </row>
    <row r="85" spans="1:17" x14ac:dyDescent="0.3">
      <c r="A85" s="6" t="s">
        <v>137</v>
      </c>
      <c r="B85" s="1" t="s">
        <v>35</v>
      </c>
      <c r="C85" s="7">
        <v>45635</v>
      </c>
      <c r="D85" s="1" t="s">
        <v>41</v>
      </c>
      <c r="E85" s="1" t="s">
        <v>46</v>
      </c>
      <c r="F85" s="1">
        <v>1841</v>
      </c>
      <c r="G85" s="1">
        <v>851</v>
      </c>
      <c r="H85" s="1">
        <v>342</v>
      </c>
      <c r="I85" s="1">
        <v>34979</v>
      </c>
      <c r="J85" s="1">
        <v>34154</v>
      </c>
      <c r="K85" s="1">
        <v>255</v>
      </c>
      <c r="L85" s="1" t="s">
        <v>48</v>
      </c>
      <c r="M85" s="1" t="s">
        <v>359</v>
      </c>
      <c r="N85" s="1" t="s">
        <v>359</v>
      </c>
      <c r="O85" s="8" t="s">
        <v>32</v>
      </c>
      <c r="P85" s="15">
        <f>(Table1_149[[#This Row],[Likes]]+Table1_149[[#This Row],[Shares]]+Table1_149[[#This Row],[Comments]])/Table1_149[[#This Row],[Impressions]]</f>
        <v>8.6737756939878216E-2</v>
      </c>
      <c r="Q85" s="81" t="str">
        <f t="shared" si="1"/>
        <v>After</v>
      </c>
    </row>
    <row r="86" spans="1:17" x14ac:dyDescent="0.3">
      <c r="A86" s="6" t="s">
        <v>138</v>
      </c>
      <c r="B86" s="1" t="s">
        <v>28</v>
      </c>
      <c r="C86" s="7">
        <v>45766</v>
      </c>
      <c r="D86" s="1" t="s">
        <v>41</v>
      </c>
      <c r="E86" s="1" t="s">
        <v>134</v>
      </c>
      <c r="F86" s="1">
        <v>4177</v>
      </c>
      <c r="G86" s="1">
        <v>569</v>
      </c>
      <c r="H86" s="1">
        <v>55</v>
      </c>
      <c r="I86" s="1">
        <v>25062</v>
      </c>
      <c r="J86" s="1">
        <v>24847</v>
      </c>
      <c r="K86" s="1">
        <v>230</v>
      </c>
      <c r="L86" s="1" t="s">
        <v>48</v>
      </c>
      <c r="M86" s="1" t="s">
        <v>359</v>
      </c>
      <c r="N86" s="1" t="s">
        <v>359</v>
      </c>
      <c r="O86" s="8" t="s">
        <v>17</v>
      </c>
      <c r="P86" s="15">
        <f>(Table1_149[[#This Row],[Likes]]+Table1_149[[#This Row],[Shares]]+Table1_149[[#This Row],[Comments]])/Table1_149[[#This Row],[Impressions]]</f>
        <v>0.19156491900087783</v>
      </c>
      <c r="Q86" s="81" t="str">
        <f t="shared" si="1"/>
        <v>After</v>
      </c>
    </row>
    <row r="87" spans="1:17" x14ac:dyDescent="0.3">
      <c r="A87" s="6" t="s">
        <v>139</v>
      </c>
      <c r="B87" s="1" t="s">
        <v>23</v>
      </c>
      <c r="C87" s="7">
        <v>45684</v>
      </c>
      <c r="D87" s="1" t="s">
        <v>19</v>
      </c>
      <c r="E87" s="1" t="s">
        <v>73</v>
      </c>
      <c r="F87" s="1">
        <v>3428</v>
      </c>
      <c r="G87" s="1">
        <v>305</v>
      </c>
      <c r="H87" s="1">
        <v>85</v>
      </c>
      <c r="I87" s="1">
        <v>58276</v>
      </c>
      <c r="J87" s="1">
        <v>58052</v>
      </c>
      <c r="K87" s="1">
        <v>242</v>
      </c>
      <c r="L87" s="1" t="s">
        <v>31</v>
      </c>
      <c r="M87" s="1" t="s">
        <v>355</v>
      </c>
      <c r="N87" s="1" t="s">
        <v>359</v>
      </c>
      <c r="O87" s="8" t="s">
        <v>32</v>
      </c>
      <c r="P87" s="15">
        <f>(Table1_149[[#This Row],[Likes]]+Table1_149[[#This Row],[Shares]]+Table1_149[[#This Row],[Comments]])/Table1_149[[#This Row],[Impressions]]</f>
        <v>6.5515821264328367E-2</v>
      </c>
      <c r="Q87" s="81" t="str">
        <f t="shared" si="1"/>
        <v>After</v>
      </c>
    </row>
    <row r="88" spans="1:17" x14ac:dyDescent="0.3">
      <c r="A88" s="6" t="s">
        <v>140</v>
      </c>
      <c r="B88" s="1" t="s">
        <v>14</v>
      </c>
      <c r="C88" s="7">
        <v>45449</v>
      </c>
      <c r="D88" s="1" t="s">
        <v>56</v>
      </c>
      <c r="E88" s="1" t="s">
        <v>95</v>
      </c>
      <c r="F88" s="1">
        <v>1436</v>
      </c>
      <c r="G88" s="1">
        <v>765</v>
      </c>
      <c r="H88" s="1">
        <v>496</v>
      </c>
      <c r="I88" s="1">
        <v>12924</v>
      </c>
      <c r="J88" s="1">
        <v>12701</v>
      </c>
      <c r="K88" s="1">
        <v>197</v>
      </c>
      <c r="L88" s="1" t="s">
        <v>48</v>
      </c>
      <c r="M88" s="1" t="s">
        <v>359</v>
      </c>
      <c r="N88" s="1" t="s">
        <v>359</v>
      </c>
      <c r="O88" s="8" t="s">
        <v>26</v>
      </c>
      <c r="P88" s="15">
        <f>(Table1_149[[#This Row],[Likes]]+Table1_149[[#This Row],[Shares]]+Table1_149[[#This Row],[Comments]])/Table1_149[[#This Row],[Impressions]]</f>
        <v>0.20868152274837512</v>
      </c>
      <c r="Q88" s="81" t="str">
        <f t="shared" si="1"/>
        <v>Before</v>
      </c>
    </row>
    <row r="89" spans="1:17" x14ac:dyDescent="0.3">
      <c r="A89" s="6" t="s">
        <v>141</v>
      </c>
      <c r="B89" s="1" t="s">
        <v>35</v>
      </c>
      <c r="C89" s="7">
        <v>45480</v>
      </c>
      <c r="D89" s="1" t="s">
        <v>29</v>
      </c>
      <c r="E89" s="1" t="s">
        <v>54</v>
      </c>
      <c r="F89" s="1">
        <v>302</v>
      </c>
      <c r="G89" s="1">
        <v>47</v>
      </c>
      <c r="H89" s="1">
        <v>430</v>
      </c>
      <c r="I89" s="1">
        <v>5738</v>
      </c>
      <c r="J89" s="1">
        <v>4890</v>
      </c>
      <c r="K89" s="1">
        <v>25</v>
      </c>
      <c r="L89" s="1" t="s">
        <v>25</v>
      </c>
      <c r="M89" s="1" t="s">
        <v>359</v>
      </c>
      <c r="N89" s="1" t="s">
        <v>359</v>
      </c>
      <c r="O89" s="8" t="s">
        <v>32</v>
      </c>
      <c r="P89" s="15">
        <f>(Table1_149[[#This Row],[Likes]]+Table1_149[[#This Row],[Shares]]+Table1_149[[#This Row],[Comments]])/Table1_149[[#This Row],[Impressions]]</f>
        <v>0.13576158940397351</v>
      </c>
      <c r="Q89" s="81" t="str">
        <f t="shared" si="1"/>
        <v>After</v>
      </c>
    </row>
    <row r="90" spans="1:17" x14ac:dyDescent="0.3">
      <c r="A90" s="6" t="s">
        <v>142</v>
      </c>
      <c r="B90" s="1" t="s">
        <v>14</v>
      </c>
      <c r="C90" s="7">
        <v>45667</v>
      </c>
      <c r="D90" s="1" t="s">
        <v>41</v>
      </c>
      <c r="E90" s="1" t="s">
        <v>88</v>
      </c>
      <c r="F90" s="1">
        <v>2214</v>
      </c>
      <c r="G90" s="1">
        <v>249</v>
      </c>
      <c r="H90" s="1">
        <v>152</v>
      </c>
      <c r="I90" s="1">
        <v>15498</v>
      </c>
      <c r="J90" s="1">
        <v>14800</v>
      </c>
      <c r="K90" s="1">
        <v>180</v>
      </c>
      <c r="L90" s="1" t="s">
        <v>31</v>
      </c>
      <c r="M90" s="1" t="s">
        <v>359</v>
      </c>
      <c r="N90" s="1" t="s">
        <v>359</v>
      </c>
      <c r="O90" s="8" t="s">
        <v>360</v>
      </c>
      <c r="P90" s="15">
        <f>(Table1_149[[#This Row],[Likes]]+Table1_149[[#This Row],[Shares]]+Table1_149[[#This Row],[Comments]])/Table1_149[[#This Row],[Impressions]]</f>
        <v>0.16873144921925409</v>
      </c>
      <c r="Q90" s="81" t="b">
        <f t="shared" si="1"/>
        <v>0</v>
      </c>
    </row>
    <row r="91" spans="1:17" x14ac:dyDescent="0.3">
      <c r="A91" s="6" t="s">
        <v>143</v>
      </c>
      <c r="B91" s="1" t="s">
        <v>28</v>
      </c>
      <c r="C91" s="7">
        <v>45446</v>
      </c>
      <c r="D91" s="1" t="s">
        <v>41</v>
      </c>
      <c r="E91" s="1" t="s">
        <v>134</v>
      </c>
      <c r="F91" s="1">
        <v>3861</v>
      </c>
      <c r="G91" s="1">
        <v>960</v>
      </c>
      <c r="H91" s="1">
        <v>101</v>
      </c>
      <c r="I91" s="1">
        <v>69498</v>
      </c>
      <c r="J91" s="1">
        <v>68817</v>
      </c>
      <c r="K91" s="1">
        <v>297</v>
      </c>
      <c r="L91" s="1" t="s">
        <v>25</v>
      </c>
      <c r="M91" s="1" t="s">
        <v>359</v>
      </c>
      <c r="N91" s="1" t="s">
        <v>359</v>
      </c>
      <c r="O91" s="8" t="s">
        <v>32</v>
      </c>
      <c r="P91" s="15">
        <f>(Table1_149[[#This Row],[Likes]]+Table1_149[[#This Row],[Shares]]+Table1_149[[#This Row],[Comments]])/Table1_149[[#This Row],[Impressions]]</f>
        <v>7.0822181933293038E-2</v>
      </c>
      <c r="Q91" s="81" t="str">
        <f t="shared" si="1"/>
        <v>Before</v>
      </c>
    </row>
    <row r="92" spans="1:17" x14ac:dyDescent="0.3">
      <c r="A92" s="6" t="s">
        <v>144</v>
      </c>
      <c r="B92" s="1" t="s">
        <v>35</v>
      </c>
      <c r="C92" s="7">
        <v>45740</v>
      </c>
      <c r="D92" s="1" t="s">
        <v>41</v>
      </c>
      <c r="E92" s="1" t="s">
        <v>46</v>
      </c>
      <c r="F92" s="1">
        <v>1263</v>
      </c>
      <c r="G92" s="1">
        <v>397</v>
      </c>
      <c r="H92" s="1">
        <v>357</v>
      </c>
      <c r="I92" s="1">
        <v>25260</v>
      </c>
      <c r="J92" s="1">
        <v>24615</v>
      </c>
      <c r="K92" s="1">
        <v>137</v>
      </c>
      <c r="L92" s="1" t="s">
        <v>31</v>
      </c>
      <c r="M92" s="1" t="s">
        <v>359</v>
      </c>
      <c r="N92" s="1" t="s">
        <v>359</v>
      </c>
      <c r="O92" s="8" t="s">
        <v>32</v>
      </c>
      <c r="P92" s="15">
        <f>(Table1_149[[#This Row],[Likes]]+Table1_149[[#This Row],[Shares]]+Table1_149[[#This Row],[Comments]])/Table1_149[[#This Row],[Impressions]]</f>
        <v>7.984956452889945E-2</v>
      </c>
      <c r="Q92" s="81" t="str">
        <f t="shared" si="1"/>
        <v>After</v>
      </c>
    </row>
    <row r="93" spans="1:17" x14ac:dyDescent="0.3">
      <c r="A93" s="6" t="s">
        <v>145</v>
      </c>
      <c r="B93" s="1" t="s">
        <v>14</v>
      </c>
      <c r="C93" s="7">
        <v>45586</v>
      </c>
      <c r="D93" s="1" t="s">
        <v>29</v>
      </c>
      <c r="E93" s="1" t="s">
        <v>98</v>
      </c>
      <c r="F93" s="1">
        <v>3801</v>
      </c>
      <c r="G93" s="1">
        <v>967</v>
      </c>
      <c r="H93" s="1">
        <v>401</v>
      </c>
      <c r="I93" s="1">
        <v>38010</v>
      </c>
      <c r="J93" s="1">
        <v>37625</v>
      </c>
      <c r="K93" s="1">
        <v>236</v>
      </c>
      <c r="L93" s="1" t="s">
        <v>48</v>
      </c>
      <c r="M93" s="1" t="s">
        <v>359</v>
      </c>
      <c r="N93" s="1" t="s">
        <v>359</v>
      </c>
      <c r="O93" s="8" t="s">
        <v>26</v>
      </c>
      <c r="P93" s="15">
        <f>(Table1_149[[#This Row],[Likes]]+Table1_149[[#This Row],[Shares]]+Table1_149[[#This Row],[Comments]])/Table1_149[[#This Row],[Impressions]]</f>
        <v>0.13599052880820836</v>
      </c>
      <c r="Q93" s="81" t="str">
        <f t="shared" si="1"/>
        <v>Before</v>
      </c>
    </row>
    <row r="94" spans="1:17" x14ac:dyDescent="0.3">
      <c r="A94" s="6" t="s">
        <v>146</v>
      </c>
      <c r="B94" s="1" t="s">
        <v>28</v>
      </c>
      <c r="C94" s="7">
        <v>45637</v>
      </c>
      <c r="D94" s="1" t="s">
        <v>56</v>
      </c>
      <c r="E94" s="1" t="s">
        <v>63</v>
      </c>
      <c r="F94" s="1">
        <v>1431</v>
      </c>
      <c r="G94" s="1">
        <v>951</v>
      </c>
      <c r="H94" s="1">
        <v>26</v>
      </c>
      <c r="I94" s="1">
        <v>8586</v>
      </c>
      <c r="J94" s="1">
        <v>8396</v>
      </c>
      <c r="K94" s="1">
        <v>150</v>
      </c>
      <c r="L94" s="1" t="s">
        <v>31</v>
      </c>
      <c r="M94" s="1" t="s">
        <v>359</v>
      </c>
      <c r="N94" s="1" t="s">
        <v>359</v>
      </c>
      <c r="O94" s="8" t="s">
        <v>26</v>
      </c>
      <c r="P94" s="15">
        <f>(Table1_149[[#This Row],[Likes]]+Table1_149[[#This Row],[Shares]]+Table1_149[[#This Row],[Comments]])/Table1_149[[#This Row],[Impressions]]</f>
        <v>0.28045655718611695</v>
      </c>
      <c r="Q94" s="81" t="str">
        <f t="shared" si="1"/>
        <v>Before</v>
      </c>
    </row>
    <row r="95" spans="1:17" x14ac:dyDescent="0.3">
      <c r="A95" s="6" t="s">
        <v>147</v>
      </c>
      <c r="B95" s="1" t="s">
        <v>28</v>
      </c>
      <c r="C95" s="7">
        <v>45603</v>
      </c>
      <c r="D95" s="1" t="s">
        <v>41</v>
      </c>
      <c r="E95" s="1" t="s">
        <v>134</v>
      </c>
      <c r="F95" s="1">
        <v>2647</v>
      </c>
      <c r="G95" s="1">
        <v>304</v>
      </c>
      <c r="H95" s="1">
        <v>170</v>
      </c>
      <c r="I95" s="1">
        <v>18529</v>
      </c>
      <c r="J95" s="1">
        <v>17841</v>
      </c>
      <c r="K95" s="1">
        <v>46</v>
      </c>
      <c r="L95" s="1" t="s">
        <v>48</v>
      </c>
      <c r="M95" s="1" t="s">
        <v>359</v>
      </c>
      <c r="N95" s="1" t="s">
        <v>359</v>
      </c>
      <c r="O95" s="8" t="s">
        <v>26</v>
      </c>
      <c r="P95" s="15">
        <f>(Table1_149[[#This Row],[Likes]]+Table1_149[[#This Row],[Shares]]+Table1_149[[#This Row],[Comments]])/Table1_149[[#This Row],[Impressions]]</f>
        <v>0.16843866371633656</v>
      </c>
      <c r="Q95" s="81" t="str">
        <f t="shared" si="1"/>
        <v>Before</v>
      </c>
    </row>
    <row r="96" spans="1:17" x14ac:dyDescent="0.3">
      <c r="A96" s="6" t="s">
        <v>148</v>
      </c>
      <c r="B96" s="1" t="s">
        <v>28</v>
      </c>
      <c r="C96" s="7">
        <v>45604</v>
      </c>
      <c r="D96" s="1" t="s">
        <v>19</v>
      </c>
      <c r="E96" s="1" t="s">
        <v>78</v>
      </c>
      <c r="F96" s="1">
        <v>3182</v>
      </c>
      <c r="G96" s="1">
        <v>559</v>
      </c>
      <c r="H96" s="1">
        <v>160</v>
      </c>
      <c r="I96" s="1">
        <v>57276</v>
      </c>
      <c r="J96" s="1">
        <v>56890</v>
      </c>
      <c r="K96" s="1">
        <v>163</v>
      </c>
      <c r="L96" s="1" t="s">
        <v>48</v>
      </c>
      <c r="M96" s="1" t="s">
        <v>359</v>
      </c>
      <c r="N96" s="1" t="s">
        <v>359</v>
      </c>
      <c r="O96" s="8" t="s">
        <v>32</v>
      </c>
      <c r="P96" s="15">
        <f>(Table1_149[[#This Row],[Likes]]+Table1_149[[#This Row],[Shares]]+Table1_149[[#This Row],[Comments]])/Table1_149[[#This Row],[Impressions]]</f>
        <v>6.8108806480899509E-2</v>
      </c>
      <c r="Q96" s="81" t="str">
        <f t="shared" si="1"/>
        <v>After</v>
      </c>
    </row>
    <row r="97" spans="1:17" x14ac:dyDescent="0.3">
      <c r="A97" s="6" t="s">
        <v>149</v>
      </c>
      <c r="B97" s="1" t="s">
        <v>14</v>
      </c>
      <c r="C97" s="7">
        <v>45545</v>
      </c>
      <c r="D97" s="1" t="s">
        <v>41</v>
      </c>
      <c r="E97" s="1" t="s">
        <v>88</v>
      </c>
      <c r="F97" s="1">
        <v>1238</v>
      </c>
      <c r="G97" s="1">
        <v>366</v>
      </c>
      <c r="H97" s="1">
        <v>444</v>
      </c>
      <c r="I97" s="1">
        <v>19808</v>
      </c>
      <c r="J97" s="1">
        <v>19334</v>
      </c>
      <c r="K97" s="1">
        <v>123</v>
      </c>
      <c r="L97" s="1" t="s">
        <v>48</v>
      </c>
      <c r="M97" s="1" t="s">
        <v>359</v>
      </c>
      <c r="N97" s="1" t="s">
        <v>359</v>
      </c>
      <c r="O97" s="8" t="s">
        <v>360</v>
      </c>
      <c r="P97" s="15">
        <f>(Table1_149[[#This Row],[Likes]]+Table1_149[[#This Row],[Shares]]+Table1_149[[#This Row],[Comments]])/Table1_149[[#This Row],[Impressions]]</f>
        <v>0.10339256865912763</v>
      </c>
      <c r="Q97" s="81" t="b">
        <f t="shared" si="1"/>
        <v>0</v>
      </c>
    </row>
    <row r="98" spans="1:17" x14ac:dyDescent="0.3">
      <c r="A98" s="6" t="s">
        <v>150</v>
      </c>
      <c r="B98" s="1" t="s">
        <v>28</v>
      </c>
      <c r="C98" s="7">
        <v>45517</v>
      </c>
      <c r="D98" s="1" t="s">
        <v>41</v>
      </c>
      <c r="E98" s="1" t="s">
        <v>134</v>
      </c>
      <c r="F98" s="1">
        <v>4739</v>
      </c>
      <c r="G98" s="1">
        <v>527</v>
      </c>
      <c r="H98" s="1">
        <v>135</v>
      </c>
      <c r="I98" s="1">
        <v>61607</v>
      </c>
      <c r="J98" s="1">
        <v>61333</v>
      </c>
      <c r="K98" s="1">
        <v>36</v>
      </c>
      <c r="L98" s="1" t="s">
        <v>25</v>
      </c>
      <c r="M98" s="1" t="s">
        <v>354</v>
      </c>
      <c r="N98" s="1" t="s">
        <v>359</v>
      </c>
      <c r="O98" s="8" t="s">
        <v>21</v>
      </c>
      <c r="P98" s="15">
        <f>(Table1_149[[#This Row],[Likes]]+Table1_149[[#This Row],[Shares]]+Table1_149[[#This Row],[Comments]])/Table1_149[[#This Row],[Impressions]]</f>
        <v>8.7668609086629767E-2</v>
      </c>
      <c r="Q98" s="81" t="str">
        <f t="shared" si="1"/>
        <v>Before</v>
      </c>
    </row>
    <row r="99" spans="1:17" x14ac:dyDescent="0.3">
      <c r="A99" s="6" t="s">
        <v>151</v>
      </c>
      <c r="B99" s="1" t="s">
        <v>14</v>
      </c>
      <c r="C99" s="7">
        <v>45453</v>
      </c>
      <c r="D99" s="1" t="s">
        <v>29</v>
      </c>
      <c r="E99" s="1" t="s">
        <v>98</v>
      </c>
      <c r="F99" s="1">
        <v>1575</v>
      </c>
      <c r="G99" s="1">
        <v>771</v>
      </c>
      <c r="H99" s="1">
        <v>486</v>
      </c>
      <c r="I99" s="1">
        <v>25200</v>
      </c>
      <c r="J99" s="1">
        <v>24826</v>
      </c>
      <c r="K99" s="1">
        <v>17</v>
      </c>
      <c r="L99" s="1" t="s">
        <v>48</v>
      </c>
      <c r="M99" s="1" t="s">
        <v>359</v>
      </c>
      <c r="N99" s="1" t="s">
        <v>359</v>
      </c>
      <c r="O99" s="8" t="s">
        <v>32</v>
      </c>
      <c r="P99" s="15">
        <f>(Table1_149[[#This Row],[Likes]]+Table1_149[[#This Row],[Shares]]+Table1_149[[#This Row],[Comments]])/Table1_149[[#This Row],[Impressions]]</f>
        <v>0.11238095238095239</v>
      </c>
      <c r="Q99" s="81" t="str">
        <f t="shared" si="1"/>
        <v>During</v>
      </c>
    </row>
    <row r="100" spans="1:17" x14ac:dyDescent="0.3">
      <c r="A100" s="6" t="s">
        <v>152</v>
      </c>
      <c r="B100" s="1" t="s">
        <v>23</v>
      </c>
      <c r="C100" s="7">
        <v>45475</v>
      </c>
      <c r="D100" s="1" t="s">
        <v>36</v>
      </c>
      <c r="E100" s="1" t="s">
        <v>52</v>
      </c>
      <c r="F100" s="1">
        <v>4171</v>
      </c>
      <c r="G100" s="1">
        <v>548</v>
      </c>
      <c r="H100" s="1">
        <v>86</v>
      </c>
      <c r="I100" s="1">
        <v>66736</v>
      </c>
      <c r="J100" s="1">
        <v>66634</v>
      </c>
      <c r="K100" s="1">
        <v>173</v>
      </c>
      <c r="L100" s="1" t="s">
        <v>48</v>
      </c>
      <c r="M100" s="1" t="s">
        <v>359</v>
      </c>
      <c r="N100" s="1" t="s">
        <v>359</v>
      </c>
      <c r="O100" s="8" t="s">
        <v>26</v>
      </c>
      <c r="P100" s="15">
        <f>(Table1_149[[#This Row],[Likes]]+Table1_149[[#This Row],[Shares]]+Table1_149[[#This Row],[Comments]])/Table1_149[[#This Row],[Impressions]]</f>
        <v>7.2000119875329657E-2</v>
      </c>
      <c r="Q100" s="81" t="str">
        <f t="shared" si="1"/>
        <v>Before</v>
      </c>
    </row>
    <row r="101" spans="1:17" x14ac:dyDescent="0.3">
      <c r="A101" s="6" t="s">
        <v>153</v>
      </c>
      <c r="B101" s="1" t="s">
        <v>23</v>
      </c>
      <c r="C101" s="7">
        <v>45698</v>
      </c>
      <c r="D101" s="1" t="s">
        <v>56</v>
      </c>
      <c r="E101" s="1" t="s">
        <v>136</v>
      </c>
      <c r="F101" s="1">
        <v>1766</v>
      </c>
      <c r="G101" s="1">
        <v>92</v>
      </c>
      <c r="H101" s="1">
        <v>424</v>
      </c>
      <c r="I101" s="1">
        <v>24724</v>
      </c>
      <c r="J101" s="1">
        <v>24333</v>
      </c>
      <c r="K101" s="1">
        <v>52</v>
      </c>
      <c r="L101" s="1" t="s">
        <v>31</v>
      </c>
      <c r="M101" s="1" t="s">
        <v>359</v>
      </c>
      <c r="N101" s="1" t="s">
        <v>359</v>
      </c>
      <c r="O101" s="8" t="s">
        <v>360</v>
      </c>
      <c r="P101" s="15">
        <f>(Table1_149[[#This Row],[Likes]]+Table1_149[[#This Row],[Shares]]+Table1_149[[#This Row],[Comments]])/Table1_149[[#This Row],[Impressions]]</f>
        <v>9.2298980747451867E-2</v>
      </c>
      <c r="Q101" s="81" t="b">
        <f t="shared" si="1"/>
        <v>0</v>
      </c>
    </row>
    <row r="102" spans="1:17" x14ac:dyDescent="0.3">
      <c r="A102" s="6" t="s">
        <v>154</v>
      </c>
      <c r="B102" s="1" t="s">
        <v>23</v>
      </c>
      <c r="C102" s="7">
        <v>45583</v>
      </c>
      <c r="D102" s="1" t="s">
        <v>56</v>
      </c>
      <c r="E102" s="1" t="s">
        <v>136</v>
      </c>
      <c r="F102" s="1">
        <v>4450</v>
      </c>
      <c r="G102" s="1">
        <v>983</v>
      </c>
      <c r="H102" s="1">
        <v>143</v>
      </c>
      <c r="I102" s="1">
        <v>75650</v>
      </c>
      <c r="J102" s="1">
        <v>75008</v>
      </c>
      <c r="K102" s="1">
        <v>12</v>
      </c>
      <c r="L102" s="1" t="s">
        <v>48</v>
      </c>
      <c r="M102" s="1" t="s">
        <v>359</v>
      </c>
      <c r="N102" s="1" t="s">
        <v>359</v>
      </c>
      <c r="O102" s="8" t="s">
        <v>26</v>
      </c>
      <c r="P102" s="15">
        <f>(Table1_149[[#This Row],[Likes]]+Table1_149[[#This Row],[Shares]]+Table1_149[[#This Row],[Comments]])/Table1_149[[#This Row],[Impressions]]</f>
        <v>7.3707865168539333E-2</v>
      </c>
      <c r="Q102" s="81" t="str">
        <f t="shared" si="1"/>
        <v>Before</v>
      </c>
    </row>
    <row r="103" spans="1:17" x14ac:dyDescent="0.3">
      <c r="A103" s="6" t="s">
        <v>155</v>
      </c>
      <c r="B103" s="1" t="s">
        <v>14</v>
      </c>
      <c r="C103" s="7">
        <v>45553</v>
      </c>
      <c r="D103" s="1" t="s">
        <v>15</v>
      </c>
      <c r="E103" s="1" t="s">
        <v>16</v>
      </c>
      <c r="F103" s="1">
        <v>1000</v>
      </c>
      <c r="G103" s="1">
        <v>978</v>
      </c>
      <c r="H103" s="1">
        <v>162</v>
      </c>
      <c r="I103" s="1">
        <v>6000</v>
      </c>
      <c r="J103" s="1">
        <v>5221</v>
      </c>
      <c r="K103" s="1">
        <v>223</v>
      </c>
      <c r="L103" s="1" t="s">
        <v>31</v>
      </c>
      <c r="M103" s="1" t="s">
        <v>359</v>
      </c>
      <c r="N103" s="1" t="s">
        <v>359</v>
      </c>
      <c r="O103" s="8" t="s">
        <v>21</v>
      </c>
      <c r="P103" s="15">
        <f>(Table1_149[[#This Row],[Likes]]+Table1_149[[#This Row],[Shares]]+Table1_149[[#This Row],[Comments]])/Table1_149[[#This Row],[Impressions]]</f>
        <v>0.35666666666666669</v>
      </c>
      <c r="Q103" s="81" t="str">
        <f t="shared" si="1"/>
        <v>Before</v>
      </c>
    </row>
    <row r="104" spans="1:17" x14ac:dyDescent="0.3">
      <c r="A104" s="6" t="s">
        <v>156</v>
      </c>
      <c r="B104" s="1" t="s">
        <v>35</v>
      </c>
      <c r="C104" s="7">
        <v>45454</v>
      </c>
      <c r="D104" s="1" t="s">
        <v>41</v>
      </c>
      <c r="E104" s="1" t="s">
        <v>46</v>
      </c>
      <c r="F104" s="1">
        <v>3689</v>
      </c>
      <c r="G104" s="1">
        <v>48</v>
      </c>
      <c r="H104" s="1">
        <v>306</v>
      </c>
      <c r="I104" s="1">
        <v>40579</v>
      </c>
      <c r="J104" s="1">
        <v>39588</v>
      </c>
      <c r="K104" s="1">
        <v>212</v>
      </c>
      <c r="L104" s="1" t="s">
        <v>31</v>
      </c>
      <c r="M104" s="1" t="s">
        <v>359</v>
      </c>
      <c r="N104" s="1" t="s">
        <v>359</v>
      </c>
      <c r="O104" s="8" t="s">
        <v>21</v>
      </c>
      <c r="P104" s="15">
        <f>(Table1_149[[#This Row],[Likes]]+Table1_149[[#This Row],[Shares]]+Table1_149[[#This Row],[Comments]])/Table1_149[[#This Row],[Impressions]]</f>
        <v>9.9632815002833983E-2</v>
      </c>
      <c r="Q104" s="81" t="str">
        <f t="shared" si="1"/>
        <v>Before</v>
      </c>
    </row>
    <row r="105" spans="1:17" x14ac:dyDescent="0.3">
      <c r="A105" s="6" t="s">
        <v>157</v>
      </c>
      <c r="B105" s="1" t="s">
        <v>23</v>
      </c>
      <c r="C105" s="7">
        <v>45739</v>
      </c>
      <c r="D105" s="1" t="s">
        <v>29</v>
      </c>
      <c r="E105" s="1" t="s">
        <v>101</v>
      </c>
      <c r="F105" s="1">
        <v>3655</v>
      </c>
      <c r="G105" s="1">
        <v>568</v>
      </c>
      <c r="H105" s="1">
        <v>286</v>
      </c>
      <c r="I105" s="1">
        <v>32895</v>
      </c>
      <c r="J105" s="1">
        <v>32015</v>
      </c>
      <c r="K105" s="1">
        <v>199</v>
      </c>
      <c r="L105" s="1" t="s">
        <v>25</v>
      </c>
      <c r="M105" s="1" t="s">
        <v>359</v>
      </c>
      <c r="N105" s="1" t="s">
        <v>359</v>
      </c>
      <c r="O105" s="8" t="s">
        <v>26</v>
      </c>
      <c r="P105" s="15">
        <f>(Table1_149[[#This Row],[Likes]]+Table1_149[[#This Row],[Shares]]+Table1_149[[#This Row],[Comments]])/Table1_149[[#This Row],[Impressions]]</f>
        <v>0.13707250341997265</v>
      </c>
      <c r="Q105" s="81" t="str">
        <f t="shared" si="1"/>
        <v>Before</v>
      </c>
    </row>
    <row r="106" spans="1:17" x14ac:dyDescent="0.3">
      <c r="A106" s="6" t="s">
        <v>158</v>
      </c>
      <c r="B106" s="1" t="s">
        <v>28</v>
      </c>
      <c r="C106" s="7">
        <v>45457</v>
      </c>
      <c r="D106" s="1" t="s">
        <v>36</v>
      </c>
      <c r="E106" s="1" t="s">
        <v>65</v>
      </c>
      <c r="F106" s="1">
        <v>498</v>
      </c>
      <c r="G106" s="1">
        <v>38</v>
      </c>
      <c r="H106" s="1">
        <v>42</v>
      </c>
      <c r="I106" s="1">
        <v>4482</v>
      </c>
      <c r="J106" s="1">
        <v>3647</v>
      </c>
      <c r="K106" s="1">
        <v>32</v>
      </c>
      <c r="L106" s="1" t="s">
        <v>48</v>
      </c>
      <c r="M106" s="1" t="s">
        <v>359</v>
      </c>
      <c r="N106" s="1" t="s">
        <v>359</v>
      </c>
      <c r="O106" s="8" t="s">
        <v>17</v>
      </c>
      <c r="P106" s="15">
        <f>(Table1_149[[#This Row],[Likes]]+Table1_149[[#This Row],[Shares]]+Table1_149[[#This Row],[Comments]])/Table1_149[[#This Row],[Impressions]]</f>
        <v>0.12896028558679162</v>
      </c>
      <c r="Q106" s="81" t="str">
        <f t="shared" si="1"/>
        <v>Before</v>
      </c>
    </row>
    <row r="107" spans="1:17" x14ac:dyDescent="0.3">
      <c r="A107" s="6" t="s">
        <v>159</v>
      </c>
      <c r="B107" s="1" t="s">
        <v>28</v>
      </c>
      <c r="C107" s="7">
        <v>45692</v>
      </c>
      <c r="D107" s="1" t="s">
        <v>41</v>
      </c>
      <c r="E107" s="1" t="s">
        <v>134</v>
      </c>
      <c r="F107" s="1">
        <v>4619</v>
      </c>
      <c r="G107" s="1">
        <v>821</v>
      </c>
      <c r="H107" s="1">
        <v>499</v>
      </c>
      <c r="I107" s="1">
        <v>69285</v>
      </c>
      <c r="J107" s="1">
        <v>69141</v>
      </c>
      <c r="K107" s="1">
        <v>298</v>
      </c>
      <c r="L107" s="1" t="s">
        <v>25</v>
      </c>
      <c r="M107" s="1" t="s">
        <v>359</v>
      </c>
      <c r="N107" s="1" t="s">
        <v>359</v>
      </c>
      <c r="O107" s="8" t="s">
        <v>32</v>
      </c>
      <c r="P107" s="15">
        <f>(Table1_149[[#This Row],[Likes]]+Table1_149[[#This Row],[Shares]]+Table1_149[[#This Row],[Comments]])/Table1_149[[#This Row],[Impressions]]</f>
        <v>8.5718409468138843E-2</v>
      </c>
      <c r="Q107" s="81" t="str">
        <f t="shared" si="1"/>
        <v>After</v>
      </c>
    </row>
    <row r="108" spans="1:17" x14ac:dyDescent="0.3">
      <c r="A108" s="6" t="s">
        <v>160</v>
      </c>
      <c r="B108" s="1" t="s">
        <v>23</v>
      </c>
      <c r="C108" s="7">
        <v>45464</v>
      </c>
      <c r="D108" s="1" t="s">
        <v>41</v>
      </c>
      <c r="E108" s="1" t="s">
        <v>42</v>
      </c>
      <c r="F108" s="1">
        <v>4832</v>
      </c>
      <c r="G108" s="1">
        <v>893</v>
      </c>
      <c r="H108" s="1">
        <v>10</v>
      </c>
      <c r="I108" s="1">
        <v>91808</v>
      </c>
      <c r="J108" s="1">
        <v>91296</v>
      </c>
      <c r="K108" s="1">
        <v>182</v>
      </c>
      <c r="L108" s="1" t="s">
        <v>25</v>
      </c>
      <c r="M108" s="1" t="s">
        <v>359</v>
      </c>
      <c r="N108" s="1" t="s">
        <v>359</v>
      </c>
      <c r="O108" s="8" t="s">
        <v>360</v>
      </c>
      <c r="P108" s="15">
        <f>(Table1_149[[#This Row],[Likes]]+Table1_149[[#This Row],[Shares]]+Table1_149[[#This Row],[Comments]])/Table1_149[[#This Row],[Impressions]]</f>
        <v>6.2467323109097243E-2</v>
      </c>
      <c r="Q108" s="81" t="b">
        <f t="shared" si="1"/>
        <v>0</v>
      </c>
    </row>
    <row r="109" spans="1:17" x14ac:dyDescent="0.3">
      <c r="A109" s="6" t="s">
        <v>161</v>
      </c>
      <c r="B109" s="1" t="s">
        <v>14</v>
      </c>
      <c r="C109" s="7">
        <v>45741</v>
      </c>
      <c r="D109" s="1" t="s">
        <v>56</v>
      </c>
      <c r="E109" s="1" t="s">
        <v>95</v>
      </c>
      <c r="F109" s="1">
        <v>4050</v>
      </c>
      <c r="G109" s="1">
        <v>871</v>
      </c>
      <c r="H109" s="1">
        <v>347</v>
      </c>
      <c r="I109" s="1">
        <v>52650</v>
      </c>
      <c r="J109" s="1">
        <v>51755</v>
      </c>
      <c r="K109" s="1">
        <v>209</v>
      </c>
      <c r="L109" s="1" t="s">
        <v>25</v>
      </c>
      <c r="M109" s="1" t="s">
        <v>359</v>
      </c>
      <c r="N109" s="1" t="s">
        <v>359</v>
      </c>
      <c r="O109" s="8" t="s">
        <v>21</v>
      </c>
      <c r="P109" s="15">
        <f>(Table1_149[[#This Row],[Likes]]+Table1_149[[#This Row],[Shares]]+Table1_149[[#This Row],[Comments]])/Table1_149[[#This Row],[Impressions]]</f>
        <v>0.10005698005698006</v>
      </c>
      <c r="Q109" s="81" t="str">
        <f t="shared" si="1"/>
        <v>After</v>
      </c>
    </row>
    <row r="110" spans="1:17" x14ac:dyDescent="0.3">
      <c r="A110" s="6" t="s">
        <v>162</v>
      </c>
      <c r="B110" s="1" t="s">
        <v>14</v>
      </c>
      <c r="C110" s="7">
        <v>45512</v>
      </c>
      <c r="D110" s="1" t="s">
        <v>29</v>
      </c>
      <c r="E110" s="1" t="s">
        <v>98</v>
      </c>
      <c r="F110" s="1">
        <v>3649</v>
      </c>
      <c r="G110" s="1">
        <v>215</v>
      </c>
      <c r="H110" s="1">
        <v>413</v>
      </c>
      <c r="I110" s="1">
        <v>25543</v>
      </c>
      <c r="J110" s="1">
        <v>24963</v>
      </c>
      <c r="K110" s="1">
        <v>167</v>
      </c>
      <c r="L110" s="1" t="s">
        <v>48</v>
      </c>
      <c r="M110" s="1" t="s">
        <v>359</v>
      </c>
      <c r="N110" s="1" t="s">
        <v>359</v>
      </c>
      <c r="O110" s="8" t="s">
        <v>26</v>
      </c>
      <c r="P110" s="15">
        <f>(Table1_149[[#This Row],[Likes]]+Table1_149[[#This Row],[Shares]]+Table1_149[[#This Row],[Comments]])/Table1_149[[#This Row],[Impressions]]</f>
        <v>0.16744313510550835</v>
      </c>
      <c r="Q110" s="81" t="str">
        <f t="shared" si="1"/>
        <v>Before</v>
      </c>
    </row>
    <row r="111" spans="1:17" x14ac:dyDescent="0.3">
      <c r="A111" s="6" t="s">
        <v>163</v>
      </c>
      <c r="B111" s="1" t="s">
        <v>28</v>
      </c>
      <c r="C111" s="7">
        <v>45502</v>
      </c>
      <c r="D111" s="1" t="s">
        <v>15</v>
      </c>
      <c r="E111" s="1" t="s">
        <v>61</v>
      </c>
      <c r="F111" s="1">
        <v>3523</v>
      </c>
      <c r="G111" s="1">
        <v>753</v>
      </c>
      <c r="H111" s="1">
        <v>482</v>
      </c>
      <c r="I111" s="1">
        <v>38753</v>
      </c>
      <c r="J111" s="1">
        <v>38579</v>
      </c>
      <c r="K111" s="1">
        <v>270</v>
      </c>
      <c r="L111" s="1" t="s">
        <v>31</v>
      </c>
      <c r="M111" s="1" t="s">
        <v>359</v>
      </c>
      <c r="N111" s="1" t="s">
        <v>359</v>
      </c>
      <c r="O111" s="8" t="s">
        <v>21</v>
      </c>
      <c r="P111" s="15">
        <f>(Table1_149[[#This Row],[Likes]]+Table1_149[[#This Row],[Shares]]+Table1_149[[#This Row],[Comments]])/Table1_149[[#This Row],[Impressions]]</f>
        <v>0.12277759141227776</v>
      </c>
      <c r="Q111" s="81" t="str">
        <f t="shared" si="1"/>
        <v>Before</v>
      </c>
    </row>
    <row r="112" spans="1:17" x14ac:dyDescent="0.3">
      <c r="A112" s="6" t="s">
        <v>164</v>
      </c>
      <c r="B112" s="1" t="s">
        <v>23</v>
      </c>
      <c r="C112" s="7">
        <v>45619</v>
      </c>
      <c r="D112" s="1" t="s">
        <v>41</v>
      </c>
      <c r="E112" s="1" t="s">
        <v>42</v>
      </c>
      <c r="F112" s="1">
        <v>2719</v>
      </c>
      <c r="G112" s="1">
        <v>17</v>
      </c>
      <c r="H112" s="1">
        <v>285</v>
      </c>
      <c r="I112" s="1">
        <v>40785</v>
      </c>
      <c r="J112" s="1">
        <v>40281</v>
      </c>
      <c r="K112" s="1">
        <v>40</v>
      </c>
      <c r="L112" s="1" t="s">
        <v>25</v>
      </c>
      <c r="M112" s="1" t="s">
        <v>359</v>
      </c>
      <c r="N112" s="1" t="s">
        <v>359</v>
      </c>
      <c r="O112" s="8" t="s">
        <v>21</v>
      </c>
      <c r="P112" s="15">
        <f>(Table1_149[[#This Row],[Likes]]+Table1_149[[#This Row],[Shares]]+Table1_149[[#This Row],[Comments]])/Table1_149[[#This Row],[Impressions]]</f>
        <v>7.4071349760941527E-2</v>
      </c>
      <c r="Q112" s="81" t="str">
        <f t="shared" si="1"/>
        <v>Before</v>
      </c>
    </row>
    <row r="113" spans="1:17" x14ac:dyDescent="0.3">
      <c r="A113" s="6" t="s">
        <v>165</v>
      </c>
      <c r="B113" s="1" t="s">
        <v>14</v>
      </c>
      <c r="C113" s="7">
        <v>45570</v>
      </c>
      <c r="D113" s="1" t="s">
        <v>29</v>
      </c>
      <c r="E113" s="1" t="s">
        <v>98</v>
      </c>
      <c r="F113" s="1">
        <v>1957</v>
      </c>
      <c r="G113" s="1">
        <v>877</v>
      </c>
      <c r="H113" s="1">
        <v>238</v>
      </c>
      <c r="I113" s="1">
        <v>17613</v>
      </c>
      <c r="J113" s="1">
        <v>16865</v>
      </c>
      <c r="K113" s="1">
        <v>297</v>
      </c>
      <c r="L113" s="1" t="s">
        <v>48</v>
      </c>
      <c r="M113" s="1" t="s">
        <v>359</v>
      </c>
      <c r="N113" s="1" t="s">
        <v>359</v>
      </c>
      <c r="O113" s="8" t="s">
        <v>26</v>
      </c>
      <c r="P113" s="15">
        <f>(Table1_149[[#This Row],[Likes]]+Table1_149[[#This Row],[Shares]]+Table1_149[[#This Row],[Comments]])/Table1_149[[#This Row],[Impressions]]</f>
        <v>0.17441662408448305</v>
      </c>
      <c r="Q113" s="81" t="str">
        <f t="shared" si="1"/>
        <v>Before</v>
      </c>
    </row>
    <row r="114" spans="1:17" x14ac:dyDescent="0.3">
      <c r="A114" s="6" t="s">
        <v>166</v>
      </c>
      <c r="B114" s="1" t="s">
        <v>14</v>
      </c>
      <c r="C114" s="7">
        <v>45567</v>
      </c>
      <c r="D114" s="1" t="s">
        <v>36</v>
      </c>
      <c r="E114" s="1" t="s">
        <v>39</v>
      </c>
      <c r="F114" s="1">
        <v>4419</v>
      </c>
      <c r="G114" s="1">
        <v>236</v>
      </c>
      <c r="H114" s="1">
        <v>369</v>
      </c>
      <c r="I114" s="1">
        <v>44190</v>
      </c>
      <c r="J114" s="1">
        <v>43582</v>
      </c>
      <c r="K114" s="1">
        <v>10</v>
      </c>
      <c r="L114" s="1" t="s">
        <v>31</v>
      </c>
      <c r="M114" s="1" t="s">
        <v>359</v>
      </c>
      <c r="N114" s="1" t="s">
        <v>359</v>
      </c>
      <c r="O114" s="8" t="s">
        <v>17</v>
      </c>
      <c r="P114" s="15">
        <f>(Table1_149[[#This Row],[Likes]]+Table1_149[[#This Row],[Shares]]+Table1_149[[#This Row],[Comments]])/Table1_149[[#This Row],[Impressions]]</f>
        <v>0.11369088028965829</v>
      </c>
      <c r="Q114" s="81" t="str">
        <f t="shared" si="1"/>
        <v>Before</v>
      </c>
    </row>
    <row r="115" spans="1:17" x14ac:dyDescent="0.3">
      <c r="A115" s="6" t="s">
        <v>167</v>
      </c>
      <c r="B115" s="1" t="s">
        <v>14</v>
      </c>
      <c r="C115" s="7">
        <v>45610</v>
      </c>
      <c r="D115" s="1" t="s">
        <v>29</v>
      </c>
      <c r="E115" s="1" t="s">
        <v>98</v>
      </c>
      <c r="F115" s="1">
        <v>4000</v>
      </c>
      <c r="G115" s="1">
        <v>689</v>
      </c>
      <c r="H115" s="1">
        <v>488</v>
      </c>
      <c r="I115" s="1">
        <v>40000</v>
      </c>
      <c r="J115" s="1">
        <v>39569</v>
      </c>
      <c r="K115" s="1">
        <v>44</v>
      </c>
      <c r="L115" s="1" t="s">
        <v>48</v>
      </c>
      <c r="M115" s="1" t="s">
        <v>359</v>
      </c>
      <c r="N115" s="1" t="s">
        <v>359</v>
      </c>
      <c r="O115" s="8" t="s">
        <v>17</v>
      </c>
      <c r="P115" s="15">
        <f>(Table1_149[[#This Row],[Likes]]+Table1_149[[#This Row],[Shares]]+Table1_149[[#This Row],[Comments]])/Table1_149[[#This Row],[Impressions]]</f>
        <v>0.12942500000000001</v>
      </c>
      <c r="Q115" s="81" t="str">
        <f t="shared" si="1"/>
        <v>After</v>
      </c>
    </row>
    <row r="116" spans="1:17" x14ac:dyDescent="0.3">
      <c r="A116" s="6" t="s">
        <v>168</v>
      </c>
      <c r="B116" s="1" t="s">
        <v>14</v>
      </c>
      <c r="C116" s="7">
        <v>45788</v>
      </c>
      <c r="D116" s="1" t="s">
        <v>41</v>
      </c>
      <c r="E116" s="1" t="s">
        <v>88</v>
      </c>
      <c r="F116" s="1">
        <v>2493</v>
      </c>
      <c r="G116" s="1">
        <v>97</v>
      </c>
      <c r="H116" s="1">
        <v>44</v>
      </c>
      <c r="I116" s="1">
        <v>42381</v>
      </c>
      <c r="J116" s="1">
        <v>41991</v>
      </c>
      <c r="K116" s="1">
        <v>242</v>
      </c>
      <c r="L116" s="1" t="s">
        <v>25</v>
      </c>
      <c r="M116" s="1" t="s">
        <v>354</v>
      </c>
      <c r="N116" s="1" t="s">
        <v>359</v>
      </c>
      <c r="O116" s="8" t="s">
        <v>32</v>
      </c>
      <c r="P116" s="15">
        <f>(Table1_149[[#This Row],[Likes]]+Table1_149[[#This Row],[Shares]]+Table1_149[[#This Row],[Comments]])/Table1_149[[#This Row],[Impressions]]</f>
        <v>6.2150491965739366E-2</v>
      </c>
      <c r="Q116" s="81" t="str">
        <f t="shared" si="1"/>
        <v>After</v>
      </c>
    </row>
    <row r="117" spans="1:17" x14ac:dyDescent="0.3">
      <c r="A117" s="6" t="s">
        <v>169</v>
      </c>
      <c r="B117" s="1" t="s">
        <v>23</v>
      </c>
      <c r="C117" s="7">
        <v>45734</v>
      </c>
      <c r="D117" s="1" t="s">
        <v>15</v>
      </c>
      <c r="E117" s="1" t="s">
        <v>24</v>
      </c>
      <c r="F117" s="1">
        <v>3704</v>
      </c>
      <c r="G117" s="1">
        <v>186</v>
      </c>
      <c r="H117" s="1">
        <v>458</v>
      </c>
      <c r="I117" s="1">
        <v>25928</v>
      </c>
      <c r="J117" s="1">
        <v>25081</v>
      </c>
      <c r="K117" s="1">
        <v>131</v>
      </c>
      <c r="L117" s="1" t="s">
        <v>25</v>
      </c>
      <c r="M117" s="1" t="s">
        <v>359</v>
      </c>
      <c r="N117" s="1" t="s">
        <v>359</v>
      </c>
      <c r="O117" s="8" t="s">
        <v>360</v>
      </c>
      <c r="P117" s="15">
        <f>(Table1_149[[#This Row],[Likes]]+Table1_149[[#This Row],[Shares]]+Table1_149[[#This Row],[Comments]])/Table1_149[[#This Row],[Impressions]]</f>
        <v>0.16769515581610614</v>
      </c>
      <c r="Q117" s="81" t="b">
        <f t="shared" si="1"/>
        <v>0</v>
      </c>
    </row>
    <row r="118" spans="1:17" x14ac:dyDescent="0.3">
      <c r="A118" s="6" t="s">
        <v>170</v>
      </c>
      <c r="B118" s="1" t="s">
        <v>14</v>
      </c>
      <c r="C118" s="7">
        <v>45600</v>
      </c>
      <c r="D118" s="1" t="s">
        <v>41</v>
      </c>
      <c r="E118" s="1" t="s">
        <v>88</v>
      </c>
      <c r="F118" s="1">
        <v>1606</v>
      </c>
      <c r="G118" s="1">
        <v>451</v>
      </c>
      <c r="H118" s="1">
        <v>405</v>
      </c>
      <c r="I118" s="1">
        <v>20878</v>
      </c>
      <c r="J118" s="1">
        <v>20190</v>
      </c>
      <c r="K118" s="1">
        <v>219</v>
      </c>
      <c r="L118" s="1" t="s">
        <v>31</v>
      </c>
      <c r="M118" s="1" t="s">
        <v>359</v>
      </c>
      <c r="N118" s="1" t="s">
        <v>359</v>
      </c>
      <c r="O118" s="8" t="s">
        <v>32</v>
      </c>
      <c r="P118" s="15">
        <f>(Table1_149[[#This Row],[Likes]]+Table1_149[[#This Row],[Shares]]+Table1_149[[#This Row],[Comments]])/Table1_149[[#This Row],[Impressions]]</f>
        <v>0.11792317271769326</v>
      </c>
      <c r="Q118" s="81" t="str">
        <f t="shared" si="1"/>
        <v>After</v>
      </c>
    </row>
    <row r="119" spans="1:17" x14ac:dyDescent="0.3">
      <c r="A119" s="6" t="s">
        <v>171</v>
      </c>
      <c r="B119" s="1" t="s">
        <v>35</v>
      </c>
      <c r="C119" s="7">
        <v>45600</v>
      </c>
      <c r="D119" s="1" t="s">
        <v>41</v>
      </c>
      <c r="E119" s="1" t="s">
        <v>46</v>
      </c>
      <c r="F119" s="1">
        <v>4551</v>
      </c>
      <c r="G119" s="1">
        <v>714</v>
      </c>
      <c r="H119" s="1">
        <v>207</v>
      </c>
      <c r="I119" s="1">
        <v>68265</v>
      </c>
      <c r="J119" s="1">
        <v>67754</v>
      </c>
      <c r="K119" s="1">
        <v>57</v>
      </c>
      <c r="L119" s="1" t="s">
        <v>48</v>
      </c>
      <c r="M119" s="1" t="s">
        <v>359</v>
      </c>
      <c r="N119" s="1" t="s">
        <v>359</v>
      </c>
      <c r="O119" s="8" t="s">
        <v>26</v>
      </c>
      <c r="P119" s="15">
        <f>(Table1_149[[#This Row],[Likes]]+Table1_149[[#This Row],[Shares]]+Table1_149[[#This Row],[Comments]])/Table1_149[[#This Row],[Impressions]]</f>
        <v>8.0158206987475278E-2</v>
      </c>
      <c r="Q119" s="81" t="str">
        <f t="shared" si="1"/>
        <v>Before</v>
      </c>
    </row>
    <row r="120" spans="1:17" x14ac:dyDescent="0.3">
      <c r="A120" s="6" t="s">
        <v>172</v>
      </c>
      <c r="B120" s="1" t="s">
        <v>28</v>
      </c>
      <c r="C120" s="7">
        <v>45695</v>
      </c>
      <c r="D120" s="1" t="s">
        <v>15</v>
      </c>
      <c r="E120" s="1" t="s">
        <v>61</v>
      </c>
      <c r="F120" s="1">
        <v>1970</v>
      </c>
      <c r="G120" s="1">
        <v>675</v>
      </c>
      <c r="H120" s="1">
        <v>478</v>
      </c>
      <c r="I120" s="1">
        <v>9850</v>
      </c>
      <c r="J120" s="1">
        <v>8924</v>
      </c>
      <c r="K120" s="1">
        <v>117</v>
      </c>
      <c r="L120" s="1" t="s">
        <v>48</v>
      </c>
      <c r="M120" s="1" t="s">
        <v>359</v>
      </c>
      <c r="N120" s="1" t="s">
        <v>359</v>
      </c>
      <c r="O120" s="8" t="s">
        <v>360</v>
      </c>
      <c r="P120" s="15">
        <f>(Table1_149[[#This Row],[Likes]]+Table1_149[[#This Row],[Shares]]+Table1_149[[#This Row],[Comments]])/Table1_149[[#This Row],[Impressions]]</f>
        <v>0.31705583756345179</v>
      </c>
      <c r="Q120" s="81" t="b">
        <f t="shared" si="1"/>
        <v>0</v>
      </c>
    </row>
    <row r="121" spans="1:17" x14ac:dyDescent="0.3">
      <c r="A121" s="6" t="s">
        <v>173</v>
      </c>
      <c r="B121" s="1" t="s">
        <v>35</v>
      </c>
      <c r="C121" s="7">
        <v>45586</v>
      </c>
      <c r="D121" s="1" t="s">
        <v>29</v>
      </c>
      <c r="E121" s="1" t="s">
        <v>54</v>
      </c>
      <c r="F121" s="1">
        <v>780</v>
      </c>
      <c r="G121" s="1">
        <v>928</v>
      </c>
      <c r="H121" s="1">
        <v>301</v>
      </c>
      <c r="I121" s="1">
        <v>8580</v>
      </c>
      <c r="J121" s="1">
        <v>8081</v>
      </c>
      <c r="K121" s="1">
        <v>91</v>
      </c>
      <c r="L121" s="1" t="s">
        <v>31</v>
      </c>
      <c r="M121" s="1" t="s">
        <v>359</v>
      </c>
      <c r="N121" s="1" t="s">
        <v>359</v>
      </c>
      <c r="O121" s="8" t="s">
        <v>26</v>
      </c>
      <c r="P121" s="15">
        <f>(Table1_149[[#This Row],[Likes]]+Table1_149[[#This Row],[Shares]]+Table1_149[[#This Row],[Comments]])/Table1_149[[#This Row],[Impressions]]</f>
        <v>0.23414918414918415</v>
      </c>
      <c r="Q121" s="81" t="str">
        <f t="shared" si="1"/>
        <v>Before</v>
      </c>
    </row>
    <row r="122" spans="1:17" x14ac:dyDescent="0.3">
      <c r="A122" s="6" t="s">
        <v>174</v>
      </c>
      <c r="B122" s="1" t="s">
        <v>28</v>
      </c>
      <c r="C122" s="7">
        <v>45502</v>
      </c>
      <c r="D122" s="1" t="s">
        <v>29</v>
      </c>
      <c r="E122" s="1" t="s">
        <v>30</v>
      </c>
      <c r="F122" s="1">
        <v>498</v>
      </c>
      <c r="G122" s="1">
        <v>701</v>
      </c>
      <c r="H122" s="1">
        <v>412</v>
      </c>
      <c r="I122" s="1">
        <v>4980</v>
      </c>
      <c r="J122" s="1">
        <v>4185</v>
      </c>
      <c r="K122" s="1">
        <v>185</v>
      </c>
      <c r="L122" s="1" t="s">
        <v>48</v>
      </c>
      <c r="M122" s="1" t="s">
        <v>359</v>
      </c>
      <c r="N122" s="1" t="s">
        <v>359</v>
      </c>
      <c r="O122" s="8" t="s">
        <v>360</v>
      </c>
      <c r="P122" s="15">
        <f>(Table1_149[[#This Row],[Likes]]+Table1_149[[#This Row],[Shares]]+Table1_149[[#This Row],[Comments]])/Table1_149[[#This Row],[Impressions]]</f>
        <v>0.32349397590361445</v>
      </c>
      <c r="Q122" s="81" t="b">
        <f t="shared" si="1"/>
        <v>0</v>
      </c>
    </row>
    <row r="123" spans="1:17" x14ac:dyDescent="0.3">
      <c r="A123" s="6" t="s">
        <v>175</v>
      </c>
      <c r="B123" s="1" t="s">
        <v>28</v>
      </c>
      <c r="C123" s="7">
        <v>45567</v>
      </c>
      <c r="D123" s="1" t="s">
        <v>19</v>
      </c>
      <c r="E123" s="1" t="s">
        <v>78</v>
      </c>
      <c r="F123" s="1">
        <v>3432</v>
      </c>
      <c r="G123" s="1">
        <v>869</v>
      </c>
      <c r="H123" s="1">
        <v>123</v>
      </c>
      <c r="I123" s="1">
        <v>54912</v>
      </c>
      <c r="J123" s="1">
        <v>53916</v>
      </c>
      <c r="K123" s="1">
        <v>264</v>
      </c>
      <c r="L123" s="1" t="s">
        <v>31</v>
      </c>
      <c r="M123" s="1" t="s">
        <v>359</v>
      </c>
      <c r="N123" s="1" t="s">
        <v>359</v>
      </c>
      <c r="O123" s="8" t="s">
        <v>21</v>
      </c>
      <c r="P123" s="15">
        <f>(Table1_149[[#This Row],[Likes]]+Table1_149[[#This Row],[Shares]]+Table1_149[[#This Row],[Comments]])/Table1_149[[#This Row],[Impressions]]</f>
        <v>8.0565268065268064E-2</v>
      </c>
      <c r="Q123" s="81" t="str">
        <f t="shared" si="1"/>
        <v>Before</v>
      </c>
    </row>
    <row r="124" spans="1:17" x14ac:dyDescent="0.3">
      <c r="A124" s="6" t="s">
        <v>176</v>
      </c>
      <c r="B124" s="1" t="s">
        <v>28</v>
      </c>
      <c r="C124" s="7">
        <v>45457</v>
      </c>
      <c r="D124" s="1" t="s">
        <v>29</v>
      </c>
      <c r="E124" s="1" t="s">
        <v>30</v>
      </c>
      <c r="F124" s="1">
        <v>4363</v>
      </c>
      <c r="G124" s="1">
        <v>649</v>
      </c>
      <c r="H124" s="1">
        <v>140</v>
      </c>
      <c r="I124" s="1">
        <v>21815</v>
      </c>
      <c r="J124" s="1">
        <v>21481</v>
      </c>
      <c r="K124" s="1">
        <v>157</v>
      </c>
      <c r="L124" s="1" t="s">
        <v>31</v>
      </c>
      <c r="M124" s="1" t="s">
        <v>359</v>
      </c>
      <c r="N124" s="1" t="s">
        <v>359</v>
      </c>
      <c r="O124" s="8" t="s">
        <v>17</v>
      </c>
      <c r="P124" s="15">
        <f>(Table1_149[[#This Row],[Likes]]+Table1_149[[#This Row],[Shares]]+Table1_149[[#This Row],[Comments]])/Table1_149[[#This Row],[Impressions]]</f>
        <v>0.23616777446710979</v>
      </c>
      <c r="Q124" s="81" t="str">
        <f t="shared" si="1"/>
        <v>Before</v>
      </c>
    </row>
    <row r="125" spans="1:17" x14ac:dyDescent="0.3">
      <c r="A125" s="6" t="s">
        <v>177</v>
      </c>
      <c r="B125" s="1" t="s">
        <v>23</v>
      </c>
      <c r="C125" s="7">
        <v>45753</v>
      </c>
      <c r="D125" s="1" t="s">
        <v>36</v>
      </c>
      <c r="E125" s="1" t="s">
        <v>52</v>
      </c>
      <c r="F125" s="1">
        <v>736</v>
      </c>
      <c r="G125" s="1">
        <v>771</v>
      </c>
      <c r="H125" s="1">
        <v>225</v>
      </c>
      <c r="I125" s="1">
        <v>5152</v>
      </c>
      <c r="J125" s="1">
        <v>4706</v>
      </c>
      <c r="K125" s="1">
        <v>19</v>
      </c>
      <c r="L125" s="1" t="s">
        <v>31</v>
      </c>
      <c r="M125" s="1" t="s">
        <v>359</v>
      </c>
      <c r="N125" s="1" t="s">
        <v>359</v>
      </c>
      <c r="O125" s="8" t="s">
        <v>17</v>
      </c>
      <c r="P125" s="15">
        <f>(Table1_149[[#This Row],[Likes]]+Table1_149[[#This Row],[Shares]]+Table1_149[[#This Row],[Comments]])/Table1_149[[#This Row],[Impressions]]</f>
        <v>0.33618012422360249</v>
      </c>
      <c r="Q125" s="81" t="str">
        <f t="shared" si="1"/>
        <v>After</v>
      </c>
    </row>
    <row r="126" spans="1:17" x14ac:dyDescent="0.3">
      <c r="A126" s="6" t="s">
        <v>178</v>
      </c>
      <c r="B126" s="1" t="s">
        <v>14</v>
      </c>
      <c r="C126" s="7">
        <v>45543</v>
      </c>
      <c r="D126" s="1" t="s">
        <v>36</v>
      </c>
      <c r="E126" s="1" t="s">
        <v>39</v>
      </c>
      <c r="F126" s="1">
        <v>3811</v>
      </c>
      <c r="G126" s="1">
        <v>866</v>
      </c>
      <c r="H126" s="1">
        <v>216</v>
      </c>
      <c r="I126" s="1">
        <v>34299</v>
      </c>
      <c r="J126" s="1">
        <v>34088</v>
      </c>
      <c r="K126" s="1">
        <v>233</v>
      </c>
      <c r="L126" s="1" t="s">
        <v>25</v>
      </c>
      <c r="M126" s="1" t="s">
        <v>359</v>
      </c>
      <c r="N126" s="1" t="s">
        <v>359</v>
      </c>
      <c r="O126" s="8" t="s">
        <v>32</v>
      </c>
      <c r="P126" s="15">
        <f>(Table1_149[[#This Row],[Likes]]+Table1_149[[#This Row],[Shares]]+Table1_149[[#This Row],[Comments]])/Table1_149[[#This Row],[Impressions]]</f>
        <v>0.14265722032712325</v>
      </c>
      <c r="Q126" s="81" t="str">
        <f t="shared" si="1"/>
        <v>After</v>
      </c>
    </row>
    <row r="127" spans="1:17" x14ac:dyDescent="0.3">
      <c r="A127" s="6" t="s">
        <v>179</v>
      </c>
      <c r="B127" s="1" t="s">
        <v>28</v>
      </c>
      <c r="C127" s="7">
        <v>45744</v>
      </c>
      <c r="D127" s="1" t="s">
        <v>36</v>
      </c>
      <c r="E127" s="1" t="s">
        <v>65</v>
      </c>
      <c r="F127" s="1">
        <v>4158</v>
      </c>
      <c r="G127" s="1">
        <v>167</v>
      </c>
      <c r="H127" s="1">
        <v>241</v>
      </c>
      <c r="I127" s="1">
        <v>45738</v>
      </c>
      <c r="J127" s="1">
        <v>45183</v>
      </c>
      <c r="K127" s="1">
        <v>142</v>
      </c>
      <c r="L127" s="1" t="s">
        <v>48</v>
      </c>
      <c r="M127" s="1" t="s">
        <v>359</v>
      </c>
      <c r="N127" s="1" t="s">
        <v>359</v>
      </c>
      <c r="O127" s="8" t="s">
        <v>360</v>
      </c>
      <c r="P127" s="15">
        <f>(Table1_149[[#This Row],[Likes]]+Table1_149[[#This Row],[Shares]]+Table1_149[[#This Row],[Comments]])/Table1_149[[#This Row],[Impressions]]</f>
        <v>9.9829463465827106E-2</v>
      </c>
      <c r="Q127" s="81" t="b">
        <f t="shared" si="1"/>
        <v>0</v>
      </c>
    </row>
    <row r="128" spans="1:17" x14ac:dyDescent="0.3">
      <c r="A128" s="6" t="s">
        <v>180</v>
      </c>
      <c r="B128" s="1" t="s">
        <v>35</v>
      </c>
      <c r="C128" s="7">
        <v>45684</v>
      </c>
      <c r="D128" s="1" t="s">
        <v>15</v>
      </c>
      <c r="E128" s="1" t="s">
        <v>50</v>
      </c>
      <c r="F128" s="1">
        <v>3452</v>
      </c>
      <c r="G128" s="1">
        <v>652</v>
      </c>
      <c r="H128" s="1">
        <v>442</v>
      </c>
      <c r="I128" s="1">
        <v>65588</v>
      </c>
      <c r="J128" s="1">
        <v>65049</v>
      </c>
      <c r="K128" s="1">
        <v>158</v>
      </c>
      <c r="L128" s="1" t="s">
        <v>48</v>
      </c>
      <c r="M128" s="1" t="s">
        <v>359</v>
      </c>
      <c r="N128" s="1" t="s">
        <v>359</v>
      </c>
      <c r="O128" s="8" t="s">
        <v>26</v>
      </c>
      <c r="P128" s="15">
        <f>(Table1_149[[#This Row],[Likes]]+Table1_149[[#This Row],[Shares]]+Table1_149[[#This Row],[Comments]])/Table1_149[[#This Row],[Impressions]]</f>
        <v>6.9311459413307311E-2</v>
      </c>
      <c r="Q128" s="81" t="str">
        <f t="shared" si="1"/>
        <v>Before</v>
      </c>
    </row>
    <row r="129" spans="1:17" x14ac:dyDescent="0.3">
      <c r="A129" s="6" t="s">
        <v>181</v>
      </c>
      <c r="B129" s="1" t="s">
        <v>14</v>
      </c>
      <c r="C129" s="7">
        <v>45667</v>
      </c>
      <c r="D129" s="1" t="s">
        <v>41</v>
      </c>
      <c r="E129" s="1" t="s">
        <v>88</v>
      </c>
      <c r="F129" s="1">
        <v>3092</v>
      </c>
      <c r="G129" s="1">
        <v>106</v>
      </c>
      <c r="H129" s="1">
        <v>291</v>
      </c>
      <c r="I129" s="1">
        <v>27828</v>
      </c>
      <c r="J129" s="1">
        <v>27217</v>
      </c>
      <c r="K129" s="1">
        <v>102</v>
      </c>
      <c r="L129" s="1" t="s">
        <v>48</v>
      </c>
      <c r="M129" s="1" t="s">
        <v>359</v>
      </c>
      <c r="N129" s="1" t="s">
        <v>359</v>
      </c>
      <c r="O129" s="8" t="s">
        <v>360</v>
      </c>
      <c r="P129" s="15">
        <f>(Table1_149[[#This Row],[Likes]]+Table1_149[[#This Row],[Shares]]+Table1_149[[#This Row],[Comments]])/Table1_149[[#This Row],[Impressions]]</f>
        <v>0.12537731780940059</v>
      </c>
      <c r="Q129" s="81" t="b">
        <f t="shared" si="1"/>
        <v>0</v>
      </c>
    </row>
    <row r="130" spans="1:17" x14ac:dyDescent="0.3">
      <c r="A130" s="6" t="s">
        <v>182</v>
      </c>
      <c r="B130" s="1" t="s">
        <v>14</v>
      </c>
      <c r="C130" s="7">
        <v>45494</v>
      </c>
      <c r="D130" s="1" t="s">
        <v>19</v>
      </c>
      <c r="E130" s="1" t="s">
        <v>20</v>
      </c>
      <c r="F130" s="1">
        <v>2147</v>
      </c>
      <c r="G130" s="1">
        <v>430</v>
      </c>
      <c r="H130" s="1">
        <v>393</v>
      </c>
      <c r="I130" s="1">
        <v>17176</v>
      </c>
      <c r="J130" s="1">
        <v>16483</v>
      </c>
      <c r="K130" s="1">
        <v>170</v>
      </c>
      <c r="L130" s="1" t="s">
        <v>25</v>
      </c>
      <c r="M130" s="1" t="s">
        <v>359</v>
      </c>
      <c r="N130" s="1" t="s">
        <v>359</v>
      </c>
      <c r="O130" s="8" t="s">
        <v>360</v>
      </c>
      <c r="P130" s="15">
        <f>(Table1_149[[#This Row],[Likes]]+Table1_149[[#This Row],[Shares]]+Table1_149[[#This Row],[Comments]])/Table1_149[[#This Row],[Impressions]]</f>
        <v>0.17291569632044715</v>
      </c>
      <c r="Q130" s="81" t="b">
        <f t="shared" ref="Q130:Q193" si="2">IF(O:O="CybertruckLaunch",
     IF(AND(C:C&gt;=DATE(2024,10,15),C:C&lt;=DATE(2024,11,10)),"During",
        IF(C:C&lt;DATE(2024,10,15),"Before","After")),
 IF(O:O="ModelYCampaign",
     IF(AND(C:C&gt;=DATE(2025,3,1),C:C&lt;=DATE(2025,3,20)),"During",
        IF(C:C&lt;DATE(2025,3,1),"Before","After")),
 IF(O:O="SustainabilityDrive",
     IF(AND(C:C&gt;=DATE(2024,6,10),C:C&lt;=DATE(2024,6,25)),"During",
        IF(C:C&lt;DATE(2024,6,10),"Before","After")),
 IF(O:O="FSDUpdate",
     IF(AND(C:C&gt;=DATE(2025,5,1),C:C&lt;=DATE(2025,5,15)),"During",
        IF(C:C&lt;DATE(2025,5,1),"Before","After"))))))</f>
        <v>0</v>
      </c>
    </row>
    <row r="131" spans="1:17" x14ac:dyDescent="0.3">
      <c r="A131" s="6" t="s">
        <v>183</v>
      </c>
      <c r="B131" s="1" t="s">
        <v>23</v>
      </c>
      <c r="C131" s="7">
        <v>45564</v>
      </c>
      <c r="D131" s="1" t="s">
        <v>15</v>
      </c>
      <c r="E131" s="1" t="s">
        <v>24</v>
      </c>
      <c r="F131" s="1">
        <v>2936</v>
      </c>
      <c r="G131" s="1">
        <v>439</v>
      </c>
      <c r="H131" s="1">
        <v>44</v>
      </c>
      <c r="I131" s="1">
        <v>38168</v>
      </c>
      <c r="J131" s="1">
        <v>37571</v>
      </c>
      <c r="K131" s="1">
        <v>22</v>
      </c>
      <c r="L131" s="1" t="s">
        <v>31</v>
      </c>
      <c r="M131" s="1" t="s">
        <v>359</v>
      </c>
      <c r="N131" s="1" t="s">
        <v>359</v>
      </c>
      <c r="O131" s="8" t="s">
        <v>32</v>
      </c>
      <c r="P131" s="15">
        <f>(Table1_149[[#This Row],[Likes]]+Table1_149[[#This Row],[Shares]]+Table1_149[[#This Row],[Comments]])/Table1_149[[#This Row],[Impressions]]</f>
        <v>8.9577656675749323E-2</v>
      </c>
      <c r="Q131" s="81" t="str">
        <f t="shared" si="2"/>
        <v>After</v>
      </c>
    </row>
    <row r="132" spans="1:17" x14ac:dyDescent="0.3">
      <c r="A132" s="6" t="s">
        <v>184</v>
      </c>
      <c r="B132" s="1" t="s">
        <v>28</v>
      </c>
      <c r="C132" s="7">
        <v>45586</v>
      </c>
      <c r="D132" s="1" t="s">
        <v>15</v>
      </c>
      <c r="E132" s="1" t="s">
        <v>61</v>
      </c>
      <c r="F132" s="1">
        <v>4840</v>
      </c>
      <c r="G132" s="1">
        <v>658</v>
      </c>
      <c r="H132" s="1">
        <v>211</v>
      </c>
      <c r="I132" s="1">
        <v>43560</v>
      </c>
      <c r="J132" s="1">
        <v>43225</v>
      </c>
      <c r="K132" s="1">
        <v>57</v>
      </c>
      <c r="L132" s="1" t="s">
        <v>48</v>
      </c>
      <c r="M132" s="1" t="s">
        <v>359</v>
      </c>
      <c r="N132" s="1" t="s">
        <v>359</v>
      </c>
      <c r="O132" s="8" t="s">
        <v>26</v>
      </c>
      <c r="P132" s="15">
        <f>(Table1_149[[#This Row],[Likes]]+Table1_149[[#This Row],[Shares]]+Table1_149[[#This Row],[Comments]])/Table1_149[[#This Row],[Impressions]]</f>
        <v>0.13106060606060607</v>
      </c>
      <c r="Q132" s="81" t="str">
        <f t="shared" si="2"/>
        <v>Before</v>
      </c>
    </row>
    <row r="133" spans="1:17" x14ac:dyDescent="0.3">
      <c r="A133" s="6" t="s">
        <v>185</v>
      </c>
      <c r="B133" s="1" t="s">
        <v>28</v>
      </c>
      <c r="C133" s="7">
        <v>45720</v>
      </c>
      <c r="D133" s="1" t="s">
        <v>29</v>
      </c>
      <c r="E133" s="1" t="s">
        <v>30</v>
      </c>
      <c r="F133" s="1">
        <v>1947</v>
      </c>
      <c r="G133" s="1">
        <v>842</v>
      </c>
      <c r="H133" s="1">
        <v>101</v>
      </c>
      <c r="I133" s="1">
        <v>21417</v>
      </c>
      <c r="J133" s="1">
        <v>20967</v>
      </c>
      <c r="K133" s="1">
        <v>186</v>
      </c>
      <c r="L133" s="1" t="s">
        <v>48</v>
      </c>
      <c r="M133" s="1" t="s">
        <v>359</v>
      </c>
      <c r="N133" s="1" t="s">
        <v>359</v>
      </c>
      <c r="O133" s="8" t="s">
        <v>21</v>
      </c>
      <c r="P133" s="15">
        <f>(Table1_149[[#This Row],[Likes]]+Table1_149[[#This Row],[Shares]]+Table1_149[[#This Row],[Comments]])/Table1_149[[#This Row],[Impressions]]</f>
        <v>0.13493953401503478</v>
      </c>
      <c r="Q133" s="81" t="str">
        <f t="shared" si="2"/>
        <v>During</v>
      </c>
    </row>
    <row r="134" spans="1:17" x14ac:dyDescent="0.3">
      <c r="A134" s="6" t="s">
        <v>186</v>
      </c>
      <c r="B134" s="1" t="s">
        <v>35</v>
      </c>
      <c r="C134" s="7">
        <v>45694</v>
      </c>
      <c r="D134" s="1" t="s">
        <v>41</v>
      </c>
      <c r="E134" s="1" t="s">
        <v>46</v>
      </c>
      <c r="F134" s="1">
        <v>2072</v>
      </c>
      <c r="G134" s="1">
        <v>532</v>
      </c>
      <c r="H134" s="1">
        <v>71</v>
      </c>
      <c r="I134" s="1">
        <v>37296</v>
      </c>
      <c r="J134" s="1">
        <v>36467</v>
      </c>
      <c r="K134" s="1">
        <v>25</v>
      </c>
      <c r="L134" s="1" t="s">
        <v>25</v>
      </c>
      <c r="M134" s="1" t="s">
        <v>359</v>
      </c>
      <c r="N134" s="1" t="s">
        <v>359</v>
      </c>
      <c r="O134" s="8" t="s">
        <v>32</v>
      </c>
      <c r="P134" s="15">
        <f>(Table1_149[[#This Row],[Likes]]+Table1_149[[#This Row],[Shares]]+Table1_149[[#This Row],[Comments]])/Table1_149[[#This Row],[Impressions]]</f>
        <v>7.172350922350923E-2</v>
      </c>
      <c r="Q134" s="81" t="str">
        <f t="shared" si="2"/>
        <v>After</v>
      </c>
    </row>
    <row r="135" spans="1:17" x14ac:dyDescent="0.3">
      <c r="A135" s="6" t="s">
        <v>187</v>
      </c>
      <c r="B135" s="1" t="s">
        <v>14</v>
      </c>
      <c r="C135" s="7">
        <v>45771</v>
      </c>
      <c r="D135" s="1" t="s">
        <v>15</v>
      </c>
      <c r="E135" s="1" t="s">
        <v>16</v>
      </c>
      <c r="F135" s="1">
        <v>3731</v>
      </c>
      <c r="G135" s="1">
        <v>115</v>
      </c>
      <c r="H135" s="1">
        <v>135</v>
      </c>
      <c r="I135" s="1">
        <v>55965</v>
      </c>
      <c r="J135" s="1">
        <v>55436</v>
      </c>
      <c r="K135" s="1">
        <v>103</v>
      </c>
      <c r="L135" s="1" t="s">
        <v>25</v>
      </c>
      <c r="M135" s="1" t="s">
        <v>359</v>
      </c>
      <c r="N135" s="1" t="s">
        <v>359</v>
      </c>
      <c r="O135" s="8" t="s">
        <v>17</v>
      </c>
      <c r="P135" s="15">
        <f>(Table1_149[[#This Row],[Likes]]+Table1_149[[#This Row],[Shares]]+Table1_149[[#This Row],[Comments]])/Table1_149[[#This Row],[Impressions]]</f>
        <v>7.1133744304476013E-2</v>
      </c>
      <c r="Q135" s="81" t="str">
        <f t="shared" si="2"/>
        <v>After</v>
      </c>
    </row>
    <row r="136" spans="1:17" x14ac:dyDescent="0.3">
      <c r="A136" s="6" t="s">
        <v>188</v>
      </c>
      <c r="B136" s="1" t="s">
        <v>35</v>
      </c>
      <c r="C136" s="7">
        <v>45624</v>
      </c>
      <c r="D136" s="1" t="s">
        <v>19</v>
      </c>
      <c r="E136" s="1" t="s">
        <v>44</v>
      </c>
      <c r="F136" s="1">
        <v>4213</v>
      </c>
      <c r="G136" s="1">
        <v>253</v>
      </c>
      <c r="H136" s="1">
        <v>434</v>
      </c>
      <c r="I136" s="1">
        <v>75834</v>
      </c>
      <c r="J136" s="1">
        <v>75437</v>
      </c>
      <c r="K136" s="1">
        <v>272</v>
      </c>
      <c r="L136" s="1" t="s">
        <v>48</v>
      </c>
      <c r="M136" s="1" t="s">
        <v>359</v>
      </c>
      <c r="N136" s="1" t="s">
        <v>359</v>
      </c>
      <c r="O136" s="8" t="s">
        <v>32</v>
      </c>
      <c r="P136" s="15">
        <f>(Table1_149[[#This Row],[Likes]]+Table1_149[[#This Row],[Shares]]+Table1_149[[#This Row],[Comments]])/Table1_149[[#This Row],[Impressions]]</f>
        <v>6.461481657304112E-2</v>
      </c>
      <c r="Q136" s="81" t="str">
        <f t="shared" si="2"/>
        <v>After</v>
      </c>
    </row>
    <row r="137" spans="1:17" x14ac:dyDescent="0.3">
      <c r="A137" s="6" t="s">
        <v>189</v>
      </c>
      <c r="B137" s="1" t="s">
        <v>28</v>
      </c>
      <c r="C137" s="7">
        <v>45484</v>
      </c>
      <c r="D137" s="1" t="s">
        <v>19</v>
      </c>
      <c r="E137" s="1" t="s">
        <v>78</v>
      </c>
      <c r="F137" s="1">
        <v>3134</v>
      </c>
      <c r="G137" s="1">
        <v>888</v>
      </c>
      <c r="H137" s="1">
        <v>444</v>
      </c>
      <c r="I137" s="1">
        <v>21938</v>
      </c>
      <c r="J137" s="1">
        <v>21337</v>
      </c>
      <c r="K137" s="1">
        <v>130</v>
      </c>
      <c r="L137" s="1" t="s">
        <v>31</v>
      </c>
      <c r="M137" s="1" t="s">
        <v>359</v>
      </c>
      <c r="N137" s="1" t="s">
        <v>359</v>
      </c>
      <c r="O137" s="8" t="s">
        <v>32</v>
      </c>
      <c r="P137" s="15">
        <f>(Table1_149[[#This Row],[Likes]]+Table1_149[[#This Row],[Shares]]+Table1_149[[#This Row],[Comments]])/Table1_149[[#This Row],[Impressions]]</f>
        <v>0.20357370772176134</v>
      </c>
      <c r="Q137" s="81" t="str">
        <f t="shared" si="2"/>
        <v>After</v>
      </c>
    </row>
    <row r="138" spans="1:17" x14ac:dyDescent="0.3">
      <c r="A138" s="6" t="s">
        <v>190</v>
      </c>
      <c r="B138" s="1" t="s">
        <v>35</v>
      </c>
      <c r="C138" s="7">
        <v>45504</v>
      </c>
      <c r="D138" s="1" t="s">
        <v>56</v>
      </c>
      <c r="E138" s="1" t="s">
        <v>57</v>
      </c>
      <c r="F138" s="1">
        <v>3008</v>
      </c>
      <c r="G138" s="1">
        <v>94</v>
      </c>
      <c r="H138" s="1">
        <v>37</v>
      </c>
      <c r="I138" s="1">
        <v>15040</v>
      </c>
      <c r="J138" s="1">
        <v>14639</v>
      </c>
      <c r="K138" s="1">
        <v>277</v>
      </c>
      <c r="L138" s="1" t="s">
        <v>48</v>
      </c>
      <c r="M138" s="1" t="s">
        <v>359</v>
      </c>
      <c r="N138" s="1" t="s">
        <v>359</v>
      </c>
      <c r="O138" s="8" t="s">
        <v>360</v>
      </c>
      <c r="P138" s="15">
        <f>(Table1_149[[#This Row],[Likes]]+Table1_149[[#This Row],[Shares]]+Table1_149[[#This Row],[Comments]])/Table1_149[[#This Row],[Impressions]]</f>
        <v>0.20871010638297871</v>
      </c>
      <c r="Q138" s="81" t="b">
        <f t="shared" si="2"/>
        <v>0</v>
      </c>
    </row>
    <row r="139" spans="1:17" x14ac:dyDescent="0.3">
      <c r="A139" s="6" t="s">
        <v>191</v>
      </c>
      <c r="B139" s="1" t="s">
        <v>14</v>
      </c>
      <c r="C139" s="7">
        <v>45745</v>
      </c>
      <c r="D139" s="1" t="s">
        <v>41</v>
      </c>
      <c r="E139" s="1" t="s">
        <v>88</v>
      </c>
      <c r="F139" s="1">
        <v>305</v>
      </c>
      <c r="G139" s="1">
        <v>187</v>
      </c>
      <c r="H139" s="1">
        <v>243</v>
      </c>
      <c r="I139" s="1">
        <v>4575</v>
      </c>
      <c r="J139" s="1">
        <v>3704</v>
      </c>
      <c r="K139" s="1">
        <v>234</v>
      </c>
      <c r="L139" s="1" t="s">
        <v>48</v>
      </c>
      <c r="M139" s="1" t="s">
        <v>359</v>
      </c>
      <c r="N139" s="1" t="s">
        <v>359</v>
      </c>
      <c r="O139" s="8" t="s">
        <v>26</v>
      </c>
      <c r="P139" s="15">
        <f>(Table1_149[[#This Row],[Likes]]+Table1_149[[#This Row],[Shares]]+Table1_149[[#This Row],[Comments]])/Table1_149[[#This Row],[Impressions]]</f>
        <v>0.16065573770491803</v>
      </c>
      <c r="Q139" s="81" t="str">
        <f t="shared" si="2"/>
        <v>Before</v>
      </c>
    </row>
    <row r="140" spans="1:17" x14ac:dyDescent="0.3">
      <c r="A140" s="6" t="s">
        <v>192</v>
      </c>
      <c r="B140" s="1" t="s">
        <v>23</v>
      </c>
      <c r="C140" s="7">
        <v>45594</v>
      </c>
      <c r="D140" s="1" t="s">
        <v>19</v>
      </c>
      <c r="E140" s="1" t="s">
        <v>73</v>
      </c>
      <c r="F140" s="1">
        <v>2746</v>
      </c>
      <c r="G140" s="1">
        <v>156</v>
      </c>
      <c r="H140" s="1">
        <v>203</v>
      </c>
      <c r="I140" s="1">
        <v>32952</v>
      </c>
      <c r="J140" s="1">
        <v>32147</v>
      </c>
      <c r="K140" s="1">
        <v>147</v>
      </c>
      <c r="L140" s="1" t="s">
        <v>31</v>
      </c>
      <c r="M140" s="1" t="s">
        <v>359</v>
      </c>
      <c r="N140" s="1" t="s">
        <v>359</v>
      </c>
      <c r="O140" s="8" t="s">
        <v>17</v>
      </c>
      <c r="P140" s="15">
        <f>(Table1_149[[#This Row],[Likes]]+Table1_149[[#This Row],[Shares]]+Table1_149[[#This Row],[Comments]])/Table1_149[[#This Row],[Impressions]]</f>
        <v>9.422796795338674E-2</v>
      </c>
      <c r="Q140" s="81" t="str">
        <f t="shared" si="2"/>
        <v>During</v>
      </c>
    </row>
    <row r="141" spans="1:17" x14ac:dyDescent="0.3">
      <c r="A141" s="6" t="s">
        <v>193</v>
      </c>
      <c r="B141" s="1" t="s">
        <v>35</v>
      </c>
      <c r="C141" s="7">
        <v>45488</v>
      </c>
      <c r="D141" s="1" t="s">
        <v>41</v>
      </c>
      <c r="E141" s="1" t="s">
        <v>46</v>
      </c>
      <c r="F141" s="1">
        <v>2291</v>
      </c>
      <c r="G141" s="1">
        <v>78</v>
      </c>
      <c r="H141" s="1">
        <v>485</v>
      </c>
      <c r="I141" s="1">
        <v>18328</v>
      </c>
      <c r="J141" s="1">
        <v>18101</v>
      </c>
      <c r="K141" s="1">
        <v>10</v>
      </c>
      <c r="L141" s="1" t="s">
        <v>31</v>
      </c>
      <c r="M141" s="1" t="s">
        <v>356</v>
      </c>
      <c r="N141" s="1" t="s">
        <v>359</v>
      </c>
      <c r="O141" s="8" t="s">
        <v>21</v>
      </c>
      <c r="P141" s="15">
        <f>(Table1_149[[#This Row],[Likes]]+Table1_149[[#This Row],[Shares]]+Table1_149[[#This Row],[Comments]])/Table1_149[[#This Row],[Impressions]]</f>
        <v>0.15571802706241816</v>
      </c>
      <c r="Q141" s="81" t="str">
        <f t="shared" si="2"/>
        <v>Before</v>
      </c>
    </row>
    <row r="142" spans="1:17" x14ac:dyDescent="0.3">
      <c r="A142" s="6" t="s">
        <v>194</v>
      </c>
      <c r="B142" s="1" t="s">
        <v>14</v>
      </c>
      <c r="C142" s="7">
        <v>45535</v>
      </c>
      <c r="D142" s="1" t="s">
        <v>41</v>
      </c>
      <c r="E142" s="1" t="s">
        <v>88</v>
      </c>
      <c r="F142" s="1">
        <v>3170</v>
      </c>
      <c r="G142" s="1">
        <v>857</v>
      </c>
      <c r="H142" s="1">
        <v>379</v>
      </c>
      <c r="I142" s="1">
        <v>19020</v>
      </c>
      <c r="J142" s="1">
        <v>18559</v>
      </c>
      <c r="K142" s="1">
        <v>240</v>
      </c>
      <c r="L142" s="1" t="s">
        <v>48</v>
      </c>
      <c r="M142" s="1" t="s">
        <v>359</v>
      </c>
      <c r="N142" s="1" t="s">
        <v>359</v>
      </c>
      <c r="O142" s="8" t="s">
        <v>360</v>
      </c>
      <c r="P142" s="15">
        <f>(Table1_149[[#This Row],[Likes]]+Table1_149[[#This Row],[Shares]]+Table1_149[[#This Row],[Comments]])/Table1_149[[#This Row],[Impressions]]</f>
        <v>0.2316508937960042</v>
      </c>
      <c r="Q142" s="81" t="b">
        <f t="shared" si="2"/>
        <v>0</v>
      </c>
    </row>
    <row r="143" spans="1:17" x14ac:dyDescent="0.3">
      <c r="A143" s="6" t="s">
        <v>195</v>
      </c>
      <c r="B143" s="1" t="s">
        <v>23</v>
      </c>
      <c r="C143" s="7">
        <v>45741</v>
      </c>
      <c r="D143" s="1" t="s">
        <v>29</v>
      </c>
      <c r="E143" s="1" t="s">
        <v>101</v>
      </c>
      <c r="F143" s="1">
        <v>2070</v>
      </c>
      <c r="G143" s="1">
        <v>275</v>
      </c>
      <c r="H143" s="1">
        <v>386</v>
      </c>
      <c r="I143" s="1">
        <v>39330</v>
      </c>
      <c r="J143" s="1">
        <v>38627</v>
      </c>
      <c r="K143" s="1">
        <v>114</v>
      </c>
      <c r="L143" s="1" t="s">
        <v>48</v>
      </c>
      <c r="M143" s="1" t="s">
        <v>359</v>
      </c>
      <c r="N143" s="1" t="s">
        <v>359</v>
      </c>
      <c r="O143" s="8" t="s">
        <v>32</v>
      </c>
      <c r="P143" s="15">
        <f>(Table1_149[[#This Row],[Likes]]+Table1_149[[#This Row],[Shares]]+Table1_149[[#This Row],[Comments]])/Table1_149[[#This Row],[Impressions]]</f>
        <v>6.9438087973557078E-2</v>
      </c>
      <c r="Q143" s="81" t="str">
        <f t="shared" si="2"/>
        <v>After</v>
      </c>
    </row>
    <row r="144" spans="1:17" x14ac:dyDescent="0.3">
      <c r="A144" s="6" t="s">
        <v>196</v>
      </c>
      <c r="B144" s="1" t="s">
        <v>23</v>
      </c>
      <c r="C144" s="7">
        <v>45567</v>
      </c>
      <c r="D144" s="1" t="s">
        <v>36</v>
      </c>
      <c r="E144" s="1" t="s">
        <v>52</v>
      </c>
      <c r="F144" s="1">
        <v>80</v>
      </c>
      <c r="G144" s="1">
        <v>362</v>
      </c>
      <c r="H144" s="1">
        <v>80</v>
      </c>
      <c r="I144" s="1">
        <v>1040</v>
      </c>
      <c r="J144" s="1">
        <v>349</v>
      </c>
      <c r="K144" s="1">
        <v>117</v>
      </c>
      <c r="L144" s="1" t="s">
        <v>25</v>
      </c>
      <c r="M144" s="1" t="s">
        <v>359</v>
      </c>
      <c r="N144" s="1" t="s">
        <v>359</v>
      </c>
      <c r="O144" s="8" t="s">
        <v>26</v>
      </c>
      <c r="P144" s="15">
        <f>(Table1_149[[#This Row],[Likes]]+Table1_149[[#This Row],[Shares]]+Table1_149[[#This Row],[Comments]])/Table1_149[[#This Row],[Impressions]]</f>
        <v>0.50192307692307692</v>
      </c>
      <c r="Q144" s="81" t="str">
        <f t="shared" si="2"/>
        <v>Before</v>
      </c>
    </row>
    <row r="145" spans="1:17" x14ac:dyDescent="0.3">
      <c r="A145" s="6" t="s">
        <v>197</v>
      </c>
      <c r="B145" s="1" t="s">
        <v>23</v>
      </c>
      <c r="C145" s="7">
        <v>45593</v>
      </c>
      <c r="D145" s="1" t="s">
        <v>29</v>
      </c>
      <c r="E145" s="1" t="s">
        <v>101</v>
      </c>
      <c r="F145" s="1">
        <v>4929</v>
      </c>
      <c r="G145" s="1">
        <v>749</v>
      </c>
      <c r="H145" s="1">
        <v>452</v>
      </c>
      <c r="I145" s="1">
        <v>93651</v>
      </c>
      <c r="J145" s="1">
        <v>92810</v>
      </c>
      <c r="K145" s="1">
        <v>66</v>
      </c>
      <c r="L145" s="1" t="s">
        <v>31</v>
      </c>
      <c r="M145" s="1" t="s">
        <v>359</v>
      </c>
      <c r="N145" s="1" t="s">
        <v>359</v>
      </c>
      <c r="O145" s="8" t="s">
        <v>32</v>
      </c>
      <c r="P145" s="15">
        <f>(Table1_149[[#This Row],[Likes]]+Table1_149[[#This Row],[Shares]]+Table1_149[[#This Row],[Comments]])/Table1_149[[#This Row],[Impressions]]</f>
        <v>6.5455787978772245E-2</v>
      </c>
      <c r="Q145" s="81" t="str">
        <f t="shared" si="2"/>
        <v>After</v>
      </c>
    </row>
    <row r="146" spans="1:17" x14ac:dyDescent="0.3">
      <c r="A146" s="6" t="s">
        <v>198</v>
      </c>
      <c r="B146" s="1" t="s">
        <v>28</v>
      </c>
      <c r="C146" s="7">
        <v>45516</v>
      </c>
      <c r="D146" s="1" t="s">
        <v>36</v>
      </c>
      <c r="E146" s="1" t="s">
        <v>65</v>
      </c>
      <c r="F146" s="1">
        <v>1878</v>
      </c>
      <c r="G146" s="1">
        <v>62</v>
      </c>
      <c r="H146" s="1">
        <v>179</v>
      </c>
      <c r="I146" s="1">
        <v>37560</v>
      </c>
      <c r="J146" s="1">
        <v>36874</v>
      </c>
      <c r="K146" s="1">
        <v>142</v>
      </c>
      <c r="L146" s="1" t="s">
        <v>25</v>
      </c>
      <c r="M146" s="1" t="s">
        <v>359</v>
      </c>
      <c r="N146" s="1" t="s">
        <v>359</v>
      </c>
      <c r="O146" s="8" t="s">
        <v>32</v>
      </c>
      <c r="P146" s="15">
        <f>(Table1_149[[#This Row],[Likes]]+Table1_149[[#This Row],[Shares]]+Table1_149[[#This Row],[Comments]])/Table1_149[[#This Row],[Impressions]]</f>
        <v>5.6416400425985093E-2</v>
      </c>
      <c r="Q146" s="81" t="str">
        <f t="shared" si="2"/>
        <v>After</v>
      </c>
    </row>
    <row r="147" spans="1:17" x14ac:dyDescent="0.3">
      <c r="A147" s="6" t="s">
        <v>199</v>
      </c>
      <c r="B147" s="1" t="s">
        <v>23</v>
      </c>
      <c r="C147" s="7">
        <v>45448</v>
      </c>
      <c r="D147" s="1" t="s">
        <v>15</v>
      </c>
      <c r="E147" s="1" t="s">
        <v>24</v>
      </c>
      <c r="F147" s="1">
        <v>3065</v>
      </c>
      <c r="G147" s="1">
        <v>772</v>
      </c>
      <c r="H147" s="1">
        <v>142</v>
      </c>
      <c r="I147" s="1">
        <v>18390</v>
      </c>
      <c r="J147" s="1">
        <v>17875</v>
      </c>
      <c r="K147" s="1">
        <v>200</v>
      </c>
      <c r="L147" s="1" t="s">
        <v>31</v>
      </c>
      <c r="M147" s="1" t="s">
        <v>354</v>
      </c>
      <c r="N147" s="1" t="s">
        <v>359</v>
      </c>
      <c r="O147" s="8" t="s">
        <v>360</v>
      </c>
      <c r="P147" s="15">
        <f>(Table1_149[[#This Row],[Likes]]+Table1_149[[#This Row],[Shares]]+Table1_149[[#This Row],[Comments]])/Table1_149[[#This Row],[Impressions]]</f>
        <v>0.21636759108210984</v>
      </c>
      <c r="Q147" s="81" t="b">
        <f t="shared" si="2"/>
        <v>0</v>
      </c>
    </row>
    <row r="148" spans="1:17" x14ac:dyDescent="0.3">
      <c r="A148" s="6" t="s">
        <v>200</v>
      </c>
      <c r="B148" s="1" t="s">
        <v>28</v>
      </c>
      <c r="C148" s="7">
        <v>45586</v>
      </c>
      <c r="D148" s="1" t="s">
        <v>15</v>
      </c>
      <c r="E148" s="1" t="s">
        <v>61</v>
      </c>
      <c r="F148" s="1">
        <v>3256</v>
      </c>
      <c r="G148" s="1">
        <v>459</v>
      </c>
      <c r="H148" s="1">
        <v>266</v>
      </c>
      <c r="I148" s="1">
        <v>26048</v>
      </c>
      <c r="J148" s="1">
        <v>25529</v>
      </c>
      <c r="K148" s="1">
        <v>143</v>
      </c>
      <c r="L148" s="1" t="s">
        <v>25</v>
      </c>
      <c r="M148" s="1" t="s">
        <v>359</v>
      </c>
      <c r="N148" s="1" t="s">
        <v>359</v>
      </c>
      <c r="O148" s="8" t="s">
        <v>21</v>
      </c>
      <c r="P148" s="15">
        <f>(Table1_149[[#This Row],[Likes]]+Table1_149[[#This Row],[Shares]]+Table1_149[[#This Row],[Comments]])/Table1_149[[#This Row],[Impressions]]</f>
        <v>0.15283323095823095</v>
      </c>
      <c r="Q148" s="81" t="str">
        <f t="shared" si="2"/>
        <v>Before</v>
      </c>
    </row>
    <row r="149" spans="1:17" x14ac:dyDescent="0.3">
      <c r="A149" s="6" t="s">
        <v>201</v>
      </c>
      <c r="B149" s="1" t="s">
        <v>28</v>
      </c>
      <c r="C149" s="7">
        <v>45762</v>
      </c>
      <c r="D149" s="1" t="s">
        <v>56</v>
      </c>
      <c r="E149" s="1" t="s">
        <v>63</v>
      </c>
      <c r="F149" s="1">
        <v>4133</v>
      </c>
      <c r="G149" s="1">
        <v>466</v>
      </c>
      <c r="H149" s="1">
        <v>327</v>
      </c>
      <c r="I149" s="1">
        <v>24798</v>
      </c>
      <c r="J149" s="1">
        <v>24620</v>
      </c>
      <c r="K149" s="1">
        <v>176</v>
      </c>
      <c r="L149" s="1" t="s">
        <v>31</v>
      </c>
      <c r="M149" s="1" t="s">
        <v>359</v>
      </c>
      <c r="N149" s="1" t="s">
        <v>359</v>
      </c>
      <c r="O149" s="8" t="s">
        <v>32</v>
      </c>
      <c r="P149" s="15">
        <f>(Table1_149[[#This Row],[Likes]]+Table1_149[[#This Row],[Shares]]+Table1_149[[#This Row],[Comments]])/Table1_149[[#This Row],[Impressions]]</f>
        <v>0.19864505202032423</v>
      </c>
      <c r="Q149" s="81" t="str">
        <f t="shared" si="2"/>
        <v>After</v>
      </c>
    </row>
    <row r="150" spans="1:17" x14ac:dyDescent="0.3">
      <c r="A150" s="6" t="s">
        <v>202</v>
      </c>
      <c r="B150" s="1" t="s">
        <v>14</v>
      </c>
      <c r="C150" s="7">
        <v>45459</v>
      </c>
      <c r="D150" s="1" t="s">
        <v>56</v>
      </c>
      <c r="E150" s="1" t="s">
        <v>95</v>
      </c>
      <c r="F150" s="1">
        <v>1702</v>
      </c>
      <c r="G150" s="1">
        <v>750</v>
      </c>
      <c r="H150" s="1">
        <v>179</v>
      </c>
      <c r="I150" s="1">
        <v>34040</v>
      </c>
      <c r="J150" s="1">
        <v>33174</v>
      </c>
      <c r="K150" s="1">
        <v>76</v>
      </c>
      <c r="L150" s="1" t="s">
        <v>31</v>
      </c>
      <c r="M150" s="1" t="s">
        <v>359</v>
      </c>
      <c r="N150" s="1" t="s">
        <v>359</v>
      </c>
      <c r="O150" s="8" t="s">
        <v>17</v>
      </c>
      <c r="P150" s="15">
        <f>(Table1_149[[#This Row],[Likes]]+Table1_149[[#This Row],[Shares]]+Table1_149[[#This Row],[Comments]])/Table1_149[[#This Row],[Impressions]]</f>
        <v>7.7291421856639245E-2</v>
      </c>
      <c r="Q150" s="81" t="str">
        <f t="shared" si="2"/>
        <v>Before</v>
      </c>
    </row>
    <row r="151" spans="1:17" x14ac:dyDescent="0.3">
      <c r="A151" s="6" t="s">
        <v>203</v>
      </c>
      <c r="B151" s="1" t="s">
        <v>23</v>
      </c>
      <c r="C151" s="7">
        <v>45526</v>
      </c>
      <c r="D151" s="1" t="s">
        <v>36</v>
      </c>
      <c r="E151" s="1" t="s">
        <v>52</v>
      </c>
      <c r="F151" s="1">
        <v>4295</v>
      </c>
      <c r="G151" s="1">
        <v>853</v>
      </c>
      <c r="H151" s="1">
        <v>325</v>
      </c>
      <c r="I151" s="1">
        <v>85900</v>
      </c>
      <c r="J151" s="1">
        <v>85788</v>
      </c>
      <c r="K151" s="1">
        <v>290</v>
      </c>
      <c r="L151" s="1" t="s">
        <v>25</v>
      </c>
      <c r="M151" s="1" t="s">
        <v>359</v>
      </c>
      <c r="N151" s="1" t="s">
        <v>359</v>
      </c>
      <c r="O151" s="8" t="s">
        <v>32</v>
      </c>
      <c r="P151" s="15">
        <f>(Table1_149[[#This Row],[Likes]]+Table1_149[[#This Row],[Shares]]+Table1_149[[#This Row],[Comments]])/Table1_149[[#This Row],[Impressions]]</f>
        <v>6.3713620488940623E-2</v>
      </c>
      <c r="Q151" s="81" t="str">
        <f t="shared" si="2"/>
        <v>After</v>
      </c>
    </row>
    <row r="152" spans="1:17" x14ac:dyDescent="0.3">
      <c r="A152" s="6" t="s">
        <v>204</v>
      </c>
      <c r="B152" s="1" t="s">
        <v>28</v>
      </c>
      <c r="C152" s="7">
        <v>45499</v>
      </c>
      <c r="D152" s="1" t="s">
        <v>41</v>
      </c>
      <c r="E152" s="1" t="s">
        <v>134</v>
      </c>
      <c r="F152" s="1">
        <v>3559</v>
      </c>
      <c r="G152" s="1">
        <v>59</v>
      </c>
      <c r="H152" s="1">
        <v>289</v>
      </c>
      <c r="I152" s="1">
        <v>35590</v>
      </c>
      <c r="J152" s="1">
        <v>35105</v>
      </c>
      <c r="K152" s="1">
        <v>122</v>
      </c>
      <c r="L152" s="1" t="s">
        <v>31</v>
      </c>
      <c r="M152" s="1" t="s">
        <v>359</v>
      </c>
      <c r="N152" s="1" t="s">
        <v>359</v>
      </c>
      <c r="O152" s="8" t="s">
        <v>17</v>
      </c>
      <c r="P152" s="15">
        <f>(Table1_149[[#This Row],[Likes]]+Table1_149[[#This Row],[Shares]]+Table1_149[[#This Row],[Comments]])/Table1_149[[#This Row],[Impressions]]</f>
        <v>0.10977802753582468</v>
      </c>
      <c r="Q152" s="81" t="str">
        <f t="shared" si="2"/>
        <v>Before</v>
      </c>
    </row>
    <row r="153" spans="1:17" x14ac:dyDescent="0.3">
      <c r="A153" s="6" t="s">
        <v>205</v>
      </c>
      <c r="B153" s="1" t="s">
        <v>35</v>
      </c>
      <c r="C153" s="7">
        <v>45769</v>
      </c>
      <c r="D153" s="1" t="s">
        <v>41</v>
      </c>
      <c r="E153" s="1" t="s">
        <v>46</v>
      </c>
      <c r="F153" s="1">
        <v>4804</v>
      </c>
      <c r="G153" s="1">
        <v>550</v>
      </c>
      <c r="H153" s="1">
        <v>270</v>
      </c>
      <c r="I153" s="1">
        <v>28824</v>
      </c>
      <c r="J153" s="1">
        <v>28370</v>
      </c>
      <c r="K153" s="1">
        <v>47</v>
      </c>
      <c r="L153" s="1" t="s">
        <v>31</v>
      </c>
      <c r="M153" s="1" t="s">
        <v>359</v>
      </c>
      <c r="N153" s="1" t="s">
        <v>359</v>
      </c>
      <c r="O153" s="8" t="s">
        <v>32</v>
      </c>
      <c r="P153" s="15">
        <f>(Table1_149[[#This Row],[Likes]]+Table1_149[[#This Row],[Shares]]+Table1_149[[#This Row],[Comments]])/Table1_149[[#This Row],[Impressions]]</f>
        <v>0.19511518179295032</v>
      </c>
      <c r="Q153" s="81" t="str">
        <f t="shared" si="2"/>
        <v>After</v>
      </c>
    </row>
    <row r="154" spans="1:17" x14ac:dyDescent="0.3">
      <c r="A154" s="6" t="s">
        <v>206</v>
      </c>
      <c r="B154" s="1" t="s">
        <v>14</v>
      </c>
      <c r="C154" s="7">
        <v>45658</v>
      </c>
      <c r="D154" s="1" t="s">
        <v>56</v>
      </c>
      <c r="E154" s="1" t="s">
        <v>95</v>
      </c>
      <c r="F154" s="1">
        <v>754</v>
      </c>
      <c r="G154" s="1">
        <v>197</v>
      </c>
      <c r="H154" s="1">
        <v>257</v>
      </c>
      <c r="I154" s="1">
        <v>6786</v>
      </c>
      <c r="J154" s="1">
        <v>6221</v>
      </c>
      <c r="K154" s="1">
        <v>212</v>
      </c>
      <c r="L154" s="1" t="s">
        <v>25</v>
      </c>
      <c r="M154" s="1" t="s">
        <v>359</v>
      </c>
      <c r="N154" s="1" t="s">
        <v>359</v>
      </c>
      <c r="O154" s="8" t="s">
        <v>26</v>
      </c>
      <c r="P154" s="15">
        <f>(Table1_149[[#This Row],[Likes]]+Table1_149[[#This Row],[Shares]]+Table1_149[[#This Row],[Comments]])/Table1_149[[#This Row],[Impressions]]</f>
        <v>0.17801355732390214</v>
      </c>
      <c r="Q154" s="81" t="str">
        <f t="shared" si="2"/>
        <v>Before</v>
      </c>
    </row>
    <row r="155" spans="1:17" x14ac:dyDescent="0.3">
      <c r="A155" s="6" t="s">
        <v>207</v>
      </c>
      <c r="B155" s="1" t="s">
        <v>28</v>
      </c>
      <c r="C155" s="7">
        <v>45574</v>
      </c>
      <c r="D155" s="1" t="s">
        <v>36</v>
      </c>
      <c r="E155" s="1" t="s">
        <v>65</v>
      </c>
      <c r="F155" s="1">
        <v>985</v>
      </c>
      <c r="G155" s="1">
        <v>932</v>
      </c>
      <c r="H155" s="1">
        <v>287</v>
      </c>
      <c r="I155" s="1">
        <v>6895</v>
      </c>
      <c r="J155" s="1">
        <v>6757</v>
      </c>
      <c r="K155" s="1">
        <v>64</v>
      </c>
      <c r="L155" s="1" t="s">
        <v>48</v>
      </c>
      <c r="M155" s="1" t="s">
        <v>359</v>
      </c>
      <c r="N155" s="1" t="s">
        <v>359</v>
      </c>
      <c r="O155" s="8" t="s">
        <v>32</v>
      </c>
      <c r="P155" s="15">
        <f>(Table1_149[[#This Row],[Likes]]+Table1_149[[#This Row],[Shares]]+Table1_149[[#This Row],[Comments]])/Table1_149[[#This Row],[Impressions]]</f>
        <v>0.31965192168237855</v>
      </c>
      <c r="Q155" s="81" t="str">
        <f t="shared" si="2"/>
        <v>After</v>
      </c>
    </row>
    <row r="156" spans="1:17" x14ac:dyDescent="0.3">
      <c r="A156" s="6" t="s">
        <v>208</v>
      </c>
      <c r="B156" s="1" t="s">
        <v>23</v>
      </c>
      <c r="C156" s="7">
        <v>45647</v>
      </c>
      <c r="D156" s="1" t="s">
        <v>41</v>
      </c>
      <c r="E156" s="1" t="s">
        <v>42</v>
      </c>
      <c r="F156" s="1">
        <v>2283</v>
      </c>
      <c r="G156" s="1">
        <v>210</v>
      </c>
      <c r="H156" s="1">
        <v>130</v>
      </c>
      <c r="I156" s="1">
        <v>22830</v>
      </c>
      <c r="J156" s="1">
        <v>22617</v>
      </c>
      <c r="K156" s="1">
        <v>143</v>
      </c>
      <c r="L156" s="1" t="s">
        <v>48</v>
      </c>
      <c r="M156" s="1" t="s">
        <v>359</v>
      </c>
      <c r="N156" s="1" t="s">
        <v>359</v>
      </c>
      <c r="O156" s="8" t="s">
        <v>21</v>
      </c>
      <c r="P156" s="15">
        <f>(Table1_149[[#This Row],[Likes]]+Table1_149[[#This Row],[Shares]]+Table1_149[[#This Row],[Comments]])/Table1_149[[#This Row],[Impressions]]</f>
        <v>0.11489268506351293</v>
      </c>
      <c r="Q156" s="81" t="str">
        <f t="shared" si="2"/>
        <v>Before</v>
      </c>
    </row>
    <row r="157" spans="1:17" x14ac:dyDescent="0.3">
      <c r="A157" s="6" t="s">
        <v>209</v>
      </c>
      <c r="B157" s="1" t="s">
        <v>35</v>
      </c>
      <c r="C157" s="7">
        <v>45587</v>
      </c>
      <c r="D157" s="1" t="s">
        <v>36</v>
      </c>
      <c r="E157" s="1" t="s">
        <v>37</v>
      </c>
      <c r="F157" s="1">
        <v>3352</v>
      </c>
      <c r="G157" s="1">
        <v>941</v>
      </c>
      <c r="H157" s="1">
        <v>482</v>
      </c>
      <c r="I157" s="1">
        <v>43576</v>
      </c>
      <c r="J157" s="1">
        <v>43338</v>
      </c>
      <c r="K157" s="1">
        <v>240</v>
      </c>
      <c r="L157" s="1" t="s">
        <v>48</v>
      </c>
      <c r="M157" s="1" t="s">
        <v>359</v>
      </c>
      <c r="N157" s="1" t="s">
        <v>359</v>
      </c>
      <c r="O157" s="8" t="s">
        <v>21</v>
      </c>
      <c r="P157" s="15">
        <f>(Table1_149[[#This Row],[Likes]]+Table1_149[[#This Row],[Shares]]+Table1_149[[#This Row],[Comments]])/Table1_149[[#This Row],[Impressions]]</f>
        <v>0.1095786671562328</v>
      </c>
      <c r="Q157" s="81" t="str">
        <f t="shared" si="2"/>
        <v>Before</v>
      </c>
    </row>
    <row r="158" spans="1:17" x14ac:dyDescent="0.3">
      <c r="A158" s="6" t="s">
        <v>210</v>
      </c>
      <c r="B158" s="1" t="s">
        <v>23</v>
      </c>
      <c r="C158" s="7">
        <v>45496</v>
      </c>
      <c r="D158" s="1" t="s">
        <v>29</v>
      </c>
      <c r="E158" s="1" t="s">
        <v>101</v>
      </c>
      <c r="F158" s="1">
        <v>4775</v>
      </c>
      <c r="G158" s="1">
        <v>173</v>
      </c>
      <c r="H158" s="1">
        <v>206</v>
      </c>
      <c r="I158" s="1">
        <v>47750</v>
      </c>
      <c r="J158" s="1">
        <v>47544</v>
      </c>
      <c r="K158" s="1">
        <v>187</v>
      </c>
      <c r="L158" s="1" t="s">
        <v>48</v>
      </c>
      <c r="M158" s="1" t="s">
        <v>359</v>
      </c>
      <c r="N158" s="1" t="s">
        <v>359</v>
      </c>
      <c r="O158" s="8" t="s">
        <v>21</v>
      </c>
      <c r="P158" s="15">
        <f>(Table1_149[[#This Row],[Likes]]+Table1_149[[#This Row],[Shares]]+Table1_149[[#This Row],[Comments]])/Table1_149[[#This Row],[Impressions]]</f>
        <v>0.10793717277486911</v>
      </c>
      <c r="Q158" s="81" t="str">
        <f t="shared" si="2"/>
        <v>Before</v>
      </c>
    </row>
    <row r="159" spans="1:17" x14ac:dyDescent="0.3">
      <c r="A159" s="6" t="s">
        <v>211</v>
      </c>
      <c r="B159" s="1" t="s">
        <v>28</v>
      </c>
      <c r="C159" s="7">
        <v>45515</v>
      </c>
      <c r="D159" s="1" t="s">
        <v>29</v>
      </c>
      <c r="E159" s="1" t="s">
        <v>30</v>
      </c>
      <c r="F159" s="1">
        <v>1762</v>
      </c>
      <c r="G159" s="1">
        <v>405</v>
      </c>
      <c r="H159" s="1">
        <v>423</v>
      </c>
      <c r="I159" s="1">
        <v>22906</v>
      </c>
      <c r="J159" s="1">
        <v>21925</v>
      </c>
      <c r="K159" s="1">
        <v>25</v>
      </c>
      <c r="L159" s="1" t="s">
        <v>25</v>
      </c>
      <c r="M159" s="1" t="s">
        <v>359</v>
      </c>
      <c r="N159" s="1" t="s">
        <v>359</v>
      </c>
      <c r="O159" s="8" t="s">
        <v>17</v>
      </c>
      <c r="P159" s="15">
        <f>(Table1_149[[#This Row],[Likes]]+Table1_149[[#This Row],[Shares]]+Table1_149[[#This Row],[Comments]])/Table1_149[[#This Row],[Impressions]]</f>
        <v>0.11307081114118571</v>
      </c>
      <c r="Q159" s="81" t="str">
        <f t="shared" si="2"/>
        <v>Before</v>
      </c>
    </row>
    <row r="160" spans="1:17" x14ac:dyDescent="0.3">
      <c r="A160" s="6" t="s">
        <v>212</v>
      </c>
      <c r="B160" s="1" t="s">
        <v>35</v>
      </c>
      <c r="C160" s="7">
        <v>45621</v>
      </c>
      <c r="D160" s="1" t="s">
        <v>29</v>
      </c>
      <c r="E160" s="1" t="s">
        <v>54</v>
      </c>
      <c r="F160" s="1">
        <v>2120</v>
      </c>
      <c r="G160" s="1">
        <v>158</v>
      </c>
      <c r="H160" s="1">
        <v>488</v>
      </c>
      <c r="I160" s="1">
        <v>12720</v>
      </c>
      <c r="J160" s="1">
        <v>12085</v>
      </c>
      <c r="K160" s="1">
        <v>17</v>
      </c>
      <c r="L160" s="1" t="s">
        <v>48</v>
      </c>
      <c r="M160" s="1" t="s">
        <v>359</v>
      </c>
      <c r="N160" s="1" t="s">
        <v>359</v>
      </c>
      <c r="O160" s="8" t="s">
        <v>21</v>
      </c>
      <c r="P160" s="15">
        <f>(Table1_149[[#This Row],[Likes]]+Table1_149[[#This Row],[Shares]]+Table1_149[[#This Row],[Comments]])/Table1_149[[#This Row],[Impressions]]</f>
        <v>0.21745283018867925</v>
      </c>
      <c r="Q160" s="81" t="str">
        <f t="shared" si="2"/>
        <v>Before</v>
      </c>
    </row>
    <row r="161" spans="1:17" x14ac:dyDescent="0.3">
      <c r="A161" s="6" t="s">
        <v>213</v>
      </c>
      <c r="B161" s="1" t="s">
        <v>14</v>
      </c>
      <c r="C161" s="7">
        <v>45528</v>
      </c>
      <c r="D161" s="1" t="s">
        <v>56</v>
      </c>
      <c r="E161" s="1" t="s">
        <v>95</v>
      </c>
      <c r="F161" s="1">
        <v>1082</v>
      </c>
      <c r="G161" s="1">
        <v>209</v>
      </c>
      <c r="H161" s="1">
        <v>484</v>
      </c>
      <c r="I161" s="1">
        <v>19476</v>
      </c>
      <c r="J161" s="1">
        <v>18654</v>
      </c>
      <c r="K161" s="1">
        <v>20</v>
      </c>
      <c r="L161" s="1" t="s">
        <v>25</v>
      </c>
      <c r="M161" s="1" t="s">
        <v>359</v>
      </c>
      <c r="N161" s="1" t="s">
        <v>359</v>
      </c>
      <c r="O161" s="8" t="s">
        <v>360</v>
      </c>
      <c r="P161" s="15">
        <f>(Table1_149[[#This Row],[Likes]]+Table1_149[[#This Row],[Shares]]+Table1_149[[#This Row],[Comments]])/Table1_149[[#This Row],[Impressions]]</f>
        <v>9.1137810638734856E-2</v>
      </c>
      <c r="Q161" s="81" t="b">
        <f t="shared" si="2"/>
        <v>0</v>
      </c>
    </row>
    <row r="162" spans="1:17" x14ac:dyDescent="0.3">
      <c r="A162" s="6" t="s">
        <v>214</v>
      </c>
      <c r="B162" s="1" t="s">
        <v>14</v>
      </c>
      <c r="C162" s="7">
        <v>45707</v>
      </c>
      <c r="D162" s="1" t="s">
        <v>19</v>
      </c>
      <c r="E162" s="1" t="s">
        <v>20</v>
      </c>
      <c r="F162" s="1">
        <v>4671</v>
      </c>
      <c r="G162" s="1">
        <v>876</v>
      </c>
      <c r="H162" s="1">
        <v>366</v>
      </c>
      <c r="I162" s="1">
        <v>51381</v>
      </c>
      <c r="J162" s="1">
        <v>50565</v>
      </c>
      <c r="K162" s="1">
        <v>245</v>
      </c>
      <c r="L162" s="1" t="s">
        <v>25</v>
      </c>
      <c r="M162" s="1" t="s">
        <v>359</v>
      </c>
      <c r="N162" s="1" t="s">
        <v>359</v>
      </c>
      <c r="O162" s="8" t="s">
        <v>32</v>
      </c>
      <c r="P162" s="15">
        <f>(Table1_149[[#This Row],[Likes]]+Table1_149[[#This Row],[Shares]]+Table1_149[[#This Row],[Comments]])/Table1_149[[#This Row],[Impressions]]</f>
        <v>0.11508145034156594</v>
      </c>
      <c r="Q162" s="81" t="str">
        <f t="shared" si="2"/>
        <v>After</v>
      </c>
    </row>
    <row r="163" spans="1:17" x14ac:dyDescent="0.3">
      <c r="A163" s="6" t="s">
        <v>215</v>
      </c>
      <c r="B163" s="1" t="s">
        <v>35</v>
      </c>
      <c r="C163" s="7">
        <v>45748</v>
      </c>
      <c r="D163" s="1" t="s">
        <v>29</v>
      </c>
      <c r="E163" s="1" t="s">
        <v>54</v>
      </c>
      <c r="F163" s="1">
        <v>3430</v>
      </c>
      <c r="G163" s="1">
        <v>566</v>
      </c>
      <c r="H163" s="1">
        <v>164</v>
      </c>
      <c r="I163" s="1">
        <v>48020</v>
      </c>
      <c r="J163" s="1">
        <v>47305</v>
      </c>
      <c r="K163" s="1">
        <v>120</v>
      </c>
      <c r="L163" s="1" t="s">
        <v>48</v>
      </c>
      <c r="M163" s="1" t="s">
        <v>359</v>
      </c>
      <c r="N163" s="1" t="s">
        <v>359</v>
      </c>
      <c r="O163" s="8" t="s">
        <v>360</v>
      </c>
      <c r="P163" s="15">
        <f>(Table1_149[[#This Row],[Likes]]+Table1_149[[#This Row],[Shares]]+Table1_149[[#This Row],[Comments]])/Table1_149[[#This Row],[Impressions]]</f>
        <v>8.6630570595585168E-2</v>
      </c>
      <c r="Q163" s="81" t="b">
        <f t="shared" si="2"/>
        <v>0</v>
      </c>
    </row>
    <row r="164" spans="1:17" x14ac:dyDescent="0.3">
      <c r="A164" s="6" t="s">
        <v>216</v>
      </c>
      <c r="B164" s="1" t="s">
        <v>28</v>
      </c>
      <c r="C164" s="7">
        <v>45755</v>
      </c>
      <c r="D164" s="1" t="s">
        <v>41</v>
      </c>
      <c r="E164" s="1" t="s">
        <v>134</v>
      </c>
      <c r="F164" s="1">
        <v>4501</v>
      </c>
      <c r="G164" s="1">
        <v>375</v>
      </c>
      <c r="H164" s="1">
        <v>323</v>
      </c>
      <c r="I164" s="1">
        <v>22505</v>
      </c>
      <c r="J164" s="1">
        <v>21836</v>
      </c>
      <c r="K164" s="1">
        <v>132</v>
      </c>
      <c r="L164" s="1" t="s">
        <v>25</v>
      </c>
      <c r="M164" s="1" t="s">
        <v>359</v>
      </c>
      <c r="N164" s="1" t="s">
        <v>359</v>
      </c>
      <c r="O164" s="8" t="s">
        <v>21</v>
      </c>
      <c r="P164" s="15">
        <f>(Table1_149[[#This Row],[Likes]]+Table1_149[[#This Row],[Shares]]+Table1_149[[#This Row],[Comments]])/Table1_149[[#This Row],[Impressions]]</f>
        <v>0.23101532992668297</v>
      </c>
      <c r="Q164" s="81" t="str">
        <f t="shared" si="2"/>
        <v>After</v>
      </c>
    </row>
    <row r="165" spans="1:17" x14ac:dyDescent="0.3">
      <c r="A165" s="6" t="s">
        <v>217</v>
      </c>
      <c r="B165" s="1" t="s">
        <v>23</v>
      </c>
      <c r="C165" s="7">
        <v>45715</v>
      </c>
      <c r="D165" s="1" t="s">
        <v>19</v>
      </c>
      <c r="E165" s="1" t="s">
        <v>73</v>
      </c>
      <c r="F165" s="1">
        <v>4934</v>
      </c>
      <c r="G165" s="1">
        <v>971</v>
      </c>
      <c r="H165" s="1">
        <v>156</v>
      </c>
      <c r="I165" s="1">
        <v>39472</v>
      </c>
      <c r="J165" s="1">
        <v>39025</v>
      </c>
      <c r="K165" s="1">
        <v>169</v>
      </c>
      <c r="L165" s="1" t="s">
        <v>25</v>
      </c>
      <c r="M165" s="1" t="s">
        <v>354</v>
      </c>
      <c r="N165" s="1" t="s">
        <v>359</v>
      </c>
      <c r="O165" s="8" t="s">
        <v>32</v>
      </c>
      <c r="P165" s="15">
        <f>(Table1_149[[#This Row],[Likes]]+Table1_149[[#This Row],[Shares]]+Table1_149[[#This Row],[Comments]])/Table1_149[[#This Row],[Impressions]]</f>
        <v>0.15355188488042157</v>
      </c>
      <c r="Q165" s="81" t="str">
        <f t="shared" si="2"/>
        <v>After</v>
      </c>
    </row>
    <row r="166" spans="1:17" x14ac:dyDescent="0.3">
      <c r="A166" s="6" t="s">
        <v>218</v>
      </c>
      <c r="B166" s="1" t="s">
        <v>14</v>
      </c>
      <c r="C166" s="7">
        <v>45637</v>
      </c>
      <c r="D166" s="1" t="s">
        <v>19</v>
      </c>
      <c r="E166" s="1" t="s">
        <v>20</v>
      </c>
      <c r="F166" s="1">
        <v>3239</v>
      </c>
      <c r="G166" s="1">
        <v>43</v>
      </c>
      <c r="H166" s="1">
        <v>211</v>
      </c>
      <c r="I166" s="1">
        <v>22673</v>
      </c>
      <c r="J166" s="1">
        <v>22171</v>
      </c>
      <c r="K166" s="1">
        <v>230</v>
      </c>
      <c r="L166" s="1" t="s">
        <v>25</v>
      </c>
      <c r="M166" s="1" t="s">
        <v>359</v>
      </c>
      <c r="N166" s="1" t="s">
        <v>359</v>
      </c>
      <c r="O166" s="8" t="s">
        <v>21</v>
      </c>
      <c r="P166" s="15">
        <f>(Table1_149[[#This Row],[Likes]]+Table1_149[[#This Row],[Shares]]+Table1_149[[#This Row],[Comments]])/Table1_149[[#This Row],[Impressions]]</f>
        <v>0.15405989502933004</v>
      </c>
      <c r="Q166" s="81" t="str">
        <f t="shared" si="2"/>
        <v>Before</v>
      </c>
    </row>
    <row r="167" spans="1:17" x14ac:dyDescent="0.3">
      <c r="A167" s="6" t="s">
        <v>219</v>
      </c>
      <c r="B167" s="1" t="s">
        <v>14</v>
      </c>
      <c r="C167" s="7">
        <v>45704</v>
      </c>
      <c r="D167" s="1" t="s">
        <v>15</v>
      </c>
      <c r="E167" s="1" t="s">
        <v>16</v>
      </c>
      <c r="F167" s="1">
        <v>1076</v>
      </c>
      <c r="G167" s="1">
        <v>313</v>
      </c>
      <c r="H167" s="1">
        <v>306</v>
      </c>
      <c r="I167" s="1">
        <v>11836</v>
      </c>
      <c r="J167" s="1">
        <v>11596</v>
      </c>
      <c r="K167" s="1">
        <v>104</v>
      </c>
      <c r="L167" s="1" t="s">
        <v>48</v>
      </c>
      <c r="M167" s="1" t="s">
        <v>359</v>
      </c>
      <c r="N167" s="1" t="s">
        <v>359</v>
      </c>
      <c r="O167" s="8" t="s">
        <v>17</v>
      </c>
      <c r="P167" s="15">
        <f>(Table1_149[[#This Row],[Likes]]+Table1_149[[#This Row],[Shares]]+Table1_149[[#This Row],[Comments]])/Table1_149[[#This Row],[Impressions]]</f>
        <v>0.14320716458262928</v>
      </c>
      <c r="Q167" s="81" t="str">
        <f t="shared" si="2"/>
        <v>After</v>
      </c>
    </row>
    <row r="168" spans="1:17" x14ac:dyDescent="0.3">
      <c r="A168" s="6" t="s">
        <v>220</v>
      </c>
      <c r="B168" s="1" t="s">
        <v>28</v>
      </c>
      <c r="C168" s="7">
        <v>45624</v>
      </c>
      <c r="D168" s="1" t="s">
        <v>19</v>
      </c>
      <c r="E168" s="1" t="s">
        <v>78</v>
      </c>
      <c r="F168" s="1">
        <v>4771</v>
      </c>
      <c r="G168" s="1">
        <v>818</v>
      </c>
      <c r="H168" s="1">
        <v>56</v>
      </c>
      <c r="I168" s="1">
        <v>57252</v>
      </c>
      <c r="J168" s="1">
        <v>56378</v>
      </c>
      <c r="K168" s="1">
        <v>150</v>
      </c>
      <c r="L168" s="1" t="s">
        <v>48</v>
      </c>
      <c r="M168" s="1" t="s">
        <v>359</v>
      </c>
      <c r="N168" s="1" t="s">
        <v>359</v>
      </c>
      <c r="O168" s="8" t="s">
        <v>360</v>
      </c>
      <c r="P168" s="15">
        <f>(Table1_149[[#This Row],[Likes]]+Table1_149[[#This Row],[Shares]]+Table1_149[[#This Row],[Comments]])/Table1_149[[#This Row],[Impressions]]</f>
        <v>9.859917557465242E-2</v>
      </c>
      <c r="Q168" s="81" t="b">
        <f t="shared" si="2"/>
        <v>0</v>
      </c>
    </row>
    <row r="169" spans="1:17" x14ac:dyDescent="0.3">
      <c r="A169" s="6" t="s">
        <v>221</v>
      </c>
      <c r="B169" s="1" t="s">
        <v>35</v>
      </c>
      <c r="C169" s="7">
        <v>45608</v>
      </c>
      <c r="D169" s="1" t="s">
        <v>19</v>
      </c>
      <c r="E169" s="1" t="s">
        <v>44</v>
      </c>
      <c r="F169" s="1">
        <v>2418</v>
      </c>
      <c r="G169" s="1">
        <v>754</v>
      </c>
      <c r="H169" s="1">
        <v>54</v>
      </c>
      <c r="I169" s="1">
        <v>43524</v>
      </c>
      <c r="J169" s="1">
        <v>42743</v>
      </c>
      <c r="K169" s="1">
        <v>182</v>
      </c>
      <c r="L169" s="1" t="s">
        <v>31</v>
      </c>
      <c r="M169" s="1" t="s">
        <v>359</v>
      </c>
      <c r="N169" s="1" t="s">
        <v>359</v>
      </c>
      <c r="O169" s="8" t="s">
        <v>17</v>
      </c>
      <c r="P169" s="15">
        <f>(Table1_149[[#This Row],[Likes]]+Table1_149[[#This Row],[Shares]]+Table1_149[[#This Row],[Comments]])/Table1_149[[#This Row],[Impressions]]</f>
        <v>7.412002573292896E-2</v>
      </c>
      <c r="Q169" s="81" t="str">
        <f t="shared" si="2"/>
        <v>After</v>
      </c>
    </row>
    <row r="170" spans="1:17" x14ac:dyDescent="0.3">
      <c r="A170" s="6" t="s">
        <v>222</v>
      </c>
      <c r="B170" s="1" t="s">
        <v>23</v>
      </c>
      <c r="C170" s="7">
        <v>45629</v>
      </c>
      <c r="D170" s="1" t="s">
        <v>56</v>
      </c>
      <c r="E170" s="1" t="s">
        <v>136</v>
      </c>
      <c r="F170" s="1">
        <v>3809</v>
      </c>
      <c r="G170" s="1">
        <v>273</v>
      </c>
      <c r="H170" s="1">
        <v>200</v>
      </c>
      <c r="I170" s="1">
        <v>34281</v>
      </c>
      <c r="J170" s="1">
        <v>33534</v>
      </c>
      <c r="K170" s="1">
        <v>83</v>
      </c>
      <c r="L170" s="1" t="s">
        <v>31</v>
      </c>
      <c r="M170" s="1" t="s">
        <v>359</v>
      </c>
      <c r="N170" s="1" t="s">
        <v>359</v>
      </c>
      <c r="O170" s="8" t="s">
        <v>17</v>
      </c>
      <c r="P170" s="15">
        <f>(Table1_149[[#This Row],[Likes]]+Table1_149[[#This Row],[Shares]]+Table1_149[[#This Row],[Comments]])/Table1_149[[#This Row],[Impressions]]</f>
        <v>0.12490884163239112</v>
      </c>
      <c r="Q170" s="81" t="str">
        <f t="shared" si="2"/>
        <v>After</v>
      </c>
    </row>
    <row r="171" spans="1:17" x14ac:dyDescent="0.3">
      <c r="A171" s="6" t="s">
        <v>223</v>
      </c>
      <c r="B171" s="1" t="s">
        <v>14</v>
      </c>
      <c r="C171" s="7">
        <v>45775</v>
      </c>
      <c r="D171" s="1" t="s">
        <v>19</v>
      </c>
      <c r="E171" s="1" t="s">
        <v>20</v>
      </c>
      <c r="F171" s="1">
        <v>3577</v>
      </c>
      <c r="G171" s="1">
        <v>596</v>
      </c>
      <c r="H171" s="1">
        <v>493</v>
      </c>
      <c r="I171" s="1">
        <v>67963</v>
      </c>
      <c r="J171" s="1">
        <v>67839</v>
      </c>
      <c r="K171" s="1">
        <v>53</v>
      </c>
      <c r="L171" s="1" t="s">
        <v>25</v>
      </c>
      <c r="M171" s="1" t="s">
        <v>359</v>
      </c>
      <c r="N171" s="1" t="s">
        <v>359</v>
      </c>
      <c r="O171" s="8" t="s">
        <v>26</v>
      </c>
      <c r="P171" s="15">
        <f>(Table1_149[[#This Row],[Likes]]+Table1_149[[#This Row],[Shares]]+Table1_149[[#This Row],[Comments]])/Table1_149[[#This Row],[Impressions]]</f>
        <v>6.8655003457763777E-2</v>
      </c>
      <c r="Q171" s="81" t="str">
        <f t="shared" si="2"/>
        <v>Before</v>
      </c>
    </row>
    <row r="172" spans="1:17" x14ac:dyDescent="0.3">
      <c r="A172" s="6" t="s">
        <v>224</v>
      </c>
      <c r="B172" s="1" t="s">
        <v>23</v>
      </c>
      <c r="C172" s="7">
        <v>45657</v>
      </c>
      <c r="D172" s="1" t="s">
        <v>56</v>
      </c>
      <c r="E172" s="1" t="s">
        <v>136</v>
      </c>
      <c r="F172" s="1">
        <v>1018</v>
      </c>
      <c r="G172" s="1">
        <v>447</v>
      </c>
      <c r="H172" s="1">
        <v>332</v>
      </c>
      <c r="I172" s="1">
        <v>18324</v>
      </c>
      <c r="J172" s="1">
        <v>18164</v>
      </c>
      <c r="K172" s="1">
        <v>38</v>
      </c>
      <c r="L172" s="1" t="s">
        <v>48</v>
      </c>
      <c r="M172" s="1" t="s">
        <v>359</v>
      </c>
      <c r="N172" s="1" t="s">
        <v>359</v>
      </c>
      <c r="O172" s="8" t="s">
        <v>21</v>
      </c>
      <c r="P172" s="15">
        <f>(Table1_149[[#This Row],[Likes]]+Table1_149[[#This Row],[Shares]]+Table1_149[[#This Row],[Comments]])/Table1_149[[#This Row],[Impressions]]</f>
        <v>9.8068107400130972E-2</v>
      </c>
      <c r="Q172" s="81" t="str">
        <f t="shared" si="2"/>
        <v>Before</v>
      </c>
    </row>
    <row r="173" spans="1:17" x14ac:dyDescent="0.3">
      <c r="A173" s="6" t="s">
        <v>225</v>
      </c>
      <c r="B173" s="1" t="s">
        <v>35</v>
      </c>
      <c r="C173" s="7">
        <v>45518</v>
      </c>
      <c r="D173" s="1" t="s">
        <v>36</v>
      </c>
      <c r="E173" s="1" t="s">
        <v>37</v>
      </c>
      <c r="F173" s="1">
        <v>3073</v>
      </c>
      <c r="G173" s="1">
        <v>553</v>
      </c>
      <c r="H173" s="1">
        <v>174</v>
      </c>
      <c r="I173" s="1">
        <v>52241</v>
      </c>
      <c r="J173" s="1">
        <v>51605</v>
      </c>
      <c r="K173" s="1">
        <v>246</v>
      </c>
      <c r="L173" s="1" t="s">
        <v>31</v>
      </c>
      <c r="M173" s="1" t="s">
        <v>359</v>
      </c>
      <c r="N173" s="1" t="s">
        <v>359</v>
      </c>
      <c r="O173" s="8" t="s">
        <v>26</v>
      </c>
      <c r="P173" s="15">
        <f>(Table1_149[[#This Row],[Likes]]+Table1_149[[#This Row],[Shares]]+Table1_149[[#This Row],[Comments]])/Table1_149[[#This Row],[Impressions]]</f>
        <v>7.2739802071170159E-2</v>
      </c>
      <c r="Q173" s="81" t="str">
        <f t="shared" si="2"/>
        <v>Before</v>
      </c>
    </row>
    <row r="174" spans="1:17" x14ac:dyDescent="0.3">
      <c r="A174" s="6" t="s">
        <v>226</v>
      </c>
      <c r="B174" s="1" t="s">
        <v>14</v>
      </c>
      <c r="C174" s="7">
        <v>45631</v>
      </c>
      <c r="D174" s="1" t="s">
        <v>56</v>
      </c>
      <c r="E174" s="1" t="s">
        <v>95</v>
      </c>
      <c r="F174" s="1">
        <v>1330</v>
      </c>
      <c r="G174" s="1">
        <v>925</v>
      </c>
      <c r="H174" s="1">
        <v>35</v>
      </c>
      <c r="I174" s="1">
        <v>15960</v>
      </c>
      <c r="J174" s="1">
        <v>15379</v>
      </c>
      <c r="K174" s="1">
        <v>229</v>
      </c>
      <c r="L174" s="1" t="s">
        <v>48</v>
      </c>
      <c r="M174" s="1" t="s">
        <v>359</v>
      </c>
      <c r="N174" s="1" t="s">
        <v>359</v>
      </c>
      <c r="O174" s="8" t="s">
        <v>26</v>
      </c>
      <c r="P174" s="15">
        <f>(Table1_149[[#This Row],[Likes]]+Table1_149[[#This Row],[Shares]]+Table1_149[[#This Row],[Comments]])/Table1_149[[#This Row],[Impressions]]</f>
        <v>0.14348370927318296</v>
      </c>
      <c r="Q174" s="81" t="str">
        <f t="shared" si="2"/>
        <v>Before</v>
      </c>
    </row>
    <row r="175" spans="1:17" x14ac:dyDescent="0.3">
      <c r="A175" s="6" t="s">
        <v>227</v>
      </c>
      <c r="B175" s="1" t="s">
        <v>35</v>
      </c>
      <c r="C175" s="7">
        <v>45465</v>
      </c>
      <c r="D175" s="1" t="s">
        <v>19</v>
      </c>
      <c r="E175" s="1" t="s">
        <v>44</v>
      </c>
      <c r="F175" s="1">
        <v>3828</v>
      </c>
      <c r="G175" s="1">
        <v>148</v>
      </c>
      <c r="H175" s="1">
        <v>253</v>
      </c>
      <c r="I175" s="1">
        <v>30624</v>
      </c>
      <c r="J175" s="1">
        <v>30229</v>
      </c>
      <c r="K175" s="1">
        <v>235</v>
      </c>
      <c r="L175" s="1" t="s">
        <v>31</v>
      </c>
      <c r="M175" s="1" t="s">
        <v>359</v>
      </c>
      <c r="N175" s="1" t="s">
        <v>359</v>
      </c>
      <c r="O175" s="8" t="s">
        <v>360</v>
      </c>
      <c r="P175" s="15">
        <f>(Table1_149[[#This Row],[Likes]]+Table1_149[[#This Row],[Shares]]+Table1_149[[#This Row],[Comments]])/Table1_149[[#This Row],[Impressions]]</f>
        <v>0.13809430512016718</v>
      </c>
      <c r="Q175" s="81" t="b">
        <f t="shared" si="2"/>
        <v>0</v>
      </c>
    </row>
    <row r="176" spans="1:17" x14ac:dyDescent="0.3">
      <c r="A176" s="6" t="s">
        <v>228</v>
      </c>
      <c r="B176" s="1" t="s">
        <v>28</v>
      </c>
      <c r="C176" s="7">
        <v>45674</v>
      </c>
      <c r="D176" s="1" t="s">
        <v>15</v>
      </c>
      <c r="E176" s="1" t="s">
        <v>61</v>
      </c>
      <c r="F176" s="1">
        <v>142</v>
      </c>
      <c r="G176" s="1">
        <v>784</v>
      </c>
      <c r="H176" s="1">
        <v>183</v>
      </c>
      <c r="I176" s="1">
        <v>1704</v>
      </c>
      <c r="J176" s="1">
        <v>995</v>
      </c>
      <c r="K176" s="1">
        <v>154</v>
      </c>
      <c r="L176" s="1" t="s">
        <v>48</v>
      </c>
      <c r="M176" s="1" t="s">
        <v>359</v>
      </c>
      <c r="N176" s="1" t="s">
        <v>359</v>
      </c>
      <c r="O176" s="8" t="s">
        <v>32</v>
      </c>
      <c r="P176" s="15">
        <f>(Table1_149[[#This Row],[Likes]]+Table1_149[[#This Row],[Shares]]+Table1_149[[#This Row],[Comments]])/Table1_149[[#This Row],[Impressions]]</f>
        <v>0.6508215962441315</v>
      </c>
      <c r="Q176" s="81" t="str">
        <f t="shared" si="2"/>
        <v>After</v>
      </c>
    </row>
    <row r="177" spans="1:17" x14ac:dyDescent="0.3">
      <c r="A177" s="6" t="s">
        <v>229</v>
      </c>
      <c r="B177" s="1" t="s">
        <v>35</v>
      </c>
      <c r="C177" s="7">
        <v>45463</v>
      </c>
      <c r="D177" s="1" t="s">
        <v>56</v>
      </c>
      <c r="E177" s="1" t="s">
        <v>57</v>
      </c>
      <c r="F177" s="1">
        <v>3798</v>
      </c>
      <c r="G177" s="1">
        <v>31</v>
      </c>
      <c r="H177" s="1">
        <v>279</v>
      </c>
      <c r="I177" s="1">
        <v>75960</v>
      </c>
      <c r="J177" s="1">
        <v>75813</v>
      </c>
      <c r="K177" s="1">
        <v>266</v>
      </c>
      <c r="L177" s="1" t="s">
        <v>25</v>
      </c>
      <c r="M177" s="1" t="s">
        <v>359</v>
      </c>
      <c r="N177" s="1" t="s">
        <v>359</v>
      </c>
      <c r="O177" s="8" t="s">
        <v>17</v>
      </c>
      <c r="P177" s="15">
        <f>(Table1_149[[#This Row],[Likes]]+Table1_149[[#This Row],[Shares]]+Table1_149[[#This Row],[Comments]])/Table1_149[[#This Row],[Impressions]]</f>
        <v>5.4081095313322801E-2</v>
      </c>
      <c r="Q177" s="81" t="str">
        <f t="shared" si="2"/>
        <v>Before</v>
      </c>
    </row>
    <row r="178" spans="1:17" x14ac:dyDescent="0.3">
      <c r="A178" s="6" t="s">
        <v>230</v>
      </c>
      <c r="B178" s="1" t="s">
        <v>28</v>
      </c>
      <c r="C178" s="7">
        <v>45483</v>
      </c>
      <c r="D178" s="1" t="s">
        <v>36</v>
      </c>
      <c r="E178" s="1" t="s">
        <v>65</v>
      </c>
      <c r="F178" s="1">
        <v>3099</v>
      </c>
      <c r="G178" s="1">
        <v>694</v>
      </c>
      <c r="H178" s="1">
        <v>171</v>
      </c>
      <c r="I178" s="1">
        <v>43386</v>
      </c>
      <c r="J178" s="1">
        <v>42921</v>
      </c>
      <c r="K178" s="1">
        <v>52</v>
      </c>
      <c r="L178" s="1" t="s">
        <v>25</v>
      </c>
      <c r="M178" s="1" t="s">
        <v>359</v>
      </c>
      <c r="N178" s="1" t="s">
        <v>359</v>
      </c>
      <c r="O178" s="8" t="s">
        <v>26</v>
      </c>
      <c r="P178" s="15">
        <f>(Table1_149[[#This Row],[Likes]]+Table1_149[[#This Row],[Shares]]+Table1_149[[#This Row],[Comments]])/Table1_149[[#This Row],[Impressions]]</f>
        <v>9.1365878393951966E-2</v>
      </c>
      <c r="Q178" s="81" t="str">
        <f t="shared" si="2"/>
        <v>Before</v>
      </c>
    </row>
    <row r="179" spans="1:17" x14ac:dyDescent="0.3">
      <c r="A179" s="6" t="s">
        <v>231</v>
      </c>
      <c r="B179" s="1" t="s">
        <v>28</v>
      </c>
      <c r="C179" s="7">
        <v>45603</v>
      </c>
      <c r="D179" s="1" t="s">
        <v>56</v>
      </c>
      <c r="E179" s="1" t="s">
        <v>63</v>
      </c>
      <c r="F179" s="1">
        <v>129</v>
      </c>
      <c r="G179" s="1">
        <v>643</v>
      </c>
      <c r="H179" s="1">
        <v>136</v>
      </c>
      <c r="I179" s="1">
        <v>1290</v>
      </c>
      <c r="J179" s="1">
        <v>839</v>
      </c>
      <c r="K179" s="1">
        <v>238</v>
      </c>
      <c r="L179" s="1" t="s">
        <v>25</v>
      </c>
      <c r="M179" s="1" t="s">
        <v>359</v>
      </c>
      <c r="N179" s="1" t="s">
        <v>359</v>
      </c>
      <c r="O179" s="8" t="s">
        <v>32</v>
      </c>
      <c r="P179" s="15">
        <f>(Table1_149[[#This Row],[Likes]]+Table1_149[[#This Row],[Shares]]+Table1_149[[#This Row],[Comments]])/Table1_149[[#This Row],[Impressions]]</f>
        <v>0.70387596899224802</v>
      </c>
      <c r="Q179" s="81" t="str">
        <f t="shared" si="2"/>
        <v>After</v>
      </c>
    </row>
    <row r="180" spans="1:17" x14ac:dyDescent="0.3">
      <c r="A180" s="6" t="s">
        <v>232</v>
      </c>
      <c r="B180" s="1" t="s">
        <v>35</v>
      </c>
      <c r="C180" s="7">
        <v>45488</v>
      </c>
      <c r="D180" s="1" t="s">
        <v>36</v>
      </c>
      <c r="E180" s="1" t="s">
        <v>37</v>
      </c>
      <c r="F180" s="1">
        <v>3796</v>
      </c>
      <c r="G180" s="1">
        <v>667</v>
      </c>
      <c r="H180" s="1">
        <v>395</v>
      </c>
      <c r="I180" s="1">
        <v>64532</v>
      </c>
      <c r="J180" s="1">
        <v>63550</v>
      </c>
      <c r="K180" s="1">
        <v>292</v>
      </c>
      <c r="L180" s="1" t="s">
        <v>25</v>
      </c>
      <c r="M180" s="1" t="s">
        <v>359</v>
      </c>
      <c r="N180" s="1" t="s">
        <v>359</v>
      </c>
      <c r="O180" s="8" t="s">
        <v>360</v>
      </c>
      <c r="P180" s="15">
        <f>(Table1_149[[#This Row],[Likes]]+Table1_149[[#This Row],[Shares]]+Table1_149[[#This Row],[Comments]])/Table1_149[[#This Row],[Impressions]]</f>
        <v>7.5280481001673588E-2</v>
      </c>
      <c r="Q180" s="81" t="b">
        <f t="shared" si="2"/>
        <v>0</v>
      </c>
    </row>
    <row r="181" spans="1:17" x14ac:dyDescent="0.3">
      <c r="A181" s="6" t="s">
        <v>233</v>
      </c>
      <c r="B181" s="1" t="s">
        <v>23</v>
      </c>
      <c r="C181" s="7">
        <v>45629</v>
      </c>
      <c r="D181" s="1" t="s">
        <v>19</v>
      </c>
      <c r="E181" s="1" t="s">
        <v>73</v>
      </c>
      <c r="F181" s="1">
        <v>3711</v>
      </c>
      <c r="G181" s="1">
        <v>352</v>
      </c>
      <c r="H181" s="1">
        <v>290</v>
      </c>
      <c r="I181" s="1">
        <v>48243</v>
      </c>
      <c r="J181" s="1">
        <v>47579</v>
      </c>
      <c r="K181" s="1">
        <v>11</v>
      </c>
      <c r="L181" s="1" t="s">
        <v>25</v>
      </c>
      <c r="M181" s="1" t="s">
        <v>359</v>
      </c>
      <c r="N181" s="1" t="s">
        <v>359</v>
      </c>
      <c r="O181" s="8" t="s">
        <v>17</v>
      </c>
      <c r="P181" s="15">
        <f>(Table1_149[[#This Row],[Likes]]+Table1_149[[#This Row],[Shares]]+Table1_149[[#This Row],[Comments]])/Table1_149[[#This Row],[Impressions]]</f>
        <v>9.023070704558174E-2</v>
      </c>
      <c r="Q181" s="81" t="str">
        <f t="shared" si="2"/>
        <v>After</v>
      </c>
    </row>
    <row r="182" spans="1:17" x14ac:dyDescent="0.3">
      <c r="A182" s="6" t="s">
        <v>234</v>
      </c>
      <c r="B182" s="1" t="s">
        <v>23</v>
      </c>
      <c r="C182" s="7">
        <v>45737</v>
      </c>
      <c r="D182" s="1" t="s">
        <v>41</v>
      </c>
      <c r="E182" s="1" t="s">
        <v>42</v>
      </c>
      <c r="F182" s="1">
        <v>606</v>
      </c>
      <c r="G182" s="1">
        <v>789</v>
      </c>
      <c r="H182" s="1">
        <v>470</v>
      </c>
      <c r="I182" s="1">
        <v>7878</v>
      </c>
      <c r="J182" s="1">
        <v>7389</v>
      </c>
      <c r="K182" s="1">
        <v>239</v>
      </c>
      <c r="L182" s="1" t="s">
        <v>31</v>
      </c>
      <c r="M182" s="1" t="s">
        <v>359</v>
      </c>
      <c r="N182" s="1" t="s">
        <v>359</v>
      </c>
      <c r="O182" s="8" t="s">
        <v>26</v>
      </c>
      <c r="P182" s="15">
        <f>(Table1_149[[#This Row],[Likes]]+Table1_149[[#This Row],[Shares]]+Table1_149[[#This Row],[Comments]])/Table1_149[[#This Row],[Impressions]]</f>
        <v>0.23673521198273673</v>
      </c>
      <c r="Q182" s="81" t="str">
        <f t="shared" si="2"/>
        <v>Before</v>
      </c>
    </row>
    <row r="183" spans="1:17" x14ac:dyDescent="0.3">
      <c r="A183" s="6" t="s">
        <v>235</v>
      </c>
      <c r="B183" s="1" t="s">
        <v>35</v>
      </c>
      <c r="C183" s="7">
        <v>45504</v>
      </c>
      <c r="D183" s="1" t="s">
        <v>41</v>
      </c>
      <c r="E183" s="1" t="s">
        <v>46</v>
      </c>
      <c r="F183" s="1">
        <v>4689</v>
      </c>
      <c r="G183" s="1">
        <v>134</v>
      </c>
      <c r="H183" s="1">
        <v>403</v>
      </c>
      <c r="I183" s="1">
        <v>51579</v>
      </c>
      <c r="J183" s="1">
        <v>50924</v>
      </c>
      <c r="K183" s="1">
        <v>173</v>
      </c>
      <c r="L183" s="1" t="s">
        <v>25</v>
      </c>
      <c r="M183" s="1" t="s">
        <v>359</v>
      </c>
      <c r="N183" s="1" t="s">
        <v>359</v>
      </c>
      <c r="O183" s="8" t="s">
        <v>32</v>
      </c>
      <c r="P183" s="15">
        <f>(Table1_149[[#This Row],[Likes]]+Table1_149[[#This Row],[Shares]]+Table1_149[[#This Row],[Comments]])/Table1_149[[#This Row],[Impressions]]</f>
        <v>0.10132030477519921</v>
      </c>
      <c r="Q183" s="81" t="str">
        <f t="shared" si="2"/>
        <v>After</v>
      </c>
    </row>
    <row r="184" spans="1:17" x14ac:dyDescent="0.3">
      <c r="A184" s="6" t="s">
        <v>236</v>
      </c>
      <c r="B184" s="1" t="s">
        <v>28</v>
      </c>
      <c r="C184" s="7">
        <v>45643</v>
      </c>
      <c r="D184" s="1" t="s">
        <v>29</v>
      </c>
      <c r="E184" s="1" t="s">
        <v>30</v>
      </c>
      <c r="F184" s="1">
        <v>360</v>
      </c>
      <c r="G184" s="1">
        <v>590</v>
      </c>
      <c r="H184" s="1">
        <v>393</v>
      </c>
      <c r="I184" s="1">
        <v>4680</v>
      </c>
      <c r="J184" s="1">
        <v>4322</v>
      </c>
      <c r="K184" s="1">
        <v>208</v>
      </c>
      <c r="L184" s="1" t="s">
        <v>48</v>
      </c>
      <c r="M184" s="1" t="s">
        <v>359</v>
      </c>
      <c r="N184" s="1" t="s">
        <v>359</v>
      </c>
      <c r="O184" s="8" t="s">
        <v>21</v>
      </c>
      <c r="P184" s="15">
        <f>(Table1_149[[#This Row],[Likes]]+Table1_149[[#This Row],[Shares]]+Table1_149[[#This Row],[Comments]])/Table1_149[[#This Row],[Impressions]]</f>
        <v>0.28696581196581195</v>
      </c>
      <c r="Q184" s="81" t="str">
        <f t="shared" si="2"/>
        <v>Before</v>
      </c>
    </row>
    <row r="185" spans="1:17" x14ac:dyDescent="0.3">
      <c r="A185" s="6" t="s">
        <v>237</v>
      </c>
      <c r="B185" s="1" t="s">
        <v>14</v>
      </c>
      <c r="C185" s="7">
        <v>45501</v>
      </c>
      <c r="D185" s="1" t="s">
        <v>41</v>
      </c>
      <c r="E185" s="1" t="s">
        <v>88</v>
      </c>
      <c r="F185" s="1">
        <v>3215</v>
      </c>
      <c r="G185" s="1">
        <v>960</v>
      </c>
      <c r="H185" s="1">
        <v>202</v>
      </c>
      <c r="I185" s="1">
        <v>32150</v>
      </c>
      <c r="J185" s="1">
        <v>31404</v>
      </c>
      <c r="K185" s="1">
        <v>251</v>
      </c>
      <c r="L185" s="1" t="s">
        <v>31</v>
      </c>
      <c r="M185" s="1" t="s">
        <v>359</v>
      </c>
      <c r="N185" s="1" t="s">
        <v>359</v>
      </c>
      <c r="O185" s="8" t="s">
        <v>17</v>
      </c>
      <c r="P185" s="15">
        <f>(Table1_149[[#This Row],[Likes]]+Table1_149[[#This Row],[Shares]]+Table1_149[[#This Row],[Comments]])/Table1_149[[#This Row],[Impressions]]</f>
        <v>0.13614307931570763</v>
      </c>
      <c r="Q185" s="81" t="str">
        <f t="shared" si="2"/>
        <v>Before</v>
      </c>
    </row>
    <row r="186" spans="1:17" x14ac:dyDescent="0.3">
      <c r="A186" s="6" t="s">
        <v>238</v>
      </c>
      <c r="B186" s="1" t="s">
        <v>28</v>
      </c>
      <c r="C186" s="7">
        <v>45668</v>
      </c>
      <c r="D186" s="1" t="s">
        <v>36</v>
      </c>
      <c r="E186" s="1" t="s">
        <v>65</v>
      </c>
      <c r="F186" s="1">
        <v>4523</v>
      </c>
      <c r="G186" s="1">
        <v>61</v>
      </c>
      <c r="H186" s="1">
        <v>157</v>
      </c>
      <c r="I186" s="1">
        <v>49753</v>
      </c>
      <c r="J186" s="1">
        <v>49329</v>
      </c>
      <c r="K186" s="1">
        <v>71</v>
      </c>
      <c r="L186" s="1" t="s">
        <v>31</v>
      </c>
      <c r="M186" s="1" t="s">
        <v>359</v>
      </c>
      <c r="N186" s="1" t="s">
        <v>359</v>
      </c>
      <c r="O186" s="8" t="s">
        <v>360</v>
      </c>
      <c r="P186" s="15">
        <f>(Table1_149[[#This Row],[Likes]]+Table1_149[[#This Row],[Shares]]+Table1_149[[#This Row],[Comments]])/Table1_149[[#This Row],[Impressions]]</f>
        <v>9.5290736237010829E-2</v>
      </c>
      <c r="Q186" s="81" t="b">
        <f t="shared" si="2"/>
        <v>0</v>
      </c>
    </row>
    <row r="187" spans="1:17" x14ac:dyDescent="0.3">
      <c r="A187" s="6" t="s">
        <v>239</v>
      </c>
      <c r="B187" s="1" t="s">
        <v>35</v>
      </c>
      <c r="C187" s="7">
        <v>45528</v>
      </c>
      <c r="D187" s="1" t="s">
        <v>36</v>
      </c>
      <c r="E187" s="1" t="s">
        <v>37</v>
      </c>
      <c r="F187" s="1">
        <v>4292</v>
      </c>
      <c r="G187" s="1">
        <v>51</v>
      </c>
      <c r="H187" s="1">
        <v>392</v>
      </c>
      <c r="I187" s="1">
        <v>55796</v>
      </c>
      <c r="J187" s="1">
        <v>54826</v>
      </c>
      <c r="K187" s="1">
        <v>264</v>
      </c>
      <c r="L187" s="1" t="s">
        <v>31</v>
      </c>
      <c r="M187" s="1" t="s">
        <v>359</v>
      </c>
      <c r="N187" s="1" t="s">
        <v>359</v>
      </c>
      <c r="O187" s="8" t="s">
        <v>26</v>
      </c>
      <c r="P187" s="15">
        <f>(Table1_149[[#This Row],[Likes]]+Table1_149[[#This Row],[Shares]]+Table1_149[[#This Row],[Comments]])/Table1_149[[#This Row],[Impressions]]</f>
        <v>8.4862714173059003E-2</v>
      </c>
      <c r="Q187" s="81" t="str">
        <f t="shared" si="2"/>
        <v>Before</v>
      </c>
    </row>
    <row r="188" spans="1:17" x14ac:dyDescent="0.3">
      <c r="A188" s="6" t="s">
        <v>240</v>
      </c>
      <c r="B188" s="1" t="s">
        <v>14</v>
      </c>
      <c r="C188" s="7">
        <v>45648</v>
      </c>
      <c r="D188" s="1" t="s">
        <v>15</v>
      </c>
      <c r="E188" s="1" t="s">
        <v>16</v>
      </c>
      <c r="F188" s="1">
        <v>1644</v>
      </c>
      <c r="G188" s="1">
        <v>546</v>
      </c>
      <c r="H188" s="1">
        <v>150</v>
      </c>
      <c r="I188" s="1">
        <v>27948</v>
      </c>
      <c r="J188" s="1">
        <v>27184</v>
      </c>
      <c r="K188" s="1">
        <v>300</v>
      </c>
      <c r="L188" s="1" t="s">
        <v>31</v>
      </c>
      <c r="M188" s="1" t="s">
        <v>359</v>
      </c>
      <c r="N188" s="1" t="s">
        <v>359</v>
      </c>
      <c r="O188" s="8" t="s">
        <v>26</v>
      </c>
      <c r="P188" s="15">
        <f>(Table1_149[[#This Row],[Likes]]+Table1_149[[#This Row],[Shares]]+Table1_149[[#This Row],[Comments]])/Table1_149[[#This Row],[Impressions]]</f>
        <v>8.3726921425504502E-2</v>
      </c>
      <c r="Q188" s="81" t="str">
        <f t="shared" si="2"/>
        <v>Before</v>
      </c>
    </row>
    <row r="189" spans="1:17" x14ac:dyDescent="0.3">
      <c r="A189" s="6" t="s">
        <v>241</v>
      </c>
      <c r="B189" s="1" t="s">
        <v>23</v>
      </c>
      <c r="C189" s="7">
        <v>45449</v>
      </c>
      <c r="D189" s="1" t="s">
        <v>15</v>
      </c>
      <c r="E189" s="1" t="s">
        <v>24</v>
      </c>
      <c r="F189" s="1">
        <v>2728</v>
      </c>
      <c r="G189" s="1">
        <v>533</v>
      </c>
      <c r="H189" s="1">
        <v>215</v>
      </c>
      <c r="I189" s="1">
        <v>40920</v>
      </c>
      <c r="J189" s="1">
        <v>40816</v>
      </c>
      <c r="K189" s="1">
        <v>137</v>
      </c>
      <c r="L189" s="1" t="s">
        <v>48</v>
      </c>
      <c r="M189" s="1" t="s">
        <v>359</v>
      </c>
      <c r="N189" s="1" t="s">
        <v>359</v>
      </c>
      <c r="O189" s="8" t="s">
        <v>21</v>
      </c>
      <c r="P189" s="15">
        <f>(Table1_149[[#This Row],[Likes]]+Table1_149[[#This Row],[Shares]]+Table1_149[[#This Row],[Comments]])/Table1_149[[#This Row],[Impressions]]</f>
        <v>8.4946236559139784E-2</v>
      </c>
      <c r="Q189" s="81" t="str">
        <f t="shared" si="2"/>
        <v>Before</v>
      </c>
    </row>
    <row r="190" spans="1:17" x14ac:dyDescent="0.3">
      <c r="A190" s="6" t="s">
        <v>242</v>
      </c>
      <c r="B190" s="1" t="s">
        <v>35</v>
      </c>
      <c r="C190" s="7">
        <v>45740</v>
      </c>
      <c r="D190" s="1" t="s">
        <v>15</v>
      </c>
      <c r="E190" s="1" t="s">
        <v>50</v>
      </c>
      <c r="F190" s="1">
        <v>3360</v>
      </c>
      <c r="G190" s="1">
        <v>525</v>
      </c>
      <c r="H190" s="1">
        <v>500</v>
      </c>
      <c r="I190" s="1">
        <v>60480</v>
      </c>
      <c r="J190" s="1">
        <v>59610</v>
      </c>
      <c r="K190" s="1">
        <v>192</v>
      </c>
      <c r="L190" s="1" t="s">
        <v>25</v>
      </c>
      <c r="M190" s="1" t="s">
        <v>359</v>
      </c>
      <c r="N190" s="1" t="s">
        <v>359</v>
      </c>
      <c r="O190" s="8" t="s">
        <v>17</v>
      </c>
      <c r="P190" s="15">
        <f>(Table1_149[[#This Row],[Likes]]+Table1_149[[#This Row],[Shares]]+Table1_149[[#This Row],[Comments]])/Table1_149[[#This Row],[Impressions]]</f>
        <v>7.2503306878306875E-2</v>
      </c>
      <c r="Q190" s="81" t="str">
        <f t="shared" si="2"/>
        <v>After</v>
      </c>
    </row>
    <row r="191" spans="1:17" x14ac:dyDescent="0.3">
      <c r="A191" s="6" t="s">
        <v>243</v>
      </c>
      <c r="B191" s="1" t="s">
        <v>23</v>
      </c>
      <c r="C191" s="7">
        <v>45569</v>
      </c>
      <c r="D191" s="1" t="s">
        <v>19</v>
      </c>
      <c r="E191" s="1" t="s">
        <v>73</v>
      </c>
      <c r="F191" s="1">
        <v>1963</v>
      </c>
      <c r="G191" s="1">
        <v>213</v>
      </c>
      <c r="H191" s="1">
        <v>19</v>
      </c>
      <c r="I191" s="1">
        <v>39260</v>
      </c>
      <c r="J191" s="1">
        <v>38771</v>
      </c>
      <c r="K191" s="1">
        <v>145</v>
      </c>
      <c r="L191" s="1" t="s">
        <v>48</v>
      </c>
      <c r="M191" s="1" t="s">
        <v>359</v>
      </c>
      <c r="N191" s="1" t="s">
        <v>359</v>
      </c>
      <c r="O191" s="8" t="s">
        <v>360</v>
      </c>
      <c r="P191" s="15">
        <f>(Table1_149[[#This Row],[Likes]]+Table1_149[[#This Row],[Shares]]+Table1_149[[#This Row],[Comments]])/Table1_149[[#This Row],[Impressions]]</f>
        <v>5.5909322465613857E-2</v>
      </c>
      <c r="Q191" s="81" t="b">
        <f t="shared" si="2"/>
        <v>0</v>
      </c>
    </row>
    <row r="192" spans="1:17" x14ac:dyDescent="0.3">
      <c r="A192" s="6" t="s">
        <v>244</v>
      </c>
      <c r="B192" s="1" t="s">
        <v>23</v>
      </c>
      <c r="C192" s="7">
        <v>45629</v>
      </c>
      <c r="D192" s="1" t="s">
        <v>29</v>
      </c>
      <c r="E192" s="1" t="s">
        <v>101</v>
      </c>
      <c r="F192" s="1">
        <v>4285</v>
      </c>
      <c r="G192" s="1">
        <v>886</v>
      </c>
      <c r="H192" s="1">
        <v>376</v>
      </c>
      <c r="I192" s="1">
        <v>55705</v>
      </c>
      <c r="J192" s="1">
        <v>55556</v>
      </c>
      <c r="K192" s="1">
        <v>51</v>
      </c>
      <c r="L192" s="1" t="s">
        <v>48</v>
      </c>
      <c r="M192" s="1" t="s">
        <v>359</v>
      </c>
      <c r="N192" s="1" t="s">
        <v>359</v>
      </c>
      <c r="O192" s="8" t="s">
        <v>26</v>
      </c>
      <c r="P192" s="15">
        <f>(Table1_149[[#This Row],[Likes]]+Table1_149[[#This Row],[Shares]]+Table1_149[[#This Row],[Comments]])/Table1_149[[#This Row],[Impressions]]</f>
        <v>9.9578134817341346E-2</v>
      </c>
      <c r="Q192" s="81" t="str">
        <f t="shared" si="2"/>
        <v>Before</v>
      </c>
    </row>
    <row r="193" spans="1:17" x14ac:dyDescent="0.3">
      <c r="A193" s="6" t="s">
        <v>245</v>
      </c>
      <c r="B193" s="1" t="s">
        <v>28</v>
      </c>
      <c r="C193" s="7">
        <v>45625</v>
      </c>
      <c r="D193" s="1" t="s">
        <v>56</v>
      </c>
      <c r="E193" s="1" t="s">
        <v>63</v>
      </c>
      <c r="F193" s="1">
        <v>1176</v>
      </c>
      <c r="G193" s="1">
        <v>464</v>
      </c>
      <c r="H193" s="1">
        <v>394</v>
      </c>
      <c r="I193" s="1">
        <v>14112</v>
      </c>
      <c r="J193" s="1">
        <v>13588</v>
      </c>
      <c r="K193" s="1">
        <v>272</v>
      </c>
      <c r="L193" s="1" t="s">
        <v>31</v>
      </c>
      <c r="M193" s="1" t="s">
        <v>359</v>
      </c>
      <c r="N193" s="1" t="s">
        <v>359</v>
      </c>
      <c r="O193" s="8" t="s">
        <v>360</v>
      </c>
      <c r="P193" s="15">
        <f>(Table1_149[[#This Row],[Likes]]+Table1_149[[#This Row],[Shares]]+Table1_149[[#This Row],[Comments]])/Table1_149[[#This Row],[Impressions]]</f>
        <v>0.1441326530612245</v>
      </c>
      <c r="Q193" s="81" t="b">
        <f t="shared" si="2"/>
        <v>0</v>
      </c>
    </row>
    <row r="194" spans="1:17" x14ac:dyDescent="0.3">
      <c r="A194" s="6" t="s">
        <v>246</v>
      </c>
      <c r="B194" s="1" t="s">
        <v>14</v>
      </c>
      <c r="C194" s="7">
        <v>45546</v>
      </c>
      <c r="D194" s="1" t="s">
        <v>41</v>
      </c>
      <c r="E194" s="1" t="s">
        <v>88</v>
      </c>
      <c r="F194" s="1">
        <v>4858</v>
      </c>
      <c r="G194" s="1">
        <v>317</v>
      </c>
      <c r="H194" s="1">
        <v>129</v>
      </c>
      <c r="I194" s="1">
        <v>53438</v>
      </c>
      <c r="J194" s="1">
        <v>52687</v>
      </c>
      <c r="K194" s="1">
        <v>223</v>
      </c>
      <c r="L194" s="1" t="s">
        <v>31</v>
      </c>
      <c r="M194" s="1" t="s">
        <v>359</v>
      </c>
      <c r="N194" s="1" t="s">
        <v>359</v>
      </c>
      <c r="O194" s="8" t="s">
        <v>26</v>
      </c>
      <c r="P194" s="15">
        <f>(Table1_149[[#This Row],[Likes]]+Table1_149[[#This Row],[Shares]]+Table1_149[[#This Row],[Comments]])/Table1_149[[#This Row],[Impressions]]</f>
        <v>9.9255211647142488E-2</v>
      </c>
      <c r="Q194" s="81" t="str">
        <f t="shared" ref="Q194:Q257" si="3">IF(O:O="CybertruckLaunch",
     IF(AND(C:C&gt;=DATE(2024,10,15),C:C&lt;=DATE(2024,11,10)),"During",
        IF(C:C&lt;DATE(2024,10,15),"Before","After")),
 IF(O:O="ModelYCampaign",
     IF(AND(C:C&gt;=DATE(2025,3,1),C:C&lt;=DATE(2025,3,20)),"During",
        IF(C:C&lt;DATE(2025,3,1),"Before","After")),
 IF(O:O="SustainabilityDrive",
     IF(AND(C:C&gt;=DATE(2024,6,10),C:C&lt;=DATE(2024,6,25)),"During",
        IF(C:C&lt;DATE(2024,6,10),"Before","After")),
 IF(O:O="FSDUpdate",
     IF(AND(C:C&gt;=DATE(2025,5,1),C:C&lt;=DATE(2025,5,15)),"During",
        IF(C:C&lt;DATE(2025,5,1),"Before","After"))))))</f>
        <v>Before</v>
      </c>
    </row>
    <row r="195" spans="1:17" x14ac:dyDescent="0.3">
      <c r="A195" s="6" t="s">
        <v>247</v>
      </c>
      <c r="B195" s="1" t="s">
        <v>23</v>
      </c>
      <c r="C195" s="7">
        <v>45567</v>
      </c>
      <c r="D195" s="1" t="s">
        <v>29</v>
      </c>
      <c r="E195" s="1" t="s">
        <v>101</v>
      </c>
      <c r="F195" s="1">
        <v>4350</v>
      </c>
      <c r="G195" s="1">
        <v>771</v>
      </c>
      <c r="H195" s="1">
        <v>7</v>
      </c>
      <c r="I195" s="1">
        <v>60900</v>
      </c>
      <c r="J195" s="1">
        <v>60592</v>
      </c>
      <c r="K195" s="1">
        <v>195</v>
      </c>
      <c r="L195" s="1" t="s">
        <v>31</v>
      </c>
      <c r="M195" s="1" t="s">
        <v>359</v>
      </c>
      <c r="N195" s="1" t="s">
        <v>359</v>
      </c>
      <c r="O195" s="8" t="s">
        <v>17</v>
      </c>
      <c r="P195" s="15">
        <f>(Table1_149[[#This Row],[Likes]]+Table1_149[[#This Row],[Shares]]+Table1_149[[#This Row],[Comments]])/Table1_149[[#This Row],[Impressions]]</f>
        <v>8.4203612479474554E-2</v>
      </c>
      <c r="Q195" s="81" t="str">
        <f t="shared" si="3"/>
        <v>Before</v>
      </c>
    </row>
    <row r="196" spans="1:17" x14ac:dyDescent="0.3">
      <c r="A196" s="6" t="s">
        <v>248</v>
      </c>
      <c r="B196" s="1" t="s">
        <v>28</v>
      </c>
      <c r="C196" s="7">
        <v>45519</v>
      </c>
      <c r="D196" s="1" t="s">
        <v>36</v>
      </c>
      <c r="E196" s="1" t="s">
        <v>65</v>
      </c>
      <c r="F196" s="1">
        <v>914</v>
      </c>
      <c r="G196" s="1">
        <v>464</v>
      </c>
      <c r="H196" s="1">
        <v>246</v>
      </c>
      <c r="I196" s="1">
        <v>11882</v>
      </c>
      <c r="J196" s="1">
        <v>11500</v>
      </c>
      <c r="K196" s="1">
        <v>282</v>
      </c>
      <c r="L196" s="1" t="s">
        <v>48</v>
      </c>
      <c r="M196" s="1" t="s">
        <v>25</v>
      </c>
      <c r="N196" s="1" t="s">
        <v>354</v>
      </c>
      <c r="O196" s="8" t="s">
        <v>32</v>
      </c>
      <c r="P196" s="15">
        <f>(Table1_149[[#This Row],[Likes]]+Table1_149[[#This Row],[Shares]]+Table1_149[[#This Row],[Comments]])/Table1_149[[#This Row],[Impressions]]</f>
        <v>0.13667732704931829</v>
      </c>
      <c r="Q196" s="81" t="str">
        <f t="shared" si="3"/>
        <v>After</v>
      </c>
    </row>
    <row r="197" spans="1:17" x14ac:dyDescent="0.3">
      <c r="A197" s="6" t="s">
        <v>249</v>
      </c>
      <c r="B197" s="1" t="s">
        <v>28</v>
      </c>
      <c r="C197" s="7">
        <v>45645</v>
      </c>
      <c r="D197" s="1" t="s">
        <v>19</v>
      </c>
      <c r="E197" s="1" t="s">
        <v>78</v>
      </c>
      <c r="F197" s="1">
        <v>1813</v>
      </c>
      <c r="G197" s="1">
        <v>623</v>
      </c>
      <c r="H197" s="1">
        <v>72</v>
      </c>
      <c r="I197" s="1">
        <v>19943</v>
      </c>
      <c r="J197" s="1">
        <v>18959</v>
      </c>
      <c r="K197" s="1">
        <v>85</v>
      </c>
      <c r="L197" s="1" t="s">
        <v>31</v>
      </c>
      <c r="M197" s="1" t="s">
        <v>359</v>
      </c>
      <c r="N197" s="1" t="s">
        <v>359</v>
      </c>
      <c r="O197" s="8" t="s">
        <v>26</v>
      </c>
      <c r="P197" s="15">
        <f>(Table1_149[[#This Row],[Likes]]+Table1_149[[#This Row],[Shares]]+Table1_149[[#This Row],[Comments]])/Table1_149[[#This Row],[Impressions]]</f>
        <v>0.12575841147269717</v>
      </c>
      <c r="Q197" s="81" t="str">
        <f t="shared" si="3"/>
        <v>Before</v>
      </c>
    </row>
    <row r="198" spans="1:17" x14ac:dyDescent="0.3">
      <c r="A198" s="6" t="s">
        <v>250</v>
      </c>
      <c r="B198" s="1" t="s">
        <v>14</v>
      </c>
      <c r="C198" s="7">
        <v>45587</v>
      </c>
      <c r="D198" s="1" t="s">
        <v>15</v>
      </c>
      <c r="E198" s="1" t="s">
        <v>16</v>
      </c>
      <c r="F198" s="1">
        <v>4782</v>
      </c>
      <c r="G198" s="1">
        <v>721</v>
      </c>
      <c r="H198" s="1">
        <v>82</v>
      </c>
      <c r="I198" s="1">
        <v>86076</v>
      </c>
      <c r="J198" s="1">
        <v>85339</v>
      </c>
      <c r="K198" s="1">
        <v>19</v>
      </c>
      <c r="L198" s="1" t="s">
        <v>31</v>
      </c>
      <c r="M198" s="1" t="s">
        <v>359</v>
      </c>
      <c r="N198" s="1" t="s">
        <v>359</v>
      </c>
      <c r="O198" s="8" t="s">
        <v>17</v>
      </c>
      <c r="P198" s="15">
        <f>(Table1_149[[#This Row],[Likes]]+Table1_149[[#This Row],[Shares]]+Table1_149[[#This Row],[Comments]])/Table1_149[[#This Row],[Impressions]]</f>
        <v>6.4884520656164318E-2</v>
      </c>
      <c r="Q198" s="81" t="str">
        <f t="shared" si="3"/>
        <v>During</v>
      </c>
    </row>
    <row r="199" spans="1:17" x14ac:dyDescent="0.3">
      <c r="A199" s="6" t="s">
        <v>251</v>
      </c>
      <c r="B199" s="1" t="s">
        <v>14</v>
      </c>
      <c r="C199" s="7">
        <v>45549</v>
      </c>
      <c r="D199" s="1" t="s">
        <v>41</v>
      </c>
      <c r="E199" s="1" t="s">
        <v>88</v>
      </c>
      <c r="F199" s="1">
        <v>1048</v>
      </c>
      <c r="G199" s="1">
        <v>374</v>
      </c>
      <c r="H199" s="1">
        <v>450</v>
      </c>
      <c r="I199" s="1">
        <v>9432</v>
      </c>
      <c r="J199" s="1">
        <v>8882</v>
      </c>
      <c r="K199" s="1">
        <v>158</v>
      </c>
      <c r="L199" s="1" t="s">
        <v>25</v>
      </c>
      <c r="M199" s="1" t="s">
        <v>359</v>
      </c>
      <c r="N199" s="1" t="s">
        <v>359</v>
      </c>
      <c r="O199" s="8" t="s">
        <v>26</v>
      </c>
      <c r="P199" s="15">
        <f>(Table1_149[[#This Row],[Likes]]+Table1_149[[#This Row],[Shares]]+Table1_149[[#This Row],[Comments]])/Table1_149[[#This Row],[Impressions]]</f>
        <v>0.19847328244274809</v>
      </c>
      <c r="Q199" s="81" t="str">
        <f t="shared" si="3"/>
        <v>Before</v>
      </c>
    </row>
    <row r="200" spans="1:17" x14ac:dyDescent="0.3">
      <c r="A200" s="6" t="s">
        <v>252</v>
      </c>
      <c r="B200" s="1" t="s">
        <v>23</v>
      </c>
      <c r="C200" s="7">
        <v>45626</v>
      </c>
      <c r="D200" s="1" t="s">
        <v>36</v>
      </c>
      <c r="E200" s="1" t="s">
        <v>52</v>
      </c>
      <c r="F200" s="1">
        <v>2509</v>
      </c>
      <c r="G200" s="1">
        <v>324</v>
      </c>
      <c r="H200" s="1">
        <v>171</v>
      </c>
      <c r="I200" s="1">
        <v>35126</v>
      </c>
      <c r="J200" s="1">
        <v>34685</v>
      </c>
      <c r="K200" s="1">
        <v>277</v>
      </c>
      <c r="L200" s="1" t="s">
        <v>25</v>
      </c>
      <c r="M200" s="1" t="s">
        <v>359</v>
      </c>
      <c r="N200" s="1" t="s">
        <v>359</v>
      </c>
      <c r="O200" s="8" t="s">
        <v>21</v>
      </c>
      <c r="P200" s="15">
        <f>(Table1_149[[#This Row],[Likes]]+Table1_149[[#This Row],[Shares]]+Table1_149[[#This Row],[Comments]])/Table1_149[[#This Row],[Impressions]]</f>
        <v>8.5520696919660646E-2</v>
      </c>
      <c r="Q200" s="81" t="str">
        <f t="shared" si="3"/>
        <v>Before</v>
      </c>
    </row>
    <row r="201" spans="1:17" x14ac:dyDescent="0.3">
      <c r="A201" s="6" t="s">
        <v>253</v>
      </c>
      <c r="B201" s="1" t="s">
        <v>35</v>
      </c>
      <c r="C201" s="7">
        <v>45754</v>
      </c>
      <c r="D201" s="1" t="s">
        <v>15</v>
      </c>
      <c r="E201" s="1" t="s">
        <v>50</v>
      </c>
      <c r="F201" s="1">
        <v>3718</v>
      </c>
      <c r="G201" s="1">
        <v>385</v>
      </c>
      <c r="H201" s="1">
        <v>310</v>
      </c>
      <c r="I201" s="1">
        <v>70642</v>
      </c>
      <c r="J201" s="1">
        <v>69749</v>
      </c>
      <c r="K201" s="1">
        <v>233</v>
      </c>
      <c r="L201" s="1" t="s">
        <v>25</v>
      </c>
      <c r="M201" s="1" t="s">
        <v>359</v>
      </c>
      <c r="N201" s="1" t="s">
        <v>359</v>
      </c>
      <c r="O201" s="8" t="s">
        <v>21</v>
      </c>
      <c r="P201" s="15">
        <f>(Table1_149[[#This Row],[Likes]]+Table1_149[[#This Row],[Shares]]+Table1_149[[#This Row],[Comments]])/Table1_149[[#This Row],[Impressions]]</f>
        <v>6.246991874522239E-2</v>
      </c>
      <c r="Q201" s="81" t="str">
        <f t="shared" si="3"/>
        <v>After</v>
      </c>
    </row>
    <row r="202" spans="1:17" x14ac:dyDescent="0.3">
      <c r="A202" s="6" t="s">
        <v>254</v>
      </c>
      <c r="B202" s="1" t="s">
        <v>14</v>
      </c>
      <c r="C202" s="7">
        <v>45672</v>
      </c>
      <c r="D202" s="1" t="s">
        <v>15</v>
      </c>
      <c r="E202" s="1" t="s">
        <v>16</v>
      </c>
      <c r="F202" s="1">
        <v>802</v>
      </c>
      <c r="G202" s="1">
        <v>262</v>
      </c>
      <c r="H202" s="1">
        <v>244</v>
      </c>
      <c r="I202" s="1">
        <v>14436</v>
      </c>
      <c r="J202" s="1">
        <v>14280</v>
      </c>
      <c r="K202" s="1">
        <v>49</v>
      </c>
      <c r="L202" s="1" t="s">
        <v>31</v>
      </c>
      <c r="M202" s="1" t="s">
        <v>359</v>
      </c>
      <c r="N202" s="1" t="s">
        <v>359</v>
      </c>
      <c r="O202" s="8" t="s">
        <v>17</v>
      </c>
      <c r="P202" s="15">
        <f>(Table1_149[[#This Row],[Likes]]+Table1_149[[#This Row],[Shares]]+Table1_149[[#This Row],[Comments]])/Table1_149[[#This Row],[Impressions]]</f>
        <v>9.0606816292601824E-2</v>
      </c>
      <c r="Q202" s="81" t="str">
        <f t="shared" si="3"/>
        <v>After</v>
      </c>
    </row>
    <row r="203" spans="1:17" x14ac:dyDescent="0.3">
      <c r="A203" s="6" t="s">
        <v>255</v>
      </c>
      <c r="B203" s="1" t="s">
        <v>35</v>
      </c>
      <c r="C203" s="7">
        <v>45445</v>
      </c>
      <c r="D203" s="1" t="s">
        <v>41</v>
      </c>
      <c r="E203" s="1" t="s">
        <v>46</v>
      </c>
      <c r="F203" s="1">
        <v>1871</v>
      </c>
      <c r="G203" s="1">
        <v>252</v>
      </c>
      <c r="H203" s="1">
        <v>335</v>
      </c>
      <c r="I203" s="1">
        <v>29936</v>
      </c>
      <c r="J203" s="1">
        <v>29576</v>
      </c>
      <c r="K203" s="1">
        <v>288</v>
      </c>
      <c r="L203" s="1" t="s">
        <v>31</v>
      </c>
      <c r="M203" s="1" t="s">
        <v>359</v>
      </c>
      <c r="N203" s="1" t="s">
        <v>359</v>
      </c>
      <c r="O203" s="8" t="s">
        <v>26</v>
      </c>
      <c r="P203" s="15">
        <f>(Table1_149[[#This Row],[Likes]]+Table1_149[[#This Row],[Shares]]+Table1_149[[#This Row],[Comments]])/Table1_149[[#This Row],[Impressions]]</f>
        <v>8.2108498129342594E-2</v>
      </c>
      <c r="Q203" s="81" t="str">
        <f t="shared" si="3"/>
        <v>Before</v>
      </c>
    </row>
    <row r="204" spans="1:17" x14ac:dyDescent="0.3">
      <c r="A204" s="6" t="s">
        <v>256</v>
      </c>
      <c r="B204" s="1" t="s">
        <v>28</v>
      </c>
      <c r="C204" s="7">
        <v>45617</v>
      </c>
      <c r="D204" s="1" t="s">
        <v>36</v>
      </c>
      <c r="E204" s="1" t="s">
        <v>65</v>
      </c>
      <c r="F204" s="1">
        <v>3773</v>
      </c>
      <c r="G204" s="1">
        <v>299</v>
      </c>
      <c r="H204" s="1">
        <v>38</v>
      </c>
      <c r="I204" s="1">
        <v>71687</v>
      </c>
      <c r="J204" s="1">
        <v>71447</v>
      </c>
      <c r="K204" s="1">
        <v>286</v>
      </c>
      <c r="L204" s="1" t="s">
        <v>48</v>
      </c>
      <c r="M204" s="1" t="s">
        <v>359</v>
      </c>
      <c r="N204" s="1" t="s">
        <v>359</v>
      </c>
      <c r="O204" s="8" t="s">
        <v>17</v>
      </c>
      <c r="P204" s="15">
        <f>(Table1_149[[#This Row],[Likes]]+Table1_149[[#This Row],[Shares]]+Table1_149[[#This Row],[Comments]])/Table1_149[[#This Row],[Impressions]]</f>
        <v>5.7332570758993957E-2</v>
      </c>
      <c r="Q204" s="81" t="str">
        <f t="shared" si="3"/>
        <v>After</v>
      </c>
    </row>
    <row r="205" spans="1:17" x14ac:dyDescent="0.3">
      <c r="A205" s="6" t="s">
        <v>257</v>
      </c>
      <c r="B205" s="1" t="s">
        <v>28</v>
      </c>
      <c r="C205" s="7">
        <v>45658</v>
      </c>
      <c r="D205" s="1" t="s">
        <v>36</v>
      </c>
      <c r="E205" s="1" t="s">
        <v>65</v>
      </c>
      <c r="F205" s="1">
        <v>2234</v>
      </c>
      <c r="G205" s="1">
        <v>653</v>
      </c>
      <c r="H205" s="1">
        <v>432</v>
      </c>
      <c r="I205" s="1">
        <v>11170</v>
      </c>
      <c r="J205" s="1">
        <v>10569</v>
      </c>
      <c r="K205" s="1">
        <v>198</v>
      </c>
      <c r="L205" s="1" t="s">
        <v>48</v>
      </c>
      <c r="M205" s="1" t="s">
        <v>359</v>
      </c>
      <c r="N205" s="1" t="s">
        <v>359</v>
      </c>
      <c r="O205" s="8" t="s">
        <v>26</v>
      </c>
      <c r="P205" s="15">
        <f>(Table1_149[[#This Row],[Likes]]+Table1_149[[#This Row],[Shares]]+Table1_149[[#This Row],[Comments]])/Table1_149[[#This Row],[Impressions]]</f>
        <v>0.29713518352730528</v>
      </c>
      <c r="Q205" s="81" t="str">
        <f t="shared" si="3"/>
        <v>Before</v>
      </c>
    </row>
    <row r="206" spans="1:17" x14ac:dyDescent="0.3">
      <c r="A206" s="6" t="s">
        <v>258</v>
      </c>
      <c r="B206" s="1" t="s">
        <v>14</v>
      </c>
      <c r="C206" s="7">
        <v>45771</v>
      </c>
      <c r="D206" s="1" t="s">
        <v>56</v>
      </c>
      <c r="E206" s="1" t="s">
        <v>95</v>
      </c>
      <c r="F206" s="1">
        <v>3820</v>
      </c>
      <c r="G206" s="1">
        <v>697</v>
      </c>
      <c r="H206" s="1">
        <v>268</v>
      </c>
      <c r="I206" s="1">
        <v>45840</v>
      </c>
      <c r="J206" s="1">
        <v>45631</v>
      </c>
      <c r="K206" s="1">
        <v>171</v>
      </c>
      <c r="L206" s="1" t="s">
        <v>25</v>
      </c>
      <c r="M206" s="1" t="s">
        <v>356</v>
      </c>
      <c r="N206" s="1" t="s">
        <v>359</v>
      </c>
      <c r="O206" s="8" t="s">
        <v>32</v>
      </c>
      <c r="P206" s="15">
        <f>(Table1_149[[#This Row],[Likes]]+Table1_149[[#This Row],[Shares]]+Table1_149[[#This Row],[Comments]])/Table1_149[[#This Row],[Impressions]]</f>
        <v>0.1043848167539267</v>
      </c>
      <c r="Q206" s="81" t="str">
        <f t="shared" si="3"/>
        <v>After</v>
      </c>
    </row>
    <row r="207" spans="1:17" x14ac:dyDescent="0.3">
      <c r="A207" s="6" t="s">
        <v>259</v>
      </c>
      <c r="B207" s="1" t="s">
        <v>14</v>
      </c>
      <c r="C207" s="7">
        <v>45467</v>
      </c>
      <c r="D207" s="1" t="s">
        <v>19</v>
      </c>
      <c r="E207" s="1" t="s">
        <v>20</v>
      </c>
      <c r="F207" s="1">
        <v>941</v>
      </c>
      <c r="G207" s="1">
        <v>121</v>
      </c>
      <c r="H207" s="1">
        <v>458</v>
      </c>
      <c r="I207" s="1">
        <v>14115</v>
      </c>
      <c r="J207" s="1">
        <v>13838</v>
      </c>
      <c r="K207" s="1">
        <v>87</v>
      </c>
      <c r="L207" s="1" t="s">
        <v>31</v>
      </c>
      <c r="M207" s="1" t="s">
        <v>359</v>
      </c>
      <c r="N207" s="1" t="s">
        <v>359</v>
      </c>
      <c r="O207" s="8" t="s">
        <v>17</v>
      </c>
      <c r="P207" s="15">
        <f>(Table1_149[[#This Row],[Likes]]+Table1_149[[#This Row],[Shares]]+Table1_149[[#This Row],[Comments]])/Table1_149[[#This Row],[Impressions]]</f>
        <v>0.10768685795253277</v>
      </c>
      <c r="Q207" s="81" t="str">
        <f t="shared" si="3"/>
        <v>Before</v>
      </c>
    </row>
    <row r="208" spans="1:17" x14ac:dyDescent="0.3">
      <c r="A208" s="6" t="s">
        <v>260</v>
      </c>
      <c r="B208" s="1" t="s">
        <v>14</v>
      </c>
      <c r="C208" s="7">
        <v>45655</v>
      </c>
      <c r="D208" s="1" t="s">
        <v>36</v>
      </c>
      <c r="E208" s="1" t="s">
        <v>39</v>
      </c>
      <c r="F208" s="1">
        <v>4274</v>
      </c>
      <c r="G208" s="1">
        <v>340</v>
      </c>
      <c r="H208" s="1">
        <v>281</v>
      </c>
      <c r="I208" s="1">
        <v>34192</v>
      </c>
      <c r="J208" s="1">
        <v>33446</v>
      </c>
      <c r="K208" s="1">
        <v>129</v>
      </c>
      <c r="L208" s="1" t="s">
        <v>25</v>
      </c>
      <c r="M208" s="1" t="s">
        <v>356</v>
      </c>
      <c r="N208" s="1" t="s">
        <v>359</v>
      </c>
      <c r="O208" s="8" t="s">
        <v>26</v>
      </c>
      <c r="P208" s="15">
        <f>(Table1_149[[#This Row],[Likes]]+Table1_149[[#This Row],[Shares]]+Table1_149[[#This Row],[Comments]])/Table1_149[[#This Row],[Impressions]]</f>
        <v>0.14316214319138981</v>
      </c>
      <c r="Q208" s="81" t="str">
        <f t="shared" si="3"/>
        <v>Before</v>
      </c>
    </row>
    <row r="209" spans="1:17" x14ac:dyDescent="0.3">
      <c r="A209" s="6" t="s">
        <v>261</v>
      </c>
      <c r="B209" s="1" t="s">
        <v>23</v>
      </c>
      <c r="C209" s="7">
        <v>45467</v>
      </c>
      <c r="D209" s="1" t="s">
        <v>56</v>
      </c>
      <c r="E209" s="1" t="s">
        <v>136</v>
      </c>
      <c r="F209" s="1">
        <v>2949</v>
      </c>
      <c r="G209" s="1">
        <v>476</v>
      </c>
      <c r="H209" s="1">
        <v>403</v>
      </c>
      <c r="I209" s="1">
        <v>44235</v>
      </c>
      <c r="J209" s="1">
        <v>43705</v>
      </c>
      <c r="K209" s="1">
        <v>135</v>
      </c>
      <c r="L209" s="1" t="s">
        <v>25</v>
      </c>
      <c r="M209" s="1" t="s">
        <v>359</v>
      </c>
      <c r="N209" s="1" t="s">
        <v>359</v>
      </c>
      <c r="O209" s="8" t="s">
        <v>21</v>
      </c>
      <c r="P209" s="15">
        <f>(Table1_149[[#This Row],[Likes]]+Table1_149[[#This Row],[Shares]]+Table1_149[[#This Row],[Comments]])/Table1_149[[#This Row],[Impressions]]</f>
        <v>8.6537809426924378E-2</v>
      </c>
      <c r="Q209" s="81" t="str">
        <f t="shared" si="3"/>
        <v>Before</v>
      </c>
    </row>
    <row r="210" spans="1:17" x14ac:dyDescent="0.3">
      <c r="A210" s="6" t="s">
        <v>262</v>
      </c>
      <c r="B210" s="1" t="s">
        <v>14</v>
      </c>
      <c r="C210" s="7">
        <v>45735</v>
      </c>
      <c r="D210" s="1" t="s">
        <v>56</v>
      </c>
      <c r="E210" s="1" t="s">
        <v>95</v>
      </c>
      <c r="F210" s="1">
        <v>3160</v>
      </c>
      <c r="G210" s="1">
        <v>204</v>
      </c>
      <c r="H210" s="1">
        <v>297</v>
      </c>
      <c r="I210" s="1">
        <v>44240</v>
      </c>
      <c r="J210" s="1">
        <v>43666</v>
      </c>
      <c r="K210" s="1">
        <v>49</v>
      </c>
      <c r="L210" s="1" t="s">
        <v>48</v>
      </c>
      <c r="M210" s="1" t="s">
        <v>354</v>
      </c>
      <c r="N210" s="1" t="s">
        <v>359</v>
      </c>
      <c r="O210" s="8" t="s">
        <v>32</v>
      </c>
      <c r="P210" s="15">
        <f>(Table1_149[[#This Row],[Likes]]+Table1_149[[#This Row],[Shares]]+Table1_149[[#This Row],[Comments]])/Table1_149[[#This Row],[Impressions]]</f>
        <v>8.2753164556962022E-2</v>
      </c>
      <c r="Q210" s="81" t="str">
        <f t="shared" si="3"/>
        <v>After</v>
      </c>
    </row>
    <row r="211" spans="1:17" x14ac:dyDescent="0.3">
      <c r="A211" s="6" t="s">
        <v>263</v>
      </c>
      <c r="B211" s="1" t="s">
        <v>23</v>
      </c>
      <c r="C211" s="7">
        <v>45707</v>
      </c>
      <c r="D211" s="1" t="s">
        <v>41</v>
      </c>
      <c r="E211" s="1" t="s">
        <v>42</v>
      </c>
      <c r="F211" s="1">
        <v>257</v>
      </c>
      <c r="G211" s="1">
        <v>966</v>
      </c>
      <c r="H211" s="1">
        <v>398</v>
      </c>
      <c r="I211" s="1">
        <v>3341</v>
      </c>
      <c r="J211" s="1">
        <v>2753</v>
      </c>
      <c r="K211" s="1">
        <v>287</v>
      </c>
      <c r="L211" s="1" t="s">
        <v>48</v>
      </c>
      <c r="M211" s="1" t="s">
        <v>359</v>
      </c>
      <c r="N211" s="1" t="s">
        <v>359</v>
      </c>
      <c r="O211" s="8" t="s">
        <v>17</v>
      </c>
      <c r="P211" s="15">
        <f>(Table1_149[[#This Row],[Likes]]+Table1_149[[#This Row],[Shares]]+Table1_149[[#This Row],[Comments]])/Table1_149[[#This Row],[Impressions]]</f>
        <v>0.48518407662376534</v>
      </c>
      <c r="Q211" s="81" t="str">
        <f t="shared" si="3"/>
        <v>After</v>
      </c>
    </row>
    <row r="212" spans="1:17" x14ac:dyDescent="0.3">
      <c r="A212" s="6" t="s">
        <v>264</v>
      </c>
      <c r="B212" s="1" t="s">
        <v>14</v>
      </c>
      <c r="C212" s="7">
        <v>45491</v>
      </c>
      <c r="D212" s="1" t="s">
        <v>36</v>
      </c>
      <c r="E212" s="1" t="s">
        <v>39</v>
      </c>
      <c r="F212" s="1">
        <v>2120</v>
      </c>
      <c r="G212" s="1">
        <v>38</v>
      </c>
      <c r="H212" s="1">
        <v>212</v>
      </c>
      <c r="I212" s="1">
        <v>12720</v>
      </c>
      <c r="J212" s="1">
        <v>12564</v>
      </c>
      <c r="K212" s="1">
        <v>21</v>
      </c>
      <c r="L212" s="1" t="s">
        <v>48</v>
      </c>
      <c r="M212" s="1" t="s">
        <v>359</v>
      </c>
      <c r="N212" s="1" t="s">
        <v>359</v>
      </c>
      <c r="O212" s="8" t="s">
        <v>32</v>
      </c>
      <c r="P212" s="15">
        <f>(Table1_149[[#This Row],[Likes]]+Table1_149[[#This Row],[Shares]]+Table1_149[[#This Row],[Comments]])/Table1_149[[#This Row],[Impressions]]</f>
        <v>0.18632075471698112</v>
      </c>
      <c r="Q212" s="81" t="str">
        <f t="shared" si="3"/>
        <v>After</v>
      </c>
    </row>
    <row r="213" spans="1:17" x14ac:dyDescent="0.3">
      <c r="A213" s="6" t="s">
        <v>265</v>
      </c>
      <c r="B213" s="1" t="s">
        <v>23</v>
      </c>
      <c r="C213" s="7">
        <v>45719</v>
      </c>
      <c r="D213" s="1" t="s">
        <v>56</v>
      </c>
      <c r="E213" s="1" t="s">
        <v>136</v>
      </c>
      <c r="F213" s="1">
        <v>3874</v>
      </c>
      <c r="G213" s="1">
        <v>884</v>
      </c>
      <c r="H213" s="1">
        <v>19</v>
      </c>
      <c r="I213" s="1">
        <v>38740</v>
      </c>
      <c r="J213" s="1">
        <v>38552</v>
      </c>
      <c r="K213" s="1">
        <v>219</v>
      </c>
      <c r="L213" s="1" t="s">
        <v>25</v>
      </c>
      <c r="M213" s="1" t="s">
        <v>359</v>
      </c>
      <c r="N213" s="1" t="s">
        <v>359</v>
      </c>
      <c r="O213" s="8" t="s">
        <v>21</v>
      </c>
      <c r="P213" s="15">
        <f>(Table1_149[[#This Row],[Likes]]+Table1_149[[#This Row],[Shares]]+Table1_149[[#This Row],[Comments]])/Table1_149[[#This Row],[Impressions]]</f>
        <v>0.123309241094476</v>
      </c>
      <c r="Q213" s="81" t="str">
        <f t="shared" si="3"/>
        <v>During</v>
      </c>
    </row>
    <row r="214" spans="1:17" x14ac:dyDescent="0.3">
      <c r="A214" s="6" t="s">
        <v>266</v>
      </c>
      <c r="B214" s="1" t="s">
        <v>35</v>
      </c>
      <c r="C214" s="7">
        <v>45778</v>
      </c>
      <c r="D214" s="1" t="s">
        <v>36</v>
      </c>
      <c r="E214" s="1" t="s">
        <v>37</v>
      </c>
      <c r="F214" s="1">
        <v>2696</v>
      </c>
      <c r="G214" s="1">
        <v>628</v>
      </c>
      <c r="H214" s="1">
        <v>443</v>
      </c>
      <c r="I214" s="1">
        <v>45832</v>
      </c>
      <c r="J214" s="1">
        <v>45632</v>
      </c>
      <c r="K214" s="1">
        <v>248</v>
      </c>
      <c r="L214" s="1" t="s">
        <v>31</v>
      </c>
      <c r="M214" s="1" t="s">
        <v>359</v>
      </c>
      <c r="N214" s="1" t="s">
        <v>359</v>
      </c>
      <c r="O214" s="8" t="s">
        <v>32</v>
      </c>
      <c r="P214" s="15">
        <f>(Table1_149[[#This Row],[Likes]]+Table1_149[[#This Row],[Shares]]+Table1_149[[#This Row],[Comments]])/Table1_149[[#This Row],[Impressions]]</f>
        <v>8.21914819340199E-2</v>
      </c>
      <c r="Q214" s="81" t="str">
        <f t="shared" si="3"/>
        <v>After</v>
      </c>
    </row>
    <row r="215" spans="1:17" x14ac:dyDescent="0.3">
      <c r="A215" s="6" t="s">
        <v>267</v>
      </c>
      <c r="B215" s="1" t="s">
        <v>28</v>
      </c>
      <c r="C215" s="7">
        <v>45649</v>
      </c>
      <c r="D215" s="1" t="s">
        <v>41</v>
      </c>
      <c r="E215" s="1" t="s">
        <v>134</v>
      </c>
      <c r="F215" s="1">
        <v>521</v>
      </c>
      <c r="G215" s="1">
        <v>746</v>
      </c>
      <c r="H215" s="1">
        <v>315</v>
      </c>
      <c r="I215" s="1">
        <v>4168</v>
      </c>
      <c r="J215" s="1">
        <v>3399</v>
      </c>
      <c r="K215" s="1">
        <v>282</v>
      </c>
      <c r="L215" s="1" t="s">
        <v>48</v>
      </c>
      <c r="M215" s="1" t="s">
        <v>359</v>
      </c>
      <c r="N215" s="1" t="s">
        <v>359</v>
      </c>
      <c r="O215" s="8" t="s">
        <v>21</v>
      </c>
      <c r="P215" s="15">
        <f>(Table1_149[[#This Row],[Likes]]+Table1_149[[#This Row],[Shares]]+Table1_149[[#This Row],[Comments]])/Table1_149[[#This Row],[Impressions]]</f>
        <v>0.37955854126679461</v>
      </c>
      <c r="Q215" s="81" t="str">
        <f t="shared" si="3"/>
        <v>Before</v>
      </c>
    </row>
    <row r="216" spans="1:17" x14ac:dyDescent="0.3">
      <c r="A216" s="6" t="s">
        <v>268</v>
      </c>
      <c r="B216" s="1" t="s">
        <v>35</v>
      </c>
      <c r="C216" s="7">
        <v>45783</v>
      </c>
      <c r="D216" s="1" t="s">
        <v>41</v>
      </c>
      <c r="E216" s="1" t="s">
        <v>46</v>
      </c>
      <c r="F216" s="1">
        <v>4872</v>
      </c>
      <c r="G216" s="1">
        <v>925</v>
      </c>
      <c r="H216" s="1">
        <v>176</v>
      </c>
      <c r="I216" s="1">
        <v>82824</v>
      </c>
      <c r="J216" s="1">
        <v>82543</v>
      </c>
      <c r="K216" s="1">
        <v>89</v>
      </c>
      <c r="L216" s="1" t="s">
        <v>31</v>
      </c>
      <c r="M216" s="1" t="s">
        <v>359</v>
      </c>
      <c r="N216" s="1" t="s">
        <v>359</v>
      </c>
      <c r="O216" s="8" t="s">
        <v>21</v>
      </c>
      <c r="P216" s="15">
        <f>(Table1_149[[#This Row],[Likes]]+Table1_149[[#This Row],[Shares]]+Table1_149[[#This Row],[Comments]])/Table1_149[[#This Row],[Impressions]]</f>
        <v>7.2116777745580993E-2</v>
      </c>
      <c r="Q216" s="81" t="str">
        <f t="shared" si="3"/>
        <v>After</v>
      </c>
    </row>
    <row r="217" spans="1:17" x14ac:dyDescent="0.3">
      <c r="A217" s="6" t="s">
        <v>269</v>
      </c>
      <c r="B217" s="1" t="s">
        <v>23</v>
      </c>
      <c r="C217" s="7">
        <v>45502</v>
      </c>
      <c r="D217" s="1" t="s">
        <v>29</v>
      </c>
      <c r="E217" s="1" t="s">
        <v>101</v>
      </c>
      <c r="F217" s="1">
        <v>1509</v>
      </c>
      <c r="G217" s="1">
        <v>88</v>
      </c>
      <c r="H217" s="1">
        <v>163</v>
      </c>
      <c r="I217" s="1">
        <v>30180</v>
      </c>
      <c r="J217" s="1">
        <v>29689</v>
      </c>
      <c r="K217" s="1">
        <v>119</v>
      </c>
      <c r="L217" s="1" t="s">
        <v>31</v>
      </c>
      <c r="M217" s="1" t="s">
        <v>359</v>
      </c>
      <c r="N217" s="1" t="s">
        <v>359</v>
      </c>
      <c r="O217" s="8" t="s">
        <v>21</v>
      </c>
      <c r="P217" s="15">
        <f>(Table1_149[[#This Row],[Likes]]+Table1_149[[#This Row],[Shares]]+Table1_149[[#This Row],[Comments]])/Table1_149[[#This Row],[Impressions]]</f>
        <v>5.8316766070245198E-2</v>
      </c>
      <c r="Q217" s="81" t="str">
        <f t="shared" si="3"/>
        <v>Before</v>
      </c>
    </row>
    <row r="218" spans="1:17" x14ac:dyDescent="0.3">
      <c r="A218" s="6" t="s">
        <v>270</v>
      </c>
      <c r="B218" s="1" t="s">
        <v>35</v>
      </c>
      <c r="C218" s="7">
        <v>45629</v>
      </c>
      <c r="D218" s="1" t="s">
        <v>41</v>
      </c>
      <c r="E218" s="1" t="s">
        <v>46</v>
      </c>
      <c r="F218" s="1">
        <v>4606</v>
      </c>
      <c r="G218" s="1">
        <v>931</v>
      </c>
      <c r="H218" s="1">
        <v>230</v>
      </c>
      <c r="I218" s="1">
        <v>92120</v>
      </c>
      <c r="J218" s="1">
        <v>91440</v>
      </c>
      <c r="K218" s="1">
        <v>56</v>
      </c>
      <c r="L218" s="1" t="s">
        <v>25</v>
      </c>
      <c r="M218" s="1" t="s">
        <v>359</v>
      </c>
      <c r="N218" s="1" t="s">
        <v>359</v>
      </c>
      <c r="O218" s="8" t="s">
        <v>360</v>
      </c>
      <c r="P218" s="15">
        <f>(Table1_149[[#This Row],[Likes]]+Table1_149[[#This Row],[Shares]]+Table1_149[[#This Row],[Comments]])/Table1_149[[#This Row],[Impressions]]</f>
        <v>6.2603126356925748E-2</v>
      </c>
      <c r="Q218" s="81" t="b">
        <f t="shared" si="3"/>
        <v>0</v>
      </c>
    </row>
    <row r="219" spans="1:17" x14ac:dyDescent="0.3">
      <c r="A219" s="6" t="s">
        <v>271</v>
      </c>
      <c r="B219" s="1" t="s">
        <v>35</v>
      </c>
      <c r="C219" s="7">
        <v>45454</v>
      </c>
      <c r="D219" s="1" t="s">
        <v>36</v>
      </c>
      <c r="E219" s="1" t="s">
        <v>37</v>
      </c>
      <c r="F219" s="1">
        <v>1869</v>
      </c>
      <c r="G219" s="1">
        <v>453</v>
      </c>
      <c r="H219" s="1">
        <v>490</v>
      </c>
      <c r="I219" s="1">
        <v>14952</v>
      </c>
      <c r="J219" s="1">
        <v>14309</v>
      </c>
      <c r="K219" s="1">
        <v>275</v>
      </c>
      <c r="L219" s="1" t="s">
        <v>25</v>
      </c>
      <c r="M219" s="1" t="s">
        <v>359</v>
      </c>
      <c r="N219" s="1" t="s">
        <v>359</v>
      </c>
      <c r="O219" s="8" t="s">
        <v>32</v>
      </c>
      <c r="P219" s="15">
        <f>(Table1_149[[#This Row],[Likes]]+Table1_149[[#This Row],[Shares]]+Table1_149[[#This Row],[Comments]])/Table1_149[[#This Row],[Impressions]]</f>
        <v>0.18806848582129482</v>
      </c>
      <c r="Q219" s="81" t="str">
        <f t="shared" si="3"/>
        <v>During</v>
      </c>
    </row>
    <row r="220" spans="1:17" x14ac:dyDescent="0.3">
      <c r="A220" s="6" t="s">
        <v>272</v>
      </c>
      <c r="B220" s="1" t="s">
        <v>14</v>
      </c>
      <c r="C220" s="7">
        <v>45685</v>
      </c>
      <c r="D220" s="1" t="s">
        <v>15</v>
      </c>
      <c r="E220" s="1" t="s">
        <v>16</v>
      </c>
      <c r="F220" s="1">
        <v>1188</v>
      </c>
      <c r="G220" s="1">
        <v>470</v>
      </c>
      <c r="H220" s="1">
        <v>174</v>
      </c>
      <c r="I220" s="1">
        <v>7128</v>
      </c>
      <c r="J220" s="1">
        <v>6145</v>
      </c>
      <c r="K220" s="1">
        <v>270</v>
      </c>
      <c r="L220" s="1" t="s">
        <v>25</v>
      </c>
      <c r="M220" s="1" t="s">
        <v>359</v>
      </c>
      <c r="N220" s="1" t="s">
        <v>359</v>
      </c>
      <c r="O220" s="8" t="s">
        <v>32</v>
      </c>
      <c r="P220" s="15">
        <f>(Table1_149[[#This Row],[Likes]]+Table1_149[[#This Row],[Shares]]+Table1_149[[#This Row],[Comments]])/Table1_149[[#This Row],[Impressions]]</f>
        <v>0.25701459034792368</v>
      </c>
      <c r="Q220" s="81" t="str">
        <f t="shared" si="3"/>
        <v>After</v>
      </c>
    </row>
    <row r="221" spans="1:17" x14ac:dyDescent="0.3">
      <c r="A221" s="6" t="s">
        <v>273</v>
      </c>
      <c r="B221" s="1" t="s">
        <v>28</v>
      </c>
      <c r="C221" s="7">
        <v>45445</v>
      </c>
      <c r="D221" s="1" t="s">
        <v>29</v>
      </c>
      <c r="E221" s="1" t="s">
        <v>30</v>
      </c>
      <c r="F221" s="1">
        <v>84</v>
      </c>
      <c r="G221" s="1">
        <v>897</v>
      </c>
      <c r="H221" s="1">
        <v>85</v>
      </c>
      <c r="I221" s="1">
        <v>588</v>
      </c>
      <c r="J221" s="1">
        <v>8</v>
      </c>
      <c r="K221" s="1">
        <v>12</v>
      </c>
      <c r="L221" s="1" t="s">
        <v>31</v>
      </c>
      <c r="M221" s="1" t="s">
        <v>359</v>
      </c>
      <c r="N221" s="1" t="s">
        <v>359</v>
      </c>
      <c r="O221" s="8" t="s">
        <v>360</v>
      </c>
      <c r="P221" s="15">
        <f>(Table1_149[[#This Row],[Likes]]+Table1_149[[#This Row],[Shares]]+Table1_149[[#This Row],[Comments]])/Table1_149[[#This Row],[Impressions]]</f>
        <v>1.8129251700680271</v>
      </c>
      <c r="Q221" s="81" t="b">
        <f t="shared" si="3"/>
        <v>0</v>
      </c>
    </row>
    <row r="222" spans="1:17" x14ac:dyDescent="0.3">
      <c r="A222" s="6" t="s">
        <v>274</v>
      </c>
      <c r="B222" s="1" t="s">
        <v>35</v>
      </c>
      <c r="C222" s="7">
        <v>45739</v>
      </c>
      <c r="D222" s="1" t="s">
        <v>56</v>
      </c>
      <c r="E222" s="1" t="s">
        <v>57</v>
      </c>
      <c r="F222" s="1">
        <v>4453</v>
      </c>
      <c r="G222" s="1">
        <v>111</v>
      </c>
      <c r="H222" s="1">
        <v>420</v>
      </c>
      <c r="I222" s="1">
        <v>31171</v>
      </c>
      <c r="J222" s="1">
        <v>30565</v>
      </c>
      <c r="K222" s="1">
        <v>23</v>
      </c>
      <c r="L222" s="1" t="s">
        <v>25</v>
      </c>
      <c r="M222" s="1" t="s">
        <v>359</v>
      </c>
      <c r="N222" s="1" t="s">
        <v>359</v>
      </c>
      <c r="O222" s="8" t="s">
        <v>360</v>
      </c>
      <c r="P222" s="15">
        <f>(Table1_149[[#This Row],[Likes]]+Table1_149[[#This Row],[Shares]]+Table1_149[[#This Row],[Comments]])/Table1_149[[#This Row],[Impressions]]</f>
        <v>0.15989220750056141</v>
      </c>
      <c r="Q222" s="81" t="b">
        <f t="shared" si="3"/>
        <v>0</v>
      </c>
    </row>
    <row r="223" spans="1:17" x14ac:dyDescent="0.3">
      <c r="A223" s="6" t="s">
        <v>275</v>
      </c>
      <c r="B223" s="1" t="s">
        <v>35</v>
      </c>
      <c r="C223" s="7">
        <v>45573</v>
      </c>
      <c r="D223" s="1" t="s">
        <v>15</v>
      </c>
      <c r="E223" s="1" t="s">
        <v>50</v>
      </c>
      <c r="F223" s="1">
        <v>1814</v>
      </c>
      <c r="G223" s="1">
        <v>653</v>
      </c>
      <c r="H223" s="1">
        <v>363</v>
      </c>
      <c r="I223" s="1">
        <v>25396</v>
      </c>
      <c r="J223" s="1">
        <v>25286</v>
      </c>
      <c r="K223" s="1">
        <v>39</v>
      </c>
      <c r="L223" s="1" t="s">
        <v>48</v>
      </c>
      <c r="M223" s="1" t="s">
        <v>356</v>
      </c>
      <c r="N223" s="1" t="s">
        <v>359</v>
      </c>
      <c r="O223" s="8" t="s">
        <v>17</v>
      </c>
      <c r="P223" s="15">
        <f>(Table1_149[[#This Row],[Likes]]+Table1_149[[#This Row],[Shares]]+Table1_149[[#This Row],[Comments]])/Table1_149[[#This Row],[Impressions]]</f>
        <v>0.11143487163332809</v>
      </c>
      <c r="Q223" s="81" t="str">
        <f t="shared" si="3"/>
        <v>Before</v>
      </c>
    </row>
    <row r="224" spans="1:17" x14ac:dyDescent="0.3">
      <c r="A224" s="6" t="s">
        <v>276</v>
      </c>
      <c r="B224" s="1" t="s">
        <v>14</v>
      </c>
      <c r="C224" s="7">
        <v>45608</v>
      </c>
      <c r="D224" s="1" t="s">
        <v>41</v>
      </c>
      <c r="E224" s="1" t="s">
        <v>88</v>
      </c>
      <c r="F224" s="1">
        <v>3338</v>
      </c>
      <c r="G224" s="1">
        <v>277</v>
      </c>
      <c r="H224" s="1">
        <v>118</v>
      </c>
      <c r="I224" s="1">
        <v>60084</v>
      </c>
      <c r="J224" s="1">
        <v>59842</v>
      </c>
      <c r="K224" s="1">
        <v>252</v>
      </c>
      <c r="L224" s="1" t="s">
        <v>25</v>
      </c>
      <c r="M224" s="1" t="s">
        <v>359</v>
      </c>
      <c r="N224" s="1" t="s">
        <v>359</v>
      </c>
      <c r="O224" s="8" t="s">
        <v>360</v>
      </c>
      <c r="P224" s="15">
        <f>(Table1_149[[#This Row],[Likes]]+Table1_149[[#This Row],[Shares]]+Table1_149[[#This Row],[Comments]])/Table1_149[[#This Row],[Impressions]]</f>
        <v>6.2129685107516146E-2</v>
      </c>
      <c r="Q224" s="81" t="b">
        <f t="shared" si="3"/>
        <v>0</v>
      </c>
    </row>
    <row r="225" spans="1:17" x14ac:dyDescent="0.3">
      <c r="A225" s="6" t="s">
        <v>277</v>
      </c>
      <c r="B225" s="1" t="s">
        <v>35</v>
      </c>
      <c r="C225" s="7">
        <v>45790</v>
      </c>
      <c r="D225" s="1" t="s">
        <v>41</v>
      </c>
      <c r="E225" s="1" t="s">
        <v>46</v>
      </c>
      <c r="F225" s="1">
        <v>602</v>
      </c>
      <c r="G225" s="1">
        <v>594</v>
      </c>
      <c r="H225" s="1">
        <v>156</v>
      </c>
      <c r="I225" s="1">
        <v>4214</v>
      </c>
      <c r="J225" s="1">
        <v>3363</v>
      </c>
      <c r="K225" s="1">
        <v>164</v>
      </c>
      <c r="L225" s="1" t="s">
        <v>25</v>
      </c>
      <c r="M225" s="1" t="s">
        <v>359</v>
      </c>
      <c r="N225" s="1" t="s">
        <v>359</v>
      </c>
      <c r="O225" s="8" t="s">
        <v>26</v>
      </c>
      <c r="P225" s="15">
        <f>(Table1_149[[#This Row],[Likes]]+Table1_149[[#This Row],[Shares]]+Table1_149[[#This Row],[Comments]])/Table1_149[[#This Row],[Impressions]]</f>
        <v>0.32083531086853345</v>
      </c>
      <c r="Q225" s="81" t="str">
        <f t="shared" si="3"/>
        <v>During</v>
      </c>
    </row>
    <row r="226" spans="1:17" x14ac:dyDescent="0.3">
      <c r="A226" s="6" t="s">
        <v>278</v>
      </c>
      <c r="B226" s="1" t="s">
        <v>14</v>
      </c>
      <c r="C226" s="7">
        <v>45463</v>
      </c>
      <c r="D226" s="1" t="s">
        <v>36</v>
      </c>
      <c r="E226" s="1" t="s">
        <v>39</v>
      </c>
      <c r="F226" s="1">
        <v>4672</v>
      </c>
      <c r="G226" s="1">
        <v>325</v>
      </c>
      <c r="H226" s="1">
        <v>32</v>
      </c>
      <c r="I226" s="1">
        <v>88768</v>
      </c>
      <c r="J226" s="1">
        <v>87833</v>
      </c>
      <c r="K226" s="1">
        <v>118</v>
      </c>
      <c r="L226" s="1" t="s">
        <v>31</v>
      </c>
      <c r="M226" s="1" t="s">
        <v>359</v>
      </c>
      <c r="N226" s="1" t="s">
        <v>359</v>
      </c>
      <c r="O226" s="8" t="s">
        <v>360</v>
      </c>
      <c r="P226" s="15">
        <f>(Table1_149[[#This Row],[Likes]]+Table1_149[[#This Row],[Shares]]+Table1_149[[#This Row],[Comments]])/Table1_149[[#This Row],[Impressions]]</f>
        <v>5.6653298485940883E-2</v>
      </c>
      <c r="Q226" s="81" t="b">
        <f t="shared" si="3"/>
        <v>0</v>
      </c>
    </row>
    <row r="227" spans="1:17" x14ac:dyDescent="0.3">
      <c r="A227" s="6" t="s">
        <v>279</v>
      </c>
      <c r="B227" s="1" t="s">
        <v>28</v>
      </c>
      <c r="C227" s="7">
        <v>45511</v>
      </c>
      <c r="D227" s="1" t="s">
        <v>36</v>
      </c>
      <c r="E227" s="1" t="s">
        <v>65</v>
      </c>
      <c r="F227" s="1">
        <v>1741</v>
      </c>
      <c r="G227" s="1">
        <v>164</v>
      </c>
      <c r="H227" s="1">
        <v>318</v>
      </c>
      <c r="I227" s="1">
        <v>8705</v>
      </c>
      <c r="J227" s="1">
        <v>8272</v>
      </c>
      <c r="K227" s="1">
        <v>121</v>
      </c>
      <c r="L227" s="1" t="s">
        <v>25</v>
      </c>
      <c r="M227" s="1" t="s">
        <v>359</v>
      </c>
      <c r="N227" s="1" t="s">
        <v>359</v>
      </c>
      <c r="O227" s="8" t="s">
        <v>360</v>
      </c>
      <c r="P227" s="15">
        <f>(Table1_149[[#This Row],[Likes]]+Table1_149[[#This Row],[Shares]]+Table1_149[[#This Row],[Comments]])/Table1_149[[#This Row],[Impressions]]</f>
        <v>0.25537047673750718</v>
      </c>
      <c r="Q227" s="81" t="b">
        <f t="shared" si="3"/>
        <v>0</v>
      </c>
    </row>
    <row r="228" spans="1:17" x14ac:dyDescent="0.3">
      <c r="A228" s="6" t="s">
        <v>280</v>
      </c>
      <c r="B228" s="1" t="s">
        <v>28</v>
      </c>
      <c r="C228" s="7">
        <v>45455</v>
      </c>
      <c r="D228" s="1" t="s">
        <v>19</v>
      </c>
      <c r="E228" s="1" t="s">
        <v>78</v>
      </c>
      <c r="F228" s="1">
        <v>246</v>
      </c>
      <c r="G228" s="1">
        <v>149</v>
      </c>
      <c r="H228" s="1">
        <v>130</v>
      </c>
      <c r="I228" s="1">
        <v>4674</v>
      </c>
      <c r="J228" s="1">
        <v>4390</v>
      </c>
      <c r="K228" s="1">
        <v>217</v>
      </c>
      <c r="L228" s="1" t="s">
        <v>48</v>
      </c>
      <c r="M228" s="1" t="s">
        <v>359</v>
      </c>
      <c r="N228" s="1" t="s">
        <v>359</v>
      </c>
      <c r="O228" s="8" t="s">
        <v>26</v>
      </c>
      <c r="P228" s="15">
        <f>(Table1_149[[#This Row],[Likes]]+Table1_149[[#This Row],[Shares]]+Table1_149[[#This Row],[Comments]])/Table1_149[[#This Row],[Impressions]]</f>
        <v>0.11232349165596919</v>
      </c>
      <c r="Q228" s="81" t="str">
        <f t="shared" si="3"/>
        <v>Before</v>
      </c>
    </row>
    <row r="229" spans="1:17" x14ac:dyDescent="0.3">
      <c r="A229" s="6" t="s">
        <v>281</v>
      </c>
      <c r="B229" s="1" t="s">
        <v>28</v>
      </c>
      <c r="C229" s="7">
        <v>45474</v>
      </c>
      <c r="D229" s="1" t="s">
        <v>29</v>
      </c>
      <c r="E229" s="1" t="s">
        <v>30</v>
      </c>
      <c r="F229" s="1">
        <v>4808</v>
      </c>
      <c r="G229" s="1">
        <v>772</v>
      </c>
      <c r="H229" s="1">
        <v>320</v>
      </c>
      <c r="I229" s="1">
        <v>72120</v>
      </c>
      <c r="J229" s="1">
        <v>71696</v>
      </c>
      <c r="K229" s="1">
        <v>195</v>
      </c>
      <c r="L229" s="1" t="s">
        <v>31</v>
      </c>
      <c r="M229" s="1" t="s">
        <v>359</v>
      </c>
      <c r="N229" s="1" t="s">
        <v>359</v>
      </c>
      <c r="O229" s="8" t="s">
        <v>17</v>
      </c>
      <c r="P229" s="15">
        <f>(Table1_149[[#This Row],[Likes]]+Table1_149[[#This Row],[Shares]]+Table1_149[[#This Row],[Comments]])/Table1_149[[#This Row],[Impressions]]</f>
        <v>8.1808097615085965E-2</v>
      </c>
      <c r="Q229" s="81" t="str">
        <f t="shared" si="3"/>
        <v>Before</v>
      </c>
    </row>
    <row r="230" spans="1:17" x14ac:dyDescent="0.3">
      <c r="A230" s="6" t="s">
        <v>282</v>
      </c>
      <c r="B230" s="1" t="s">
        <v>28</v>
      </c>
      <c r="C230" s="7">
        <v>45476</v>
      </c>
      <c r="D230" s="1" t="s">
        <v>36</v>
      </c>
      <c r="E230" s="1" t="s">
        <v>65</v>
      </c>
      <c r="F230" s="1">
        <v>4799</v>
      </c>
      <c r="G230" s="1">
        <v>694</v>
      </c>
      <c r="H230" s="1">
        <v>289</v>
      </c>
      <c r="I230" s="1">
        <v>43191</v>
      </c>
      <c r="J230" s="1">
        <v>42228</v>
      </c>
      <c r="K230" s="1">
        <v>118</v>
      </c>
      <c r="L230" s="1" t="s">
        <v>25</v>
      </c>
      <c r="M230" s="1" t="s">
        <v>359</v>
      </c>
      <c r="N230" s="1" t="s">
        <v>359</v>
      </c>
      <c r="O230" s="8" t="s">
        <v>360</v>
      </c>
      <c r="P230" s="15">
        <f>(Table1_149[[#This Row],[Likes]]+Table1_149[[#This Row],[Shares]]+Table1_149[[#This Row],[Comments]])/Table1_149[[#This Row],[Impressions]]</f>
        <v>0.13387048227640017</v>
      </c>
      <c r="Q230" s="81" t="b">
        <f t="shared" si="3"/>
        <v>0</v>
      </c>
    </row>
    <row r="231" spans="1:17" x14ac:dyDescent="0.3">
      <c r="A231" s="6" t="s">
        <v>283</v>
      </c>
      <c r="B231" s="1" t="s">
        <v>35</v>
      </c>
      <c r="C231" s="7">
        <v>45488</v>
      </c>
      <c r="D231" s="1" t="s">
        <v>15</v>
      </c>
      <c r="E231" s="1" t="s">
        <v>50</v>
      </c>
      <c r="F231" s="1">
        <v>3663</v>
      </c>
      <c r="G231" s="1">
        <v>17</v>
      </c>
      <c r="H231" s="1">
        <v>295</v>
      </c>
      <c r="I231" s="1">
        <v>51282</v>
      </c>
      <c r="J231" s="1">
        <v>50567</v>
      </c>
      <c r="K231" s="1">
        <v>84</v>
      </c>
      <c r="L231" s="1" t="s">
        <v>31</v>
      </c>
      <c r="M231" s="1" t="s">
        <v>359</v>
      </c>
      <c r="N231" s="1" t="s">
        <v>359</v>
      </c>
      <c r="O231" s="8" t="s">
        <v>26</v>
      </c>
      <c r="P231" s="15">
        <f>(Table1_149[[#This Row],[Likes]]+Table1_149[[#This Row],[Shares]]+Table1_149[[#This Row],[Comments]])/Table1_149[[#This Row],[Impressions]]</f>
        <v>7.7512577512577507E-2</v>
      </c>
      <c r="Q231" s="81" t="str">
        <f t="shared" si="3"/>
        <v>Before</v>
      </c>
    </row>
    <row r="232" spans="1:17" x14ac:dyDescent="0.3">
      <c r="A232" s="6" t="s">
        <v>284</v>
      </c>
      <c r="B232" s="1" t="s">
        <v>28</v>
      </c>
      <c r="C232" s="7">
        <v>45778</v>
      </c>
      <c r="D232" s="1" t="s">
        <v>19</v>
      </c>
      <c r="E232" s="1" t="s">
        <v>78</v>
      </c>
      <c r="F232" s="1">
        <v>1430</v>
      </c>
      <c r="G232" s="1">
        <v>376</v>
      </c>
      <c r="H232" s="1">
        <v>33</v>
      </c>
      <c r="I232" s="1">
        <v>21450</v>
      </c>
      <c r="J232" s="1">
        <v>20509</v>
      </c>
      <c r="K232" s="1">
        <v>251</v>
      </c>
      <c r="L232" s="1" t="s">
        <v>48</v>
      </c>
      <c r="M232" s="1" t="s">
        <v>359</v>
      </c>
      <c r="N232" s="1" t="s">
        <v>359</v>
      </c>
      <c r="O232" s="8" t="s">
        <v>17</v>
      </c>
      <c r="P232" s="15">
        <f>(Table1_149[[#This Row],[Likes]]+Table1_149[[#This Row],[Shares]]+Table1_149[[#This Row],[Comments]])/Table1_149[[#This Row],[Impressions]]</f>
        <v>8.5734265734265735E-2</v>
      </c>
      <c r="Q232" s="81" t="str">
        <f t="shared" si="3"/>
        <v>After</v>
      </c>
    </row>
    <row r="233" spans="1:17" x14ac:dyDescent="0.3">
      <c r="A233" s="6" t="s">
        <v>285</v>
      </c>
      <c r="B233" s="1" t="s">
        <v>14</v>
      </c>
      <c r="C233" s="7">
        <v>45776</v>
      </c>
      <c r="D233" s="1" t="s">
        <v>29</v>
      </c>
      <c r="E233" s="1" t="s">
        <v>98</v>
      </c>
      <c r="F233" s="1">
        <v>249</v>
      </c>
      <c r="G233" s="1">
        <v>592</v>
      </c>
      <c r="H233" s="1">
        <v>230</v>
      </c>
      <c r="I233" s="1">
        <v>1494</v>
      </c>
      <c r="J233" s="1">
        <v>1044</v>
      </c>
      <c r="K233" s="1">
        <v>201</v>
      </c>
      <c r="L233" s="1" t="s">
        <v>31</v>
      </c>
      <c r="M233" s="1" t="s">
        <v>359</v>
      </c>
      <c r="N233" s="1" t="s">
        <v>359</v>
      </c>
      <c r="O233" s="8" t="s">
        <v>32</v>
      </c>
      <c r="P233" s="15">
        <f>(Table1_149[[#This Row],[Likes]]+Table1_149[[#This Row],[Shares]]+Table1_149[[#This Row],[Comments]])/Table1_149[[#This Row],[Impressions]]</f>
        <v>0.7168674698795181</v>
      </c>
      <c r="Q233" s="81" t="str">
        <f t="shared" si="3"/>
        <v>After</v>
      </c>
    </row>
    <row r="234" spans="1:17" x14ac:dyDescent="0.3">
      <c r="A234" s="6" t="s">
        <v>286</v>
      </c>
      <c r="B234" s="1" t="s">
        <v>35</v>
      </c>
      <c r="C234" s="7">
        <v>45724</v>
      </c>
      <c r="D234" s="1" t="s">
        <v>41</v>
      </c>
      <c r="E234" s="1" t="s">
        <v>46</v>
      </c>
      <c r="F234" s="1">
        <v>2382</v>
      </c>
      <c r="G234" s="1">
        <v>265</v>
      </c>
      <c r="H234" s="1">
        <v>134</v>
      </c>
      <c r="I234" s="1">
        <v>38112</v>
      </c>
      <c r="J234" s="1">
        <v>37437</v>
      </c>
      <c r="K234" s="1">
        <v>249</v>
      </c>
      <c r="L234" s="1" t="s">
        <v>48</v>
      </c>
      <c r="M234" s="1" t="s">
        <v>359</v>
      </c>
      <c r="N234" s="1" t="s">
        <v>359</v>
      </c>
      <c r="O234" s="8" t="s">
        <v>32</v>
      </c>
      <c r="P234" s="15">
        <f>(Table1_149[[#This Row],[Likes]]+Table1_149[[#This Row],[Shares]]+Table1_149[[#This Row],[Comments]])/Table1_149[[#This Row],[Impressions]]</f>
        <v>7.2969143576826198E-2</v>
      </c>
      <c r="Q234" s="81" t="str">
        <f t="shared" si="3"/>
        <v>After</v>
      </c>
    </row>
    <row r="235" spans="1:17" x14ac:dyDescent="0.3">
      <c r="A235" s="6" t="s">
        <v>287</v>
      </c>
      <c r="B235" s="1" t="s">
        <v>35</v>
      </c>
      <c r="C235" s="7">
        <v>45444</v>
      </c>
      <c r="D235" s="1" t="s">
        <v>19</v>
      </c>
      <c r="E235" s="1" t="s">
        <v>44</v>
      </c>
      <c r="F235" s="1">
        <v>1272</v>
      </c>
      <c r="G235" s="1">
        <v>465</v>
      </c>
      <c r="H235" s="1">
        <v>99</v>
      </c>
      <c r="I235" s="1">
        <v>24168</v>
      </c>
      <c r="J235" s="1">
        <v>23719</v>
      </c>
      <c r="K235" s="1">
        <v>42</v>
      </c>
      <c r="L235" s="1" t="s">
        <v>25</v>
      </c>
      <c r="M235" s="1" t="s">
        <v>359</v>
      </c>
      <c r="N235" s="1" t="s">
        <v>359</v>
      </c>
      <c r="O235" s="8" t="s">
        <v>360</v>
      </c>
      <c r="P235" s="15">
        <f>(Table1_149[[#This Row],[Likes]]+Table1_149[[#This Row],[Shares]]+Table1_149[[#This Row],[Comments]])/Table1_149[[#This Row],[Impressions]]</f>
        <v>7.5968222442899705E-2</v>
      </c>
      <c r="Q235" s="81" t="b">
        <f t="shared" si="3"/>
        <v>0</v>
      </c>
    </row>
    <row r="236" spans="1:17" x14ac:dyDescent="0.3">
      <c r="A236" s="6" t="s">
        <v>288</v>
      </c>
      <c r="B236" s="1" t="s">
        <v>35</v>
      </c>
      <c r="C236" s="7">
        <v>45648</v>
      </c>
      <c r="D236" s="1" t="s">
        <v>41</v>
      </c>
      <c r="E236" s="1" t="s">
        <v>46</v>
      </c>
      <c r="F236" s="1">
        <v>3196</v>
      </c>
      <c r="G236" s="1">
        <v>941</v>
      </c>
      <c r="H236" s="1">
        <v>376</v>
      </c>
      <c r="I236" s="1">
        <v>35156</v>
      </c>
      <c r="J236" s="1">
        <v>34444</v>
      </c>
      <c r="K236" s="1">
        <v>241</v>
      </c>
      <c r="L236" s="1" t="s">
        <v>25</v>
      </c>
      <c r="M236" s="1" t="s">
        <v>359</v>
      </c>
      <c r="N236" s="1" t="s">
        <v>359</v>
      </c>
      <c r="O236" s="8" t="s">
        <v>26</v>
      </c>
      <c r="P236" s="15">
        <f>(Table1_149[[#This Row],[Likes]]+Table1_149[[#This Row],[Shares]]+Table1_149[[#This Row],[Comments]])/Table1_149[[#This Row],[Impressions]]</f>
        <v>0.1283706906360223</v>
      </c>
      <c r="Q236" s="81" t="str">
        <f t="shared" si="3"/>
        <v>Before</v>
      </c>
    </row>
    <row r="237" spans="1:17" x14ac:dyDescent="0.3">
      <c r="A237" s="6" t="s">
        <v>289</v>
      </c>
      <c r="B237" s="1" t="s">
        <v>35</v>
      </c>
      <c r="C237" s="7">
        <v>45523</v>
      </c>
      <c r="D237" s="1" t="s">
        <v>19</v>
      </c>
      <c r="E237" s="1" t="s">
        <v>44</v>
      </c>
      <c r="F237" s="1">
        <v>1257</v>
      </c>
      <c r="G237" s="1">
        <v>19</v>
      </c>
      <c r="H237" s="1">
        <v>351</v>
      </c>
      <c r="I237" s="1">
        <v>12570</v>
      </c>
      <c r="J237" s="1">
        <v>11660</v>
      </c>
      <c r="K237" s="1">
        <v>194</v>
      </c>
      <c r="L237" s="1" t="s">
        <v>48</v>
      </c>
      <c r="M237" s="1" t="s">
        <v>354</v>
      </c>
      <c r="N237" s="1" t="s">
        <v>31</v>
      </c>
      <c r="O237" s="8" t="s">
        <v>21</v>
      </c>
      <c r="P237" s="15">
        <f>(Table1_149[[#This Row],[Likes]]+Table1_149[[#This Row],[Shares]]+Table1_149[[#This Row],[Comments]])/Table1_149[[#This Row],[Impressions]]</f>
        <v>0.12943516308671441</v>
      </c>
      <c r="Q237" s="81" t="str">
        <f t="shared" si="3"/>
        <v>Before</v>
      </c>
    </row>
    <row r="238" spans="1:17" x14ac:dyDescent="0.3">
      <c r="A238" s="6" t="s">
        <v>290</v>
      </c>
      <c r="B238" s="1" t="s">
        <v>28</v>
      </c>
      <c r="C238" s="7">
        <v>45587</v>
      </c>
      <c r="D238" s="1" t="s">
        <v>29</v>
      </c>
      <c r="E238" s="1" t="s">
        <v>30</v>
      </c>
      <c r="F238" s="1">
        <v>3770</v>
      </c>
      <c r="G238" s="1">
        <v>917</v>
      </c>
      <c r="H238" s="1">
        <v>129</v>
      </c>
      <c r="I238" s="1">
        <v>71630</v>
      </c>
      <c r="J238" s="1">
        <v>71322</v>
      </c>
      <c r="K238" s="1">
        <v>76</v>
      </c>
      <c r="L238" s="1" t="s">
        <v>48</v>
      </c>
      <c r="M238" s="1" t="s">
        <v>359</v>
      </c>
      <c r="N238" s="1" t="s">
        <v>359</v>
      </c>
      <c r="O238" s="8" t="s">
        <v>17</v>
      </c>
      <c r="P238" s="15">
        <f>(Table1_149[[#This Row],[Likes]]+Table1_149[[#This Row],[Shares]]+Table1_149[[#This Row],[Comments]])/Table1_149[[#This Row],[Impressions]]</f>
        <v>6.7234398994834563E-2</v>
      </c>
      <c r="Q238" s="81" t="str">
        <f t="shared" si="3"/>
        <v>During</v>
      </c>
    </row>
    <row r="239" spans="1:17" x14ac:dyDescent="0.3">
      <c r="A239" s="6" t="s">
        <v>291</v>
      </c>
      <c r="B239" s="1" t="s">
        <v>14</v>
      </c>
      <c r="C239" s="7">
        <v>45489</v>
      </c>
      <c r="D239" s="1" t="s">
        <v>19</v>
      </c>
      <c r="E239" s="1" t="s">
        <v>20</v>
      </c>
      <c r="F239" s="1">
        <v>4725</v>
      </c>
      <c r="G239" s="1">
        <v>400</v>
      </c>
      <c r="H239" s="1">
        <v>362</v>
      </c>
      <c r="I239" s="1">
        <v>75600</v>
      </c>
      <c r="J239" s="1">
        <v>74927</v>
      </c>
      <c r="K239" s="1">
        <v>43</v>
      </c>
      <c r="L239" s="1" t="s">
        <v>48</v>
      </c>
      <c r="M239" s="1" t="s">
        <v>359</v>
      </c>
      <c r="N239" s="1" t="s">
        <v>359</v>
      </c>
      <c r="O239" s="8" t="s">
        <v>32</v>
      </c>
      <c r="P239" s="15">
        <f>(Table1_149[[#This Row],[Likes]]+Table1_149[[#This Row],[Shares]]+Table1_149[[#This Row],[Comments]])/Table1_149[[#This Row],[Impressions]]</f>
        <v>7.2579365079365077E-2</v>
      </c>
      <c r="Q239" s="81" t="str">
        <f t="shared" si="3"/>
        <v>After</v>
      </c>
    </row>
    <row r="240" spans="1:17" x14ac:dyDescent="0.3">
      <c r="A240" s="6" t="s">
        <v>292</v>
      </c>
      <c r="B240" s="1" t="s">
        <v>23</v>
      </c>
      <c r="C240" s="7">
        <v>45712</v>
      </c>
      <c r="D240" s="1" t="s">
        <v>19</v>
      </c>
      <c r="E240" s="1" t="s">
        <v>73</v>
      </c>
      <c r="F240" s="1">
        <v>4188</v>
      </c>
      <c r="G240" s="1">
        <v>942</v>
      </c>
      <c r="H240" s="1">
        <v>118</v>
      </c>
      <c r="I240" s="1">
        <v>20940</v>
      </c>
      <c r="J240" s="1">
        <v>20471</v>
      </c>
      <c r="K240" s="1">
        <v>102</v>
      </c>
      <c r="L240" s="1" t="s">
        <v>48</v>
      </c>
      <c r="M240" s="1" t="s">
        <v>359</v>
      </c>
      <c r="N240" s="1" t="s">
        <v>359</v>
      </c>
      <c r="O240" s="8" t="s">
        <v>360</v>
      </c>
      <c r="P240" s="15">
        <f>(Table1_149[[#This Row],[Likes]]+Table1_149[[#This Row],[Shares]]+Table1_149[[#This Row],[Comments]])/Table1_149[[#This Row],[Impressions]]</f>
        <v>0.25062082139446035</v>
      </c>
      <c r="Q240" s="81" t="b">
        <f t="shared" si="3"/>
        <v>0</v>
      </c>
    </row>
    <row r="241" spans="1:17" x14ac:dyDescent="0.3">
      <c r="A241" s="6" t="s">
        <v>293</v>
      </c>
      <c r="B241" s="1" t="s">
        <v>14</v>
      </c>
      <c r="C241" s="7">
        <v>45530</v>
      </c>
      <c r="D241" s="1" t="s">
        <v>36</v>
      </c>
      <c r="E241" s="1" t="s">
        <v>39</v>
      </c>
      <c r="F241" s="1">
        <v>929</v>
      </c>
      <c r="G241" s="1">
        <v>192</v>
      </c>
      <c r="H241" s="1">
        <v>322</v>
      </c>
      <c r="I241" s="1">
        <v>16722</v>
      </c>
      <c r="J241" s="1">
        <v>15996</v>
      </c>
      <c r="K241" s="1">
        <v>145</v>
      </c>
      <c r="L241" s="1" t="s">
        <v>31</v>
      </c>
      <c r="M241" s="1" t="s">
        <v>25</v>
      </c>
      <c r="N241" s="1" t="s">
        <v>354</v>
      </c>
      <c r="O241" s="8" t="s">
        <v>26</v>
      </c>
      <c r="P241" s="15">
        <f>(Table1_149[[#This Row],[Likes]]+Table1_149[[#This Row],[Shares]]+Table1_149[[#This Row],[Comments]])/Table1_149[[#This Row],[Impressions]]</f>
        <v>8.6293505561535699E-2</v>
      </c>
      <c r="Q241" s="81" t="str">
        <f t="shared" si="3"/>
        <v>Before</v>
      </c>
    </row>
    <row r="242" spans="1:17" x14ac:dyDescent="0.3">
      <c r="A242" s="6" t="s">
        <v>294</v>
      </c>
      <c r="B242" s="1" t="s">
        <v>35</v>
      </c>
      <c r="C242" s="7">
        <v>45675</v>
      </c>
      <c r="D242" s="1" t="s">
        <v>29</v>
      </c>
      <c r="E242" s="1" t="s">
        <v>54</v>
      </c>
      <c r="F242" s="1">
        <v>4321</v>
      </c>
      <c r="G242" s="1">
        <v>874</v>
      </c>
      <c r="H242" s="1">
        <v>172</v>
      </c>
      <c r="I242" s="1">
        <v>30247</v>
      </c>
      <c r="J242" s="1">
        <v>29254</v>
      </c>
      <c r="K242" s="1">
        <v>122</v>
      </c>
      <c r="L242" s="1" t="s">
        <v>25</v>
      </c>
      <c r="M242" s="1" t="s">
        <v>359</v>
      </c>
      <c r="N242" s="1" t="s">
        <v>359</v>
      </c>
      <c r="O242" s="8" t="s">
        <v>32</v>
      </c>
      <c r="P242" s="15">
        <f>(Table1_149[[#This Row],[Likes]]+Table1_149[[#This Row],[Shares]]+Table1_149[[#This Row],[Comments]])/Table1_149[[#This Row],[Impressions]]</f>
        <v>0.17743908486792079</v>
      </c>
      <c r="Q242" s="81" t="str">
        <f t="shared" si="3"/>
        <v>After</v>
      </c>
    </row>
    <row r="243" spans="1:17" x14ac:dyDescent="0.3">
      <c r="A243" s="6" t="s">
        <v>295</v>
      </c>
      <c r="B243" s="1" t="s">
        <v>35</v>
      </c>
      <c r="C243" s="7">
        <v>45480</v>
      </c>
      <c r="D243" s="1" t="s">
        <v>15</v>
      </c>
      <c r="E243" s="1" t="s">
        <v>50</v>
      </c>
      <c r="F243" s="1">
        <v>4767</v>
      </c>
      <c r="G243" s="1">
        <v>190</v>
      </c>
      <c r="H243" s="1">
        <v>340</v>
      </c>
      <c r="I243" s="1">
        <v>28602</v>
      </c>
      <c r="J243" s="1">
        <v>28044</v>
      </c>
      <c r="K243" s="1">
        <v>210</v>
      </c>
      <c r="L243" s="1" t="s">
        <v>31</v>
      </c>
      <c r="M243" s="1" t="s">
        <v>359</v>
      </c>
      <c r="N243" s="1" t="s">
        <v>359</v>
      </c>
      <c r="O243" s="8" t="s">
        <v>26</v>
      </c>
      <c r="P243" s="15">
        <f>(Table1_149[[#This Row],[Likes]]+Table1_149[[#This Row],[Shares]]+Table1_149[[#This Row],[Comments]])/Table1_149[[#This Row],[Impressions]]</f>
        <v>0.18519683938186141</v>
      </c>
      <c r="Q243" s="81" t="str">
        <f t="shared" si="3"/>
        <v>Before</v>
      </c>
    </row>
    <row r="244" spans="1:17" x14ac:dyDescent="0.3">
      <c r="A244" s="6" t="s">
        <v>296</v>
      </c>
      <c r="B244" s="1" t="s">
        <v>14</v>
      </c>
      <c r="C244" s="7">
        <v>45722</v>
      </c>
      <c r="D244" s="1" t="s">
        <v>41</v>
      </c>
      <c r="E244" s="1" t="s">
        <v>88</v>
      </c>
      <c r="F244" s="1">
        <v>3592</v>
      </c>
      <c r="G244" s="1">
        <v>911</v>
      </c>
      <c r="H244" s="1">
        <v>375</v>
      </c>
      <c r="I244" s="1">
        <v>50288</v>
      </c>
      <c r="J244" s="1">
        <v>49490</v>
      </c>
      <c r="K244" s="1">
        <v>32</v>
      </c>
      <c r="L244" s="1" t="s">
        <v>48</v>
      </c>
      <c r="M244" s="1" t="s">
        <v>359</v>
      </c>
      <c r="N244" s="1" t="s">
        <v>359</v>
      </c>
      <c r="O244" s="8" t="s">
        <v>32</v>
      </c>
      <c r="P244" s="15">
        <f>(Table1_149[[#This Row],[Likes]]+Table1_149[[#This Row],[Shares]]+Table1_149[[#This Row],[Comments]])/Table1_149[[#This Row],[Impressions]]</f>
        <v>9.7001272669424113E-2</v>
      </c>
      <c r="Q244" s="81" t="str">
        <f t="shared" si="3"/>
        <v>After</v>
      </c>
    </row>
    <row r="245" spans="1:17" x14ac:dyDescent="0.3">
      <c r="A245" s="6" t="s">
        <v>297</v>
      </c>
      <c r="B245" s="1" t="s">
        <v>23</v>
      </c>
      <c r="C245" s="7">
        <v>45590</v>
      </c>
      <c r="D245" s="1" t="s">
        <v>56</v>
      </c>
      <c r="E245" s="1" t="s">
        <v>136</v>
      </c>
      <c r="F245" s="1">
        <v>4661</v>
      </c>
      <c r="G245" s="1">
        <v>935</v>
      </c>
      <c r="H245" s="1">
        <v>433</v>
      </c>
      <c r="I245" s="1">
        <v>23305</v>
      </c>
      <c r="J245" s="1">
        <v>22583</v>
      </c>
      <c r="K245" s="1">
        <v>63</v>
      </c>
      <c r="L245" s="1" t="s">
        <v>48</v>
      </c>
      <c r="M245" s="1" t="s">
        <v>359</v>
      </c>
      <c r="N245" s="1" t="s">
        <v>359</v>
      </c>
      <c r="O245" s="8" t="s">
        <v>26</v>
      </c>
      <c r="P245" s="15">
        <f>(Table1_149[[#This Row],[Likes]]+Table1_149[[#This Row],[Shares]]+Table1_149[[#This Row],[Comments]])/Table1_149[[#This Row],[Impressions]]</f>
        <v>0.25869984981763572</v>
      </c>
      <c r="Q245" s="81" t="str">
        <f t="shared" si="3"/>
        <v>Before</v>
      </c>
    </row>
    <row r="246" spans="1:17" x14ac:dyDescent="0.3">
      <c r="A246" s="6" t="s">
        <v>298</v>
      </c>
      <c r="B246" s="1" t="s">
        <v>35</v>
      </c>
      <c r="C246" s="7">
        <v>45669</v>
      </c>
      <c r="D246" s="1" t="s">
        <v>15</v>
      </c>
      <c r="E246" s="1" t="s">
        <v>50</v>
      </c>
      <c r="F246" s="1">
        <v>4134</v>
      </c>
      <c r="G246" s="1">
        <v>824</v>
      </c>
      <c r="H246" s="1">
        <v>99</v>
      </c>
      <c r="I246" s="1">
        <v>41340</v>
      </c>
      <c r="J246" s="1">
        <v>41050</v>
      </c>
      <c r="K246" s="1">
        <v>177</v>
      </c>
      <c r="L246" s="1" t="s">
        <v>31</v>
      </c>
      <c r="M246" s="1" t="s">
        <v>359</v>
      </c>
      <c r="N246" s="1" t="s">
        <v>359</v>
      </c>
      <c r="O246" s="8" t="s">
        <v>17</v>
      </c>
      <c r="P246" s="15">
        <f>(Table1_149[[#This Row],[Likes]]+Table1_149[[#This Row],[Shares]]+Table1_149[[#This Row],[Comments]])/Table1_149[[#This Row],[Impressions]]</f>
        <v>0.12232704402515723</v>
      </c>
      <c r="Q246" s="81" t="str">
        <f t="shared" si="3"/>
        <v>After</v>
      </c>
    </row>
    <row r="247" spans="1:17" x14ac:dyDescent="0.3">
      <c r="A247" s="6" t="s">
        <v>299</v>
      </c>
      <c r="B247" s="1" t="s">
        <v>35</v>
      </c>
      <c r="C247" s="7">
        <v>45576</v>
      </c>
      <c r="D247" s="1" t="s">
        <v>41</v>
      </c>
      <c r="E247" s="1" t="s">
        <v>46</v>
      </c>
      <c r="F247" s="1">
        <v>400</v>
      </c>
      <c r="G247" s="1">
        <v>680</v>
      </c>
      <c r="H247" s="1">
        <v>434</v>
      </c>
      <c r="I247" s="1">
        <v>6400</v>
      </c>
      <c r="J247" s="1">
        <v>5472</v>
      </c>
      <c r="K247" s="1">
        <v>160</v>
      </c>
      <c r="L247" s="1" t="s">
        <v>48</v>
      </c>
      <c r="M247" s="1" t="s">
        <v>359</v>
      </c>
      <c r="N247" s="1" t="s">
        <v>359</v>
      </c>
      <c r="O247" s="8" t="s">
        <v>21</v>
      </c>
      <c r="P247" s="15">
        <f>(Table1_149[[#This Row],[Likes]]+Table1_149[[#This Row],[Shares]]+Table1_149[[#This Row],[Comments]])/Table1_149[[#This Row],[Impressions]]</f>
        <v>0.23656250000000001</v>
      </c>
      <c r="Q247" s="81" t="str">
        <f t="shared" si="3"/>
        <v>Before</v>
      </c>
    </row>
    <row r="248" spans="1:17" x14ac:dyDescent="0.3">
      <c r="A248" s="6" t="s">
        <v>300</v>
      </c>
      <c r="B248" s="1" t="s">
        <v>35</v>
      </c>
      <c r="C248" s="7">
        <v>45531</v>
      </c>
      <c r="D248" s="1" t="s">
        <v>15</v>
      </c>
      <c r="E248" s="1" t="s">
        <v>50</v>
      </c>
      <c r="F248" s="1">
        <v>3960</v>
      </c>
      <c r="G248" s="1">
        <v>266</v>
      </c>
      <c r="H248" s="1">
        <v>8</v>
      </c>
      <c r="I248" s="1">
        <v>35640</v>
      </c>
      <c r="J248" s="1">
        <v>34850</v>
      </c>
      <c r="K248" s="1">
        <v>208</v>
      </c>
      <c r="L248" s="1" t="s">
        <v>48</v>
      </c>
      <c r="M248" s="1" t="s">
        <v>31</v>
      </c>
      <c r="N248" s="1" t="s">
        <v>355</v>
      </c>
      <c r="O248" s="8" t="s">
        <v>360</v>
      </c>
      <c r="P248" s="15">
        <f>(Table1_149[[#This Row],[Likes]]+Table1_149[[#This Row],[Shares]]+Table1_149[[#This Row],[Comments]])/Table1_149[[#This Row],[Impressions]]</f>
        <v>0.11879910213243547</v>
      </c>
      <c r="Q248" s="81" t="b">
        <f t="shared" si="3"/>
        <v>0</v>
      </c>
    </row>
    <row r="249" spans="1:17" x14ac:dyDescent="0.3">
      <c r="A249" s="6" t="s">
        <v>301</v>
      </c>
      <c r="B249" s="1" t="s">
        <v>35</v>
      </c>
      <c r="C249" s="7">
        <v>45690</v>
      </c>
      <c r="D249" s="1" t="s">
        <v>29</v>
      </c>
      <c r="E249" s="1" t="s">
        <v>54</v>
      </c>
      <c r="F249" s="1">
        <v>886</v>
      </c>
      <c r="G249" s="1">
        <v>126</v>
      </c>
      <c r="H249" s="1">
        <v>153</v>
      </c>
      <c r="I249" s="1">
        <v>4430</v>
      </c>
      <c r="J249" s="1">
        <v>4037</v>
      </c>
      <c r="K249" s="1">
        <v>212</v>
      </c>
      <c r="L249" s="1" t="s">
        <v>31</v>
      </c>
      <c r="M249" s="1" t="s">
        <v>359</v>
      </c>
      <c r="N249" s="1" t="s">
        <v>359</v>
      </c>
      <c r="O249" s="8" t="s">
        <v>360</v>
      </c>
      <c r="P249" s="15">
        <f>(Table1_149[[#This Row],[Likes]]+Table1_149[[#This Row],[Shares]]+Table1_149[[#This Row],[Comments]])/Table1_149[[#This Row],[Impressions]]</f>
        <v>0.26297968397291194</v>
      </c>
      <c r="Q249" s="81" t="b">
        <f t="shared" si="3"/>
        <v>0</v>
      </c>
    </row>
    <row r="250" spans="1:17" x14ac:dyDescent="0.3">
      <c r="A250" s="6" t="s">
        <v>302</v>
      </c>
      <c r="B250" s="1" t="s">
        <v>14</v>
      </c>
      <c r="C250" s="7">
        <v>45491</v>
      </c>
      <c r="D250" s="1" t="s">
        <v>41</v>
      </c>
      <c r="E250" s="1" t="s">
        <v>88</v>
      </c>
      <c r="F250" s="1">
        <v>827</v>
      </c>
      <c r="G250" s="1">
        <v>77</v>
      </c>
      <c r="H250" s="1">
        <v>402</v>
      </c>
      <c r="I250" s="1">
        <v>14886</v>
      </c>
      <c r="J250" s="1">
        <v>14129</v>
      </c>
      <c r="K250" s="1">
        <v>254</v>
      </c>
      <c r="L250" s="1" t="s">
        <v>31</v>
      </c>
      <c r="M250" s="1" t="s">
        <v>359</v>
      </c>
      <c r="N250" s="1" t="s">
        <v>359</v>
      </c>
      <c r="O250" s="8" t="s">
        <v>21</v>
      </c>
      <c r="P250" s="15">
        <f>(Table1_149[[#This Row],[Likes]]+Table1_149[[#This Row],[Shares]]+Table1_149[[#This Row],[Comments]])/Table1_149[[#This Row],[Impressions]]</f>
        <v>8.7733440816874911E-2</v>
      </c>
      <c r="Q250" s="81" t="str">
        <f t="shared" si="3"/>
        <v>Before</v>
      </c>
    </row>
    <row r="251" spans="1:17" x14ac:dyDescent="0.3">
      <c r="A251" s="6" t="s">
        <v>303</v>
      </c>
      <c r="B251" s="1" t="s">
        <v>35</v>
      </c>
      <c r="C251" s="7">
        <v>45465</v>
      </c>
      <c r="D251" s="1" t="s">
        <v>15</v>
      </c>
      <c r="E251" s="1" t="s">
        <v>50</v>
      </c>
      <c r="F251" s="1">
        <v>3813</v>
      </c>
      <c r="G251" s="1">
        <v>935</v>
      </c>
      <c r="H251" s="1">
        <v>274</v>
      </c>
      <c r="I251" s="1">
        <v>68634</v>
      </c>
      <c r="J251" s="1">
        <v>68488</v>
      </c>
      <c r="K251" s="1">
        <v>251</v>
      </c>
      <c r="L251" s="1" t="s">
        <v>48</v>
      </c>
      <c r="M251" s="1" t="s">
        <v>359</v>
      </c>
      <c r="N251" s="1" t="s">
        <v>359</v>
      </c>
      <c r="O251" s="8" t="s">
        <v>360</v>
      </c>
      <c r="P251" s="15">
        <f>(Table1_149[[#This Row],[Likes]]+Table1_149[[#This Row],[Shares]]+Table1_149[[#This Row],[Comments]])/Table1_149[[#This Row],[Impressions]]</f>
        <v>7.3170731707317069E-2</v>
      </c>
      <c r="Q251" s="81" t="b">
        <f t="shared" si="3"/>
        <v>0</v>
      </c>
    </row>
    <row r="252" spans="1:17" x14ac:dyDescent="0.3">
      <c r="A252" s="6" t="s">
        <v>304</v>
      </c>
      <c r="B252" s="1" t="s">
        <v>28</v>
      </c>
      <c r="C252" s="7">
        <v>45743</v>
      </c>
      <c r="D252" s="1" t="s">
        <v>36</v>
      </c>
      <c r="E252" s="1" t="s">
        <v>65</v>
      </c>
      <c r="F252" s="1">
        <v>1377</v>
      </c>
      <c r="G252" s="1">
        <v>796</v>
      </c>
      <c r="H252" s="1">
        <v>387</v>
      </c>
      <c r="I252" s="1">
        <v>22032</v>
      </c>
      <c r="J252" s="1">
        <v>21869</v>
      </c>
      <c r="K252" s="1">
        <v>189</v>
      </c>
      <c r="L252" s="1" t="s">
        <v>48</v>
      </c>
      <c r="M252" s="1" t="s">
        <v>359</v>
      </c>
      <c r="N252" s="1" t="s">
        <v>359</v>
      </c>
      <c r="O252" s="8" t="s">
        <v>360</v>
      </c>
      <c r="P252" s="15">
        <f>(Table1_149[[#This Row],[Likes]]+Table1_149[[#This Row],[Shares]]+Table1_149[[#This Row],[Comments]])/Table1_149[[#This Row],[Impressions]]</f>
        <v>0.11619462599854757</v>
      </c>
      <c r="Q252" s="81" t="b">
        <f t="shared" si="3"/>
        <v>0</v>
      </c>
    </row>
    <row r="253" spans="1:17" x14ac:dyDescent="0.3">
      <c r="A253" s="6" t="s">
        <v>305</v>
      </c>
      <c r="B253" s="1" t="s">
        <v>35</v>
      </c>
      <c r="C253" s="7">
        <v>45775</v>
      </c>
      <c r="D253" s="1" t="s">
        <v>36</v>
      </c>
      <c r="E253" s="1" t="s">
        <v>37</v>
      </c>
      <c r="F253" s="1">
        <v>2089</v>
      </c>
      <c r="G253" s="1">
        <v>476</v>
      </c>
      <c r="H253" s="1">
        <v>69</v>
      </c>
      <c r="I253" s="1">
        <v>16712</v>
      </c>
      <c r="J253" s="1">
        <v>16309</v>
      </c>
      <c r="K253" s="1">
        <v>64</v>
      </c>
      <c r="L253" s="1" t="s">
        <v>48</v>
      </c>
      <c r="M253" s="1" t="s">
        <v>359</v>
      </c>
      <c r="N253" s="1" t="s">
        <v>359</v>
      </c>
      <c r="O253" s="8" t="s">
        <v>26</v>
      </c>
      <c r="P253" s="15">
        <f>(Table1_149[[#This Row],[Likes]]+Table1_149[[#This Row],[Shares]]+Table1_149[[#This Row],[Comments]])/Table1_149[[#This Row],[Impressions]]</f>
        <v>0.15761129727142173</v>
      </c>
      <c r="Q253" s="81" t="str">
        <f t="shared" si="3"/>
        <v>Before</v>
      </c>
    </row>
    <row r="254" spans="1:17" x14ac:dyDescent="0.3">
      <c r="A254" s="6" t="s">
        <v>306</v>
      </c>
      <c r="B254" s="1" t="s">
        <v>14</v>
      </c>
      <c r="C254" s="7">
        <v>45507</v>
      </c>
      <c r="D254" s="1" t="s">
        <v>15</v>
      </c>
      <c r="E254" s="1" t="s">
        <v>16</v>
      </c>
      <c r="F254" s="1">
        <v>3791</v>
      </c>
      <c r="G254" s="1">
        <v>593</v>
      </c>
      <c r="H254" s="1">
        <v>228</v>
      </c>
      <c r="I254" s="1">
        <v>53074</v>
      </c>
      <c r="J254" s="1">
        <v>52613</v>
      </c>
      <c r="K254" s="1">
        <v>205</v>
      </c>
      <c r="L254" s="1" t="s">
        <v>31</v>
      </c>
      <c r="M254" s="1" t="s">
        <v>359</v>
      </c>
      <c r="N254" s="1" t="s">
        <v>359</v>
      </c>
      <c r="O254" s="8" t="s">
        <v>360</v>
      </c>
      <c r="P254" s="15">
        <f>(Table1_149[[#This Row],[Likes]]+Table1_149[[#This Row],[Shares]]+Table1_149[[#This Row],[Comments]])/Table1_149[[#This Row],[Impressions]]</f>
        <v>8.6897539284772202E-2</v>
      </c>
      <c r="Q254" s="81" t="b">
        <f t="shared" si="3"/>
        <v>0</v>
      </c>
    </row>
    <row r="255" spans="1:17" x14ac:dyDescent="0.3">
      <c r="A255" s="6" t="s">
        <v>307</v>
      </c>
      <c r="B255" s="1" t="s">
        <v>14</v>
      </c>
      <c r="C255" s="7">
        <v>45671</v>
      </c>
      <c r="D255" s="1" t="s">
        <v>41</v>
      </c>
      <c r="E255" s="1" t="s">
        <v>88</v>
      </c>
      <c r="F255" s="1">
        <v>2692</v>
      </c>
      <c r="G255" s="1">
        <v>115</v>
      </c>
      <c r="H255" s="1">
        <v>64</v>
      </c>
      <c r="I255" s="1">
        <v>21536</v>
      </c>
      <c r="J255" s="1">
        <v>21120</v>
      </c>
      <c r="K255" s="1">
        <v>224</v>
      </c>
      <c r="L255" s="1" t="s">
        <v>48</v>
      </c>
      <c r="M255" s="1" t="s">
        <v>359</v>
      </c>
      <c r="N255" s="1" t="s">
        <v>359</v>
      </c>
      <c r="O255" s="8" t="s">
        <v>21</v>
      </c>
      <c r="P255" s="15">
        <f>(Table1_149[[#This Row],[Likes]]+Table1_149[[#This Row],[Shares]]+Table1_149[[#This Row],[Comments]])/Table1_149[[#This Row],[Impressions]]</f>
        <v>0.13331166419019316</v>
      </c>
      <c r="Q255" s="81" t="str">
        <f t="shared" si="3"/>
        <v>Before</v>
      </c>
    </row>
    <row r="256" spans="1:17" x14ac:dyDescent="0.3">
      <c r="A256" s="6" t="s">
        <v>308</v>
      </c>
      <c r="B256" s="1" t="s">
        <v>35</v>
      </c>
      <c r="C256" s="7">
        <v>45750</v>
      </c>
      <c r="D256" s="1" t="s">
        <v>29</v>
      </c>
      <c r="E256" s="1" t="s">
        <v>54</v>
      </c>
      <c r="F256" s="1">
        <v>3767</v>
      </c>
      <c r="G256" s="1">
        <v>514</v>
      </c>
      <c r="H256" s="1">
        <v>238</v>
      </c>
      <c r="I256" s="1">
        <v>37670</v>
      </c>
      <c r="J256" s="1">
        <v>36807</v>
      </c>
      <c r="K256" s="1">
        <v>226</v>
      </c>
      <c r="L256" s="1" t="s">
        <v>48</v>
      </c>
      <c r="M256" s="1" t="s">
        <v>359</v>
      </c>
      <c r="N256" s="1" t="s">
        <v>359</v>
      </c>
      <c r="O256" s="8" t="s">
        <v>32</v>
      </c>
      <c r="P256" s="15">
        <f>(Table1_149[[#This Row],[Likes]]+Table1_149[[#This Row],[Shares]]+Table1_149[[#This Row],[Comments]])/Table1_149[[#This Row],[Impressions]]</f>
        <v>0.11996283514733209</v>
      </c>
      <c r="Q256" s="81" t="str">
        <f t="shared" si="3"/>
        <v>After</v>
      </c>
    </row>
    <row r="257" spans="1:17" x14ac:dyDescent="0.3">
      <c r="A257" s="6" t="s">
        <v>309</v>
      </c>
      <c r="B257" s="1" t="s">
        <v>23</v>
      </c>
      <c r="C257" s="7">
        <v>45553</v>
      </c>
      <c r="D257" s="1" t="s">
        <v>36</v>
      </c>
      <c r="E257" s="1" t="s">
        <v>52</v>
      </c>
      <c r="F257" s="1">
        <v>2143</v>
      </c>
      <c r="G257" s="1">
        <v>12</v>
      </c>
      <c r="H257" s="1">
        <v>204</v>
      </c>
      <c r="I257" s="1">
        <v>40717</v>
      </c>
      <c r="J257" s="1">
        <v>40125</v>
      </c>
      <c r="K257" s="1">
        <v>248</v>
      </c>
      <c r="L257" s="1" t="s">
        <v>31</v>
      </c>
      <c r="M257" s="1" t="s">
        <v>359</v>
      </c>
      <c r="N257" s="1" t="s">
        <v>359</v>
      </c>
      <c r="O257" s="8" t="s">
        <v>21</v>
      </c>
      <c r="P257" s="15">
        <f>(Table1_149[[#This Row],[Likes]]+Table1_149[[#This Row],[Shares]]+Table1_149[[#This Row],[Comments]])/Table1_149[[#This Row],[Impressions]]</f>
        <v>5.7936488444630008E-2</v>
      </c>
      <c r="Q257" s="81" t="str">
        <f t="shared" si="3"/>
        <v>Before</v>
      </c>
    </row>
    <row r="258" spans="1:17" x14ac:dyDescent="0.3">
      <c r="A258" s="6" t="s">
        <v>310</v>
      </c>
      <c r="B258" s="1" t="s">
        <v>35</v>
      </c>
      <c r="C258" s="7">
        <v>45753</v>
      </c>
      <c r="D258" s="1" t="s">
        <v>41</v>
      </c>
      <c r="E258" s="1" t="s">
        <v>46</v>
      </c>
      <c r="F258" s="1">
        <v>3090</v>
      </c>
      <c r="G258" s="1">
        <v>697</v>
      </c>
      <c r="H258" s="1">
        <v>164</v>
      </c>
      <c r="I258" s="1">
        <v>49440</v>
      </c>
      <c r="J258" s="1">
        <v>48524</v>
      </c>
      <c r="K258" s="1">
        <v>25</v>
      </c>
      <c r="L258" s="1" t="s">
        <v>31</v>
      </c>
      <c r="M258" s="1" t="s">
        <v>31</v>
      </c>
      <c r="N258" s="1" t="s">
        <v>355</v>
      </c>
      <c r="O258" s="8" t="s">
        <v>21</v>
      </c>
      <c r="P258" s="15">
        <f>(Table1_149[[#This Row],[Likes]]+Table1_149[[#This Row],[Shares]]+Table1_149[[#This Row],[Comments]])/Table1_149[[#This Row],[Impressions]]</f>
        <v>7.9915048543689318E-2</v>
      </c>
      <c r="Q258" s="81" t="str">
        <f t="shared" ref="Q258:Q301" si="4">IF(O:O="CybertruckLaunch",
     IF(AND(C:C&gt;=DATE(2024,10,15),C:C&lt;=DATE(2024,11,10)),"During",
        IF(C:C&lt;DATE(2024,10,15),"Before","After")),
 IF(O:O="ModelYCampaign",
     IF(AND(C:C&gt;=DATE(2025,3,1),C:C&lt;=DATE(2025,3,20)),"During",
        IF(C:C&lt;DATE(2025,3,1),"Before","After")),
 IF(O:O="SustainabilityDrive",
     IF(AND(C:C&gt;=DATE(2024,6,10),C:C&lt;=DATE(2024,6,25)),"During",
        IF(C:C&lt;DATE(2024,6,10),"Before","After")),
 IF(O:O="FSDUpdate",
     IF(AND(C:C&gt;=DATE(2025,5,1),C:C&lt;=DATE(2025,5,15)),"During",
        IF(C:C&lt;DATE(2025,5,1),"Before","After"))))))</f>
        <v>After</v>
      </c>
    </row>
    <row r="259" spans="1:17" x14ac:dyDescent="0.3">
      <c r="A259" s="6" t="s">
        <v>311</v>
      </c>
      <c r="B259" s="1" t="s">
        <v>28</v>
      </c>
      <c r="C259" s="7">
        <v>45509</v>
      </c>
      <c r="D259" s="1" t="s">
        <v>29</v>
      </c>
      <c r="E259" s="1" t="s">
        <v>30</v>
      </c>
      <c r="F259" s="1">
        <v>3601</v>
      </c>
      <c r="G259" s="1">
        <v>695</v>
      </c>
      <c r="H259" s="1">
        <v>75</v>
      </c>
      <c r="I259" s="1">
        <v>21606</v>
      </c>
      <c r="J259" s="1">
        <v>21454</v>
      </c>
      <c r="K259" s="1">
        <v>172</v>
      </c>
      <c r="L259" s="1" t="s">
        <v>31</v>
      </c>
      <c r="M259" s="1" t="s">
        <v>359</v>
      </c>
      <c r="N259" s="1" t="s">
        <v>359</v>
      </c>
      <c r="O259" s="8" t="s">
        <v>21</v>
      </c>
      <c r="P259" s="15">
        <f>(Table1_149[[#This Row],[Likes]]+Table1_149[[#This Row],[Shares]]+Table1_149[[#This Row],[Comments]])/Table1_149[[#This Row],[Impressions]]</f>
        <v>0.2023049153013052</v>
      </c>
      <c r="Q259" s="81" t="str">
        <f t="shared" si="4"/>
        <v>Before</v>
      </c>
    </row>
    <row r="260" spans="1:17" x14ac:dyDescent="0.3">
      <c r="A260" s="6" t="s">
        <v>312</v>
      </c>
      <c r="B260" s="1" t="s">
        <v>35</v>
      </c>
      <c r="C260" s="7">
        <v>45698</v>
      </c>
      <c r="D260" s="1" t="s">
        <v>19</v>
      </c>
      <c r="E260" s="1" t="s">
        <v>44</v>
      </c>
      <c r="F260" s="1">
        <v>562</v>
      </c>
      <c r="G260" s="1">
        <v>158</v>
      </c>
      <c r="H260" s="1">
        <v>149</v>
      </c>
      <c r="I260" s="1">
        <v>3372</v>
      </c>
      <c r="J260" s="1">
        <v>2940</v>
      </c>
      <c r="K260" s="1">
        <v>93</v>
      </c>
      <c r="L260" s="1" t="s">
        <v>25</v>
      </c>
      <c r="M260" s="1" t="s">
        <v>359</v>
      </c>
      <c r="N260" s="1" t="s">
        <v>359</v>
      </c>
      <c r="O260" s="8" t="s">
        <v>17</v>
      </c>
      <c r="P260" s="15">
        <f>(Table1_149[[#This Row],[Likes]]+Table1_149[[#This Row],[Shares]]+Table1_149[[#This Row],[Comments]])/Table1_149[[#This Row],[Impressions]]</f>
        <v>0.25771055753262156</v>
      </c>
      <c r="Q260" s="81" t="str">
        <f t="shared" si="4"/>
        <v>After</v>
      </c>
    </row>
    <row r="261" spans="1:17" x14ac:dyDescent="0.3">
      <c r="A261" s="6" t="s">
        <v>313</v>
      </c>
      <c r="B261" s="1" t="s">
        <v>28</v>
      </c>
      <c r="C261" s="7">
        <v>45700</v>
      </c>
      <c r="D261" s="1" t="s">
        <v>29</v>
      </c>
      <c r="E261" s="1" t="s">
        <v>30</v>
      </c>
      <c r="F261" s="1">
        <v>4332</v>
      </c>
      <c r="G261" s="1">
        <v>771</v>
      </c>
      <c r="H261" s="1">
        <v>219</v>
      </c>
      <c r="I261" s="1">
        <v>60648</v>
      </c>
      <c r="J261" s="1">
        <v>60397</v>
      </c>
      <c r="K261" s="1">
        <v>10</v>
      </c>
      <c r="L261" s="1" t="s">
        <v>25</v>
      </c>
      <c r="M261" s="1" t="s">
        <v>31</v>
      </c>
      <c r="N261" s="1" t="s">
        <v>355</v>
      </c>
      <c r="O261" s="8" t="s">
        <v>26</v>
      </c>
      <c r="P261" s="15">
        <f>(Table1_149[[#This Row],[Likes]]+Table1_149[[#This Row],[Shares]]+Table1_149[[#This Row],[Comments]])/Table1_149[[#This Row],[Impressions]]</f>
        <v>8.7752275425405618E-2</v>
      </c>
      <c r="Q261" s="81" t="str">
        <f t="shared" si="4"/>
        <v>Before</v>
      </c>
    </row>
    <row r="262" spans="1:17" x14ac:dyDescent="0.3">
      <c r="A262" s="6" t="s">
        <v>314</v>
      </c>
      <c r="B262" s="1" t="s">
        <v>28</v>
      </c>
      <c r="C262" s="7">
        <v>45592</v>
      </c>
      <c r="D262" s="1" t="s">
        <v>41</v>
      </c>
      <c r="E262" s="1" t="s">
        <v>134</v>
      </c>
      <c r="F262" s="1">
        <v>4853</v>
      </c>
      <c r="G262" s="1">
        <v>837</v>
      </c>
      <c r="H262" s="1">
        <v>340</v>
      </c>
      <c r="I262" s="1">
        <v>72795</v>
      </c>
      <c r="J262" s="1">
        <v>72237</v>
      </c>
      <c r="K262" s="1">
        <v>170</v>
      </c>
      <c r="L262" s="1" t="s">
        <v>31</v>
      </c>
      <c r="M262" s="1" t="s">
        <v>359</v>
      </c>
      <c r="N262" s="1" t="s">
        <v>359</v>
      </c>
      <c r="O262" s="8" t="s">
        <v>17</v>
      </c>
      <c r="P262" s="15">
        <f>(Table1_149[[#This Row],[Likes]]+Table1_149[[#This Row],[Shares]]+Table1_149[[#This Row],[Comments]])/Table1_149[[#This Row],[Impressions]]</f>
        <v>8.2835359571399134E-2</v>
      </c>
      <c r="Q262" s="81" t="str">
        <f t="shared" si="4"/>
        <v>During</v>
      </c>
    </row>
    <row r="263" spans="1:17" x14ac:dyDescent="0.3">
      <c r="A263" s="6" t="s">
        <v>315</v>
      </c>
      <c r="B263" s="1" t="s">
        <v>23</v>
      </c>
      <c r="C263" s="7">
        <v>45675</v>
      </c>
      <c r="D263" s="1" t="s">
        <v>41</v>
      </c>
      <c r="E263" s="1" t="s">
        <v>42</v>
      </c>
      <c r="F263" s="1">
        <v>1206</v>
      </c>
      <c r="G263" s="1">
        <v>238</v>
      </c>
      <c r="H263" s="1">
        <v>36</v>
      </c>
      <c r="I263" s="1">
        <v>9648</v>
      </c>
      <c r="J263" s="1">
        <v>9417</v>
      </c>
      <c r="K263" s="1">
        <v>237</v>
      </c>
      <c r="L263" s="1" t="s">
        <v>25</v>
      </c>
      <c r="M263" s="1" t="s">
        <v>359</v>
      </c>
      <c r="N263" s="1" t="s">
        <v>359</v>
      </c>
      <c r="O263" s="8" t="s">
        <v>360</v>
      </c>
      <c r="P263" s="15">
        <f>(Table1_149[[#This Row],[Likes]]+Table1_149[[#This Row],[Shares]]+Table1_149[[#This Row],[Comments]])/Table1_149[[#This Row],[Impressions]]</f>
        <v>0.15339966832504145</v>
      </c>
      <c r="Q263" s="81" t="b">
        <f t="shared" si="4"/>
        <v>0</v>
      </c>
    </row>
    <row r="264" spans="1:17" x14ac:dyDescent="0.3">
      <c r="A264" s="6" t="s">
        <v>316</v>
      </c>
      <c r="B264" s="1" t="s">
        <v>28</v>
      </c>
      <c r="C264" s="7">
        <v>45524</v>
      </c>
      <c r="D264" s="1" t="s">
        <v>15</v>
      </c>
      <c r="E264" s="1" t="s">
        <v>61</v>
      </c>
      <c r="F264" s="1">
        <v>2603</v>
      </c>
      <c r="G264" s="1">
        <v>690</v>
      </c>
      <c r="H264" s="1">
        <v>205</v>
      </c>
      <c r="I264" s="1">
        <v>13015</v>
      </c>
      <c r="J264" s="1">
        <v>12130</v>
      </c>
      <c r="K264" s="1">
        <v>20</v>
      </c>
      <c r="L264" s="1" t="s">
        <v>48</v>
      </c>
      <c r="M264" s="1" t="s">
        <v>359</v>
      </c>
      <c r="N264" s="1" t="s">
        <v>359</v>
      </c>
      <c r="O264" s="8" t="s">
        <v>21</v>
      </c>
      <c r="P264" s="15">
        <f>(Table1_149[[#This Row],[Likes]]+Table1_149[[#This Row],[Shares]]+Table1_149[[#This Row],[Comments]])/Table1_149[[#This Row],[Impressions]]</f>
        <v>0.26876680752977333</v>
      </c>
      <c r="Q264" s="81" t="str">
        <f t="shared" si="4"/>
        <v>Before</v>
      </c>
    </row>
    <row r="265" spans="1:17" x14ac:dyDescent="0.3">
      <c r="A265" s="6" t="s">
        <v>317</v>
      </c>
      <c r="B265" s="1" t="s">
        <v>14</v>
      </c>
      <c r="C265" s="7">
        <v>45687</v>
      </c>
      <c r="D265" s="1" t="s">
        <v>41</v>
      </c>
      <c r="E265" s="1" t="s">
        <v>88</v>
      </c>
      <c r="F265" s="1">
        <v>59</v>
      </c>
      <c r="G265" s="1">
        <v>163</v>
      </c>
      <c r="H265" s="1">
        <v>93</v>
      </c>
      <c r="I265" s="1">
        <v>590</v>
      </c>
      <c r="J265" s="1">
        <v>475</v>
      </c>
      <c r="K265" s="1">
        <v>293</v>
      </c>
      <c r="L265" s="1" t="s">
        <v>25</v>
      </c>
      <c r="M265" s="1" t="s">
        <v>359</v>
      </c>
      <c r="N265" s="1" t="s">
        <v>359</v>
      </c>
      <c r="O265" s="8" t="s">
        <v>21</v>
      </c>
      <c r="P265" s="15">
        <f>(Table1_149[[#This Row],[Likes]]+Table1_149[[#This Row],[Shares]]+Table1_149[[#This Row],[Comments]])/Table1_149[[#This Row],[Impressions]]</f>
        <v>0.53389830508474578</v>
      </c>
      <c r="Q265" s="81" t="str">
        <f t="shared" si="4"/>
        <v>Before</v>
      </c>
    </row>
    <row r="266" spans="1:17" x14ac:dyDescent="0.3">
      <c r="A266" s="6" t="s">
        <v>318</v>
      </c>
      <c r="B266" s="1" t="s">
        <v>14</v>
      </c>
      <c r="C266" s="7">
        <v>45708</v>
      </c>
      <c r="D266" s="1" t="s">
        <v>36</v>
      </c>
      <c r="E266" s="1" t="s">
        <v>39</v>
      </c>
      <c r="F266" s="1">
        <v>1877</v>
      </c>
      <c r="G266" s="1">
        <v>745</v>
      </c>
      <c r="H266" s="1">
        <v>225</v>
      </c>
      <c r="I266" s="1">
        <v>11262</v>
      </c>
      <c r="J266" s="1">
        <v>10967</v>
      </c>
      <c r="K266" s="1">
        <v>41</v>
      </c>
      <c r="L266" s="1" t="s">
        <v>31</v>
      </c>
      <c r="M266" s="1" t="s">
        <v>359</v>
      </c>
      <c r="N266" s="1" t="s">
        <v>359</v>
      </c>
      <c r="O266" s="8" t="s">
        <v>32</v>
      </c>
      <c r="P266" s="15">
        <f>(Table1_149[[#This Row],[Likes]]+Table1_149[[#This Row],[Shares]]+Table1_149[[#This Row],[Comments]])/Table1_149[[#This Row],[Impressions]]</f>
        <v>0.25279701651571657</v>
      </c>
      <c r="Q266" s="81" t="str">
        <f t="shared" si="4"/>
        <v>After</v>
      </c>
    </row>
    <row r="267" spans="1:17" x14ac:dyDescent="0.3">
      <c r="A267" s="6" t="s">
        <v>319</v>
      </c>
      <c r="B267" s="1" t="s">
        <v>35</v>
      </c>
      <c r="C267" s="7">
        <v>45621</v>
      </c>
      <c r="D267" s="1" t="s">
        <v>29</v>
      </c>
      <c r="E267" s="1" t="s">
        <v>54</v>
      </c>
      <c r="F267" s="1">
        <v>4182</v>
      </c>
      <c r="G267" s="1">
        <v>640</v>
      </c>
      <c r="H267" s="1">
        <v>240</v>
      </c>
      <c r="I267" s="1">
        <v>50184</v>
      </c>
      <c r="J267" s="1">
        <v>49351</v>
      </c>
      <c r="K267" s="1">
        <v>10</v>
      </c>
      <c r="L267" s="1" t="s">
        <v>25</v>
      </c>
      <c r="M267" s="1" t="s">
        <v>359</v>
      </c>
      <c r="N267" s="1" t="s">
        <v>359</v>
      </c>
      <c r="O267" s="8" t="s">
        <v>26</v>
      </c>
      <c r="P267" s="15">
        <f>(Table1_149[[#This Row],[Likes]]+Table1_149[[#This Row],[Shares]]+Table1_149[[#This Row],[Comments]])/Table1_149[[#This Row],[Impressions]]</f>
        <v>0.10086880280567512</v>
      </c>
      <c r="Q267" s="81" t="str">
        <f t="shared" si="4"/>
        <v>Before</v>
      </c>
    </row>
    <row r="268" spans="1:17" x14ac:dyDescent="0.3">
      <c r="A268" s="6" t="s">
        <v>320</v>
      </c>
      <c r="B268" s="1" t="s">
        <v>14</v>
      </c>
      <c r="C268" s="7">
        <v>45569</v>
      </c>
      <c r="D268" s="1" t="s">
        <v>15</v>
      </c>
      <c r="E268" s="1" t="s">
        <v>16</v>
      </c>
      <c r="F268" s="1">
        <v>4187</v>
      </c>
      <c r="G268" s="1">
        <v>66</v>
      </c>
      <c r="H268" s="1">
        <v>31</v>
      </c>
      <c r="I268" s="1">
        <v>66992</v>
      </c>
      <c r="J268" s="1">
        <v>66614</v>
      </c>
      <c r="K268" s="1">
        <v>62</v>
      </c>
      <c r="L268" s="1" t="s">
        <v>48</v>
      </c>
      <c r="M268" s="1" t="s">
        <v>359</v>
      </c>
      <c r="N268" s="1" t="s">
        <v>359</v>
      </c>
      <c r="O268" s="8" t="s">
        <v>360</v>
      </c>
      <c r="P268" s="15">
        <f>(Table1_149[[#This Row],[Likes]]+Table1_149[[#This Row],[Shares]]+Table1_149[[#This Row],[Comments]])/Table1_149[[#This Row],[Impressions]]</f>
        <v>6.3947934081681396E-2</v>
      </c>
      <c r="Q268" s="81" t="b">
        <f t="shared" si="4"/>
        <v>0</v>
      </c>
    </row>
    <row r="269" spans="1:17" x14ac:dyDescent="0.3">
      <c r="A269" s="6" t="s">
        <v>321</v>
      </c>
      <c r="B269" s="1" t="s">
        <v>28</v>
      </c>
      <c r="C269" s="7">
        <v>45760</v>
      </c>
      <c r="D269" s="1" t="s">
        <v>15</v>
      </c>
      <c r="E269" s="1" t="s">
        <v>61</v>
      </c>
      <c r="F269" s="1">
        <v>4579</v>
      </c>
      <c r="G269" s="1">
        <v>125</v>
      </c>
      <c r="H269" s="1">
        <v>300</v>
      </c>
      <c r="I269" s="1">
        <v>59527</v>
      </c>
      <c r="J269" s="1">
        <v>59400</v>
      </c>
      <c r="K269" s="1">
        <v>269</v>
      </c>
      <c r="L269" s="1" t="s">
        <v>31</v>
      </c>
      <c r="M269" s="1" t="s">
        <v>359</v>
      </c>
      <c r="N269" s="1" t="s">
        <v>359</v>
      </c>
      <c r="O269" s="8" t="s">
        <v>17</v>
      </c>
      <c r="P269" s="15">
        <f>(Table1_149[[#This Row],[Likes]]+Table1_149[[#This Row],[Shares]]+Table1_149[[#This Row],[Comments]])/Table1_149[[#This Row],[Impressions]]</f>
        <v>8.4062694239588759E-2</v>
      </c>
      <c r="Q269" s="81" t="str">
        <f t="shared" si="4"/>
        <v>After</v>
      </c>
    </row>
    <row r="270" spans="1:17" x14ac:dyDescent="0.3">
      <c r="A270" s="6" t="s">
        <v>322</v>
      </c>
      <c r="B270" s="1" t="s">
        <v>28</v>
      </c>
      <c r="C270" s="7">
        <v>45601</v>
      </c>
      <c r="D270" s="1" t="s">
        <v>56</v>
      </c>
      <c r="E270" s="1" t="s">
        <v>63</v>
      </c>
      <c r="F270" s="1">
        <v>4561</v>
      </c>
      <c r="G270" s="1">
        <v>51</v>
      </c>
      <c r="H270" s="1">
        <v>441</v>
      </c>
      <c r="I270" s="1">
        <v>22805</v>
      </c>
      <c r="J270" s="1">
        <v>21890</v>
      </c>
      <c r="K270" s="1">
        <v>45</v>
      </c>
      <c r="L270" s="1" t="s">
        <v>25</v>
      </c>
      <c r="M270" s="1" t="s">
        <v>359</v>
      </c>
      <c r="N270" s="1" t="s">
        <v>359</v>
      </c>
      <c r="O270" s="8" t="s">
        <v>21</v>
      </c>
      <c r="P270" s="15">
        <f>(Table1_149[[#This Row],[Likes]]+Table1_149[[#This Row],[Shares]]+Table1_149[[#This Row],[Comments]])/Table1_149[[#This Row],[Impressions]]</f>
        <v>0.22157421618066214</v>
      </c>
      <c r="Q270" s="81" t="str">
        <f t="shared" si="4"/>
        <v>Before</v>
      </c>
    </row>
    <row r="271" spans="1:17" x14ac:dyDescent="0.3">
      <c r="A271" s="6" t="s">
        <v>323</v>
      </c>
      <c r="B271" s="1" t="s">
        <v>23</v>
      </c>
      <c r="C271" s="7">
        <v>45672</v>
      </c>
      <c r="D271" s="1" t="s">
        <v>15</v>
      </c>
      <c r="E271" s="1" t="s">
        <v>24</v>
      </c>
      <c r="F271" s="1">
        <v>3774</v>
      </c>
      <c r="G271" s="1">
        <v>239</v>
      </c>
      <c r="H271" s="1">
        <v>39</v>
      </c>
      <c r="I271" s="1">
        <v>60384</v>
      </c>
      <c r="J271" s="1">
        <v>59490</v>
      </c>
      <c r="K271" s="1">
        <v>241</v>
      </c>
      <c r="L271" s="1" t="s">
        <v>25</v>
      </c>
      <c r="M271" s="1" t="s">
        <v>359</v>
      </c>
      <c r="N271" s="1" t="s">
        <v>359</v>
      </c>
      <c r="O271" s="8" t="s">
        <v>26</v>
      </c>
      <c r="P271" s="15">
        <f>(Table1_149[[#This Row],[Likes]]+Table1_149[[#This Row],[Shares]]+Table1_149[[#This Row],[Comments]])/Table1_149[[#This Row],[Impressions]]</f>
        <v>6.7103868574456813E-2</v>
      </c>
      <c r="Q271" s="81" t="str">
        <f t="shared" si="4"/>
        <v>Before</v>
      </c>
    </row>
    <row r="272" spans="1:17" x14ac:dyDescent="0.3">
      <c r="A272" s="6" t="s">
        <v>324</v>
      </c>
      <c r="B272" s="1" t="s">
        <v>28</v>
      </c>
      <c r="C272" s="7">
        <v>45582</v>
      </c>
      <c r="D272" s="1" t="s">
        <v>56</v>
      </c>
      <c r="E272" s="1" t="s">
        <v>63</v>
      </c>
      <c r="F272" s="1">
        <v>3575</v>
      </c>
      <c r="G272" s="1">
        <v>749</v>
      </c>
      <c r="H272" s="1">
        <v>111</v>
      </c>
      <c r="I272" s="1">
        <v>21450</v>
      </c>
      <c r="J272" s="1">
        <v>20785</v>
      </c>
      <c r="K272" s="1">
        <v>195</v>
      </c>
      <c r="L272" s="1" t="s">
        <v>31</v>
      </c>
      <c r="M272" s="1" t="s">
        <v>359</v>
      </c>
      <c r="N272" s="1" t="s">
        <v>359</v>
      </c>
      <c r="O272" s="8" t="s">
        <v>21</v>
      </c>
      <c r="P272" s="15">
        <f>(Table1_149[[#This Row],[Likes]]+Table1_149[[#This Row],[Shares]]+Table1_149[[#This Row],[Comments]])/Table1_149[[#This Row],[Impressions]]</f>
        <v>0.20675990675990677</v>
      </c>
      <c r="Q272" s="81" t="str">
        <f t="shared" si="4"/>
        <v>Before</v>
      </c>
    </row>
    <row r="273" spans="1:17" x14ac:dyDescent="0.3">
      <c r="A273" s="6" t="s">
        <v>325</v>
      </c>
      <c r="B273" s="1" t="s">
        <v>28</v>
      </c>
      <c r="C273" s="7">
        <v>45743</v>
      </c>
      <c r="D273" s="1" t="s">
        <v>19</v>
      </c>
      <c r="E273" s="1" t="s">
        <v>78</v>
      </c>
      <c r="F273" s="1">
        <v>4941</v>
      </c>
      <c r="G273" s="1">
        <v>414</v>
      </c>
      <c r="H273" s="1">
        <v>266</v>
      </c>
      <c r="I273" s="1">
        <v>39528</v>
      </c>
      <c r="J273" s="1">
        <v>39154</v>
      </c>
      <c r="K273" s="1">
        <v>217</v>
      </c>
      <c r="L273" s="1" t="s">
        <v>25</v>
      </c>
      <c r="M273" s="1" t="s">
        <v>359</v>
      </c>
      <c r="N273" s="1" t="s">
        <v>359</v>
      </c>
      <c r="O273" s="8" t="s">
        <v>26</v>
      </c>
      <c r="P273" s="15">
        <f>(Table1_149[[#This Row],[Likes]]+Table1_149[[#This Row],[Shares]]+Table1_149[[#This Row],[Comments]])/Table1_149[[#This Row],[Impressions]]</f>
        <v>0.14220299534507186</v>
      </c>
      <c r="Q273" s="81" t="str">
        <f t="shared" si="4"/>
        <v>Before</v>
      </c>
    </row>
    <row r="274" spans="1:17" x14ac:dyDescent="0.3">
      <c r="A274" s="6" t="s">
        <v>326</v>
      </c>
      <c r="B274" s="1" t="s">
        <v>23</v>
      </c>
      <c r="C274" s="7">
        <v>45577</v>
      </c>
      <c r="D274" s="1" t="s">
        <v>29</v>
      </c>
      <c r="E274" s="1" t="s">
        <v>101</v>
      </c>
      <c r="F274" s="1">
        <v>3641</v>
      </c>
      <c r="G274" s="1">
        <v>226</v>
      </c>
      <c r="H274" s="1">
        <v>46</v>
      </c>
      <c r="I274" s="1">
        <v>40051</v>
      </c>
      <c r="J274" s="1">
        <v>39319</v>
      </c>
      <c r="K274" s="1">
        <v>296</v>
      </c>
      <c r="L274" s="1" t="s">
        <v>31</v>
      </c>
      <c r="M274" s="1" t="s">
        <v>359</v>
      </c>
      <c r="N274" s="1" t="s">
        <v>359</v>
      </c>
      <c r="O274" s="8" t="s">
        <v>32</v>
      </c>
      <c r="P274" s="15">
        <f>(Table1_149[[#This Row],[Likes]]+Table1_149[[#This Row],[Shares]]+Table1_149[[#This Row],[Comments]])/Table1_149[[#This Row],[Impressions]]</f>
        <v>9.7700431949264685E-2</v>
      </c>
      <c r="Q274" s="81" t="str">
        <f t="shared" si="4"/>
        <v>After</v>
      </c>
    </row>
    <row r="275" spans="1:17" x14ac:dyDescent="0.3">
      <c r="A275" s="6" t="s">
        <v>327</v>
      </c>
      <c r="B275" s="1" t="s">
        <v>14</v>
      </c>
      <c r="C275" s="7">
        <v>45658</v>
      </c>
      <c r="D275" s="1" t="s">
        <v>36</v>
      </c>
      <c r="E275" s="1" t="s">
        <v>39</v>
      </c>
      <c r="F275" s="1">
        <v>3535</v>
      </c>
      <c r="G275" s="1">
        <v>494</v>
      </c>
      <c r="H275" s="1">
        <v>152</v>
      </c>
      <c r="I275" s="1">
        <v>53025</v>
      </c>
      <c r="J275" s="1">
        <v>52791</v>
      </c>
      <c r="K275" s="1">
        <v>44</v>
      </c>
      <c r="L275" s="1" t="s">
        <v>25</v>
      </c>
      <c r="M275" s="1" t="s">
        <v>359</v>
      </c>
      <c r="N275" s="1" t="s">
        <v>359</v>
      </c>
      <c r="O275" s="8" t="s">
        <v>32</v>
      </c>
      <c r="P275" s="15">
        <f>(Table1_149[[#This Row],[Likes]]+Table1_149[[#This Row],[Shares]]+Table1_149[[#This Row],[Comments]])/Table1_149[[#This Row],[Impressions]]</f>
        <v>7.8849599245638849E-2</v>
      </c>
      <c r="Q275" s="81" t="str">
        <f t="shared" si="4"/>
        <v>After</v>
      </c>
    </row>
    <row r="276" spans="1:17" x14ac:dyDescent="0.3">
      <c r="A276" s="6" t="s">
        <v>328</v>
      </c>
      <c r="B276" s="1" t="s">
        <v>35</v>
      </c>
      <c r="C276" s="7">
        <v>45509</v>
      </c>
      <c r="D276" s="1" t="s">
        <v>15</v>
      </c>
      <c r="E276" s="1" t="s">
        <v>50</v>
      </c>
      <c r="F276" s="1">
        <v>1741</v>
      </c>
      <c r="G276" s="1">
        <v>831</v>
      </c>
      <c r="H276" s="1">
        <v>345</v>
      </c>
      <c r="I276" s="1">
        <v>17410</v>
      </c>
      <c r="J276" s="1">
        <v>16844</v>
      </c>
      <c r="K276" s="1">
        <v>58</v>
      </c>
      <c r="L276" s="1" t="s">
        <v>31</v>
      </c>
      <c r="M276" s="1" t="s">
        <v>359</v>
      </c>
      <c r="N276" s="1" t="s">
        <v>359</v>
      </c>
      <c r="O276" s="8" t="s">
        <v>26</v>
      </c>
      <c r="P276" s="15">
        <f>(Table1_149[[#This Row],[Likes]]+Table1_149[[#This Row],[Shares]]+Table1_149[[#This Row],[Comments]])/Table1_149[[#This Row],[Impressions]]</f>
        <v>0.16754738655944859</v>
      </c>
      <c r="Q276" s="81" t="str">
        <f t="shared" si="4"/>
        <v>Before</v>
      </c>
    </row>
    <row r="277" spans="1:17" x14ac:dyDescent="0.3">
      <c r="A277" s="6" t="s">
        <v>329</v>
      </c>
      <c r="B277" s="1" t="s">
        <v>14</v>
      </c>
      <c r="C277" s="7">
        <v>45450</v>
      </c>
      <c r="D277" s="1" t="s">
        <v>36</v>
      </c>
      <c r="E277" s="1" t="s">
        <v>39</v>
      </c>
      <c r="F277" s="1">
        <v>1556</v>
      </c>
      <c r="G277" s="1">
        <v>195</v>
      </c>
      <c r="H277" s="1">
        <v>131</v>
      </c>
      <c r="I277" s="1">
        <v>9336</v>
      </c>
      <c r="J277" s="1">
        <v>8875</v>
      </c>
      <c r="K277" s="1">
        <v>137</v>
      </c>
      <c r="L277" s="1" t="s">
        <v>25</v>
      </c>
      <c r="M277" s="1" t="s">
        <v>359</v>
      </c>
      <c r="N277" s="1" t="s">
        <v>359</v>
      </c>
      <c r="O277" s="8" t="s">
        <v>21</v>
      </c>
      <c r="P277" s="15">
        <f>(Table1_149[[#This Row],[Likes]]+Table1_149[[#This Row],[Shares]]+Table1_149[[#This Row],[Comments]])/Table1_149[[#This Row],[Impressions]]</f>
        <v>0.2015852613538989</v>
      </c>
      <c r="Q277" s="81" t="str">
        <f t="shared" si="4"/>
        <v>Before</v>
      </c>
    </row>
    <row r="278" spans="1:17" x14ac:dyDescent="0.3">
      <c r="A278" s="6" t="s">
        <v>330</v>
      </c>
      <c r="B278" s="1" t="s">
        <v>35</v>
      </c>
      <c r="C278" s="7">
        <v>45753</v>
      </c>
      <c r="D278" s="1" t="s">
        <v>41</v>
      </c>
      <c r="E278" s="1" t="s">
        <v>46</v>
      </c>
      <c r="F278" s="1">
        <v>4236</v>
      </c>
      <c r="G278" s="1">
        <v>711</v>
      </c>
      <c r="H278" s="1">
        <v>298</v>
      </c>
      <c r="I278" s="1">
        <v>21180</v>
      </c>
      <c r="J278" s="1">
        <v>20516</v>
      </c>
      <c r="K278" s="1">
        <v>238</v>
      </c>
      <c r="L278" s="1" t="s">
        <v>48</v>
      </c>
      <c r="M278" s="1" t="s">
        <v>359</v>
      </c>
      <c r="N278" s="1" t="s">
        <v>359</v>
      </c>
      <c r="O278" s="8" t="s">
        <v>17</v>
      </c>
      <c r="P278" s="15">
        <f>(Table1_149[[#This Row],[Likes]]+Table1_149[[#This Row],[Shares]]+Table1_149[[#This Row],[Comments]])/Table1_149[[#This Row],[Impressions]]</f>
        <v>0.24763928234183191</v>
      </c>
      <c r="Q278" s="81" t="str">
        <f t="shared" si="4"/>
        <v>After</v>
      </c>
    </row>
    <row r="279" spans="1:17" x14ac:dyDescent="0.3">
      <c r="A279" s="6" t="s">
        <v>331</v>
      </c>
      <c r="B279" s="1" t="s">
        <v>14</v>
      </c>
      <c r="C279" s="7">
        <v>45622</v>
      </c>
      <c r="D279" s="1" t="s">
        <v>19</v>
      </c>
      <c r="E279" s="1" t="s">
        <v>20</v>
      </c>
      <c r="F279" s="1">
        <v>4516</v>
      </c>
      <c r="G279" s="1">
        <v>836</v>
      </c>
      <c r="H279" s="1">
        <v>169</v>
      </c>
      <c r="I279" s="1">
        <v>49676</v>
      </c>
      <c r="J279" s="1">
        <v>49257</v>
      </c>
      <c r="K279" s="1">
        <v>282</v>
      </c>
      <c r="L279" s="1" t="s">
        <v>31</v>
      </c>
      <c r="M279" s="1" t="s">
        <v>359</v>
      </c>
      <c r="N279" s="1" t="s">
        <v>359</v>
      </c>
      <c r="O279" s="8" t="s">
        <v>32</v>
      </c>
      <c r="P279" s="15">
        <f>(Table1_149[[#This Row],[Likes]]+Table1_149[[#This Row],[Shares]]+Table1_149[[#This Row],[Comments]])/Table1_149[[#This Row],[Impressions]]</f>
        <v>0.11114018842096787</v>
      </c>
      <c r="Q279" s="81" t="str">
        <f t="shared" si="4"/>
        <v>After</v>
      </c>
    </row>
    <row r="280" spans="1:17" x14ac:dyDescent="0.3">
      <c r="A280" s="6" t="s">
        <v>332</v>
      </c>
      <c r="B280" s="1" t="s">
        <v>23</v>
      </c>
      <c r="C280" s="7">
        <v>45537</v>
      </c>
      <c r="D280" s="1" t="s">
        <v>41</v>
      </c>
      <c r="E280" s="1" t="s">
        <v>42</v>
      </c>
      <c r="F280" s="1">
        <v>4905</v>
      </c>
      <c r="G280" s="1">
        <v>845</v>
      </c>
      <c r="H280" s="1">
        <v>129</v>
      </c>
      <c r="I280" s="1">
        <v>98100</v>
      </c>
      <c r="J280" s="1">
        <v>97772</v>
      </c>
      <c r="K280" s="1">
        <v>279</v>
      </c>
      <c r="L280" s="1" t="s">
        <v>25</v>
      </c>
      <c r="M280" s="1" t="s">
        <v>359</v>
      </c>
      <c r="N280" s="1" t="s">
        <v>359</v>
      </c>
      <c r="O280" s="8" t="s">
        <v>21</v>
      </c>
      <c r="P280" s="15">
        <f>(Table1_149[[#This Row],[Likes]]+Table1_149[[#This Row],[Shares]]+Table1_149[[#This Row],[Comments]])/Table1_149[[#This Row],[Impressions]]</f>
        <v>5.9928644240570844E-2</v>
      </c>
      <c r="Q280" s="81" t="str">
        <f t="shared" si="4"/>
        <v>Before</v>
      </c>
    </row>
    <row r="281" spans="1:17" x14ac:dyDescent="0.3">
      <c r="A281" s="6" t="s">
        <v>333</v>
      </c>
      <c r="B281" s="1" t="s">
        <v>23</v>
      </c>
      <c r="C281" s="7">
        <v>45586</v>
      </c>
      <c r="D281" s="1" t="s">
        <v>56</v>
      </c>
      <c r="E281" s="1" t="s">
        <v>136</v>
      </c>
      <c r="F281" s="1">
        <v>4275</v>
      </c>
      <c r="G281" s="1">
        <v>680</v>
      </c>
      <c r="H281" s="1">
        <v>385</v>
      </c>
      <c r="I281" s="1">
        <v>64125</v>
      </c>
      <c r="J281" s="1">
        <v>63650</v>
      </c>
      <c r="K281" s="1">
        <v>104</v>
      </c>
      <c r="L281" s="1" t="s">
        <v>31</v>
      </c>
      <c r="M281" s="1" t="s">
        <v>25</v>
      </c>
      <c r="N281" s="1" t="s">
        <v>354</v>
      </c>
      <c r="O281" s="8" t="s">
        <v>32</v>
      </c>
      <c r="P281" s="15">
        <f>(Table1_149[[#This Row],[Likes]]+Table1_149[[#This Row],[Shares]]+Table1_149[[#This Row],[Comments]])/Table1_149[[#This Row],[Impressions]]</f>
        <v>8.3274853801169585E-2</v>
      </c>
      <c r="Q281" s="81" t="str">
        <f t="shared" si="4"/>
        <v>After</v>
      </c>
    </row>
    <row r="282" spans="1:17" x14ac:dyDescent="0.3">
      <c r="A282" s="6" t="s">
        <v>334</v>
      </c>
      <c r="B282" s="1" t="s">
        <v>23</v>
      </c>
      <c r="C282" s="7">
        <v>45738</v>
      </c>
      <c r="D282" s="1" t="s">
        <v>41</v>
      </c>
      <c r="E282" s="1" t="s">
        <v>42</v>
      </c>
      <c r="F282" s="1">
        <v>3166</v>
      </c>
      <c r="G282" s="1">
        <v>90</v>
      </c>
      <c r="H282" s="1">
        <v>341</v>
      </c>
      <c r="I282" s="1">
        <v>56988</v>
      </c>
      <c r="J282" s="1">
        <v>56125</v>
      </c>
      <c r="K282" s="1">
        <v>135</v>
      </c>
      <c r="L282" s="1" t="s">
        <v>31</v>
      </c>
      <c r="M282" s="1" t="s">
        <v>359</v>
      </c>
      <c r="N282" s="1" t="s">
        <v>359</v>
      </c>
      <c r="O282" s="8" t="s">
        <v>21</v>
      </c>
      <c r="P282" s="15">
        <f>(Table1_149[[#This Row],[Likes]]+Table1_149[[#This Row],[Shares]]+Table1_149[[#This Row],[Comments]])/Table1_149[[#This Row],[Impressions]]</f>
        <v>6.3118551273952411E-2</v>
      </c>
      <c r="Q282" s="81" t="str">
        <f t="shared" si="4"/>
        <v>After</v>
      </c>
    </row>
    <row r="283" spans="1:17" x14ac:dyDescent="0.3">
      <c r="A283" s="6" t="s">
        <v>335</v>
      </c>
      <c r="B283" s="1" t="s">
        <v>28</v>
      </c>
      <c r="C283" s="7">
        <v>45568</v>
      </c>
      <c r="D283" s="1" t="s">
        <v>56</v>
      </c>
      <c r="E283" s="1" t="s">
        <v>63</v>
      </c>
      <c r="F283" s="1">
        <v>1488</v>
      </c>
      <c r="G283" s="1">
        <v>417</v>
      </c>
      <c r="H283" s="1">
        <v>168</v>
      </c>
      <c r="I283" s="1">
        <v>19344</v>
      </c>
      <c r="J283" s="1">
        <v>18395</v>
      </c>
      <c r="K283" s="1">
        <v>30</v>
      </c>
      <c r="L283" s="1" t="s">
        <v>48</v>
      </c>
      <c r="M283" s="1" t="s">
        <v>359</v>
      </c>
      <c r="N283" s="1" t="s">
        <v>359</v>
      </c>
      <c r="O283" s="8" t="s">
        <v>26</v>
      </c>
      <c r="P283" s="15">
        <f>(Table1_149[[#This Row],[Likes]]+Table1_149[[#This Row],[Shares]]+Table1_149[[#This Row],[Comments]])/Table1_149[[#This Row],[Impressions]]</f>
        <v>0.1071650124069479</v>
      </c>
      <c r="Q283" s="81" t="str">
        <f t="shared" si="4"/>
        <v>Before</v>
      </c>
    </row>
    <row r="284" spans="1:17" x14ac:dyDescent="0.3">
      <c r="A284" s="6" t="s">
        <v>336</v>
      </c>
      <c r="B284" s="1" t="s">
        <v>14</v>
      </c>
      <c r="C284" s="7">
        <v>45786</v>
      </c>
      <c r="D284" s="1" t="s">
        <v>15</v>
      </c>
      <c r="E284" s="1" t="s">
        <v>16</v>
      </c>
      <c r="F284" s="1">
        <v>3367</v>
      </c>
      <c r="G284" s="1">
        <v>302</v>
      </c>
      <c r="H284" s="1">
        <v>57</v>
      </c>
      <c r="I284" s="1">
        <v>63973</v>
      </c>
      <c r="J284" s="1">
        <v>63789</v>
      </c>
      <c r="K284" s="1">
        <v>157</v>
      </c>
      <c r="L284" s="1" t="s">
        <v>48</v>
      </c>
      <c r="M284" s="1" t="s">
        <v>359</v>
      </c>
      <c r="N284" s="1" t="s">
        <v>359</v>
      </c>
      <c r="O284" s="8" t="s">
        <v>21</v>
      </c>
      <c r="P284" s="15">
        <f>(Table1_149[[#This Row],[Likes]]+Table1_149[[#This Row],[Shares]]+Table1_149[[#This Row],[Comments]])/Table1_149[[#This Row],[Impressions]]</f>
        <v>5.8243321401216137E-2</v>
      </c>
      <c r="Q284" s="81" t="str">
        <f t="shared" si="4"/>
        <v>After</v>
      </c>
    </row>
    <row r="285" spans="1:17" x14ac:dyDescent="0.3">
      <c r="A285" s="6" t="s">
        <v>337</v>
      </c>
      <c r="B285" s="1" t="s">
        <v>14</v>
      </c>
      <c r="C285" s="7">
        <v>45552</v>
      </c>
      <c r="D285" s="1" t="s">
        <v>19</v>
      </c>
      <c r="E285" s="1" t="s">
        <v>20</v>
      </c>
      <c r="F285" s="1">
        <v>571</v>
      </c>
      <c r="G285" s="1">
        <v>190</v>
      </c>
      <c r="H285" s="1">
        <v>352</v>
      </c>
      <c r="I285" s="1">
        <v>9707</v>
      </c>
      <c r="J285" s="1">
        <v>9418</v>
      </c>
      <c r="K285" s="1">
        <v>231</v>
      </c>
      <c r="L285" s="1" t="s">
        <v>25</v>
      </c>
      <c r="M285" s="1" t="s">
        <v>359</v>
      </c>
      <c r="N285" s="1" t="s">
        <v>359</v>
      </c>
      <c r="O285" s="8" t="s">
        <v>32</v>
      </c>
      <c r="P285" s="15">
        <f>(Table1_149[[#This Row],[Likes]]+Table1_149[[#This Row],[Shares]]+Table1_149[[#This Row],[Comments]])/Table1_149[[#This Row],[Impressions]]</f>
        <v>0.11465952405480581</v>
      </c>
      <c r="Q285" s="81" t="str">
        <f t="shared" si="4"/>
        <v>After</v>
      </c>
    </row>
    <row r="286" spans="1:17" x14ac:dyDescent="0.3">
      <c r="A286" s="6" t="s">
        <v>338</v>
      </c>
      <c r="B286" s="1" t="s">
        <v>23</v>
      </c>
      <c r="C286" s="7">
        <v>45491</v>
      </c>
      <c r="D286" s="1" t="s">
        <v>19</v>
      </c>
      <c r="E286" s="1" t="s">
        <v>73</v>
      </c>
      <c r="F286" s="1">
        <v>4021</v>
      </c>
      <c r="G286" s="1">
        <v>794</v>
      </c>
      <c r="H286" s="1">
        <v>77</v>
      </c>
      <c r="I286" s="1">
        <v>36189</v>
      </c>
      <c r="J286" s="1">
        <v>35505</v>
      </c>
      <c r="K286" s="1">
        <v>174</v>
      </c>
      <c r="L286" s="1" t="s">
        <v>31</v>
      </c>
      <c r="M286" s="1" t="s">
        <v>359</v>
      </c>
      <c r="N286" s="1" t="s">
        <v>359</v>
      </c>
      <c r="O286" s="8" t="s">
        <v>360</v>
      </c>
      <c r="P286" s="15">
        <f>(Table1_149[[#This Row],[Likes]]+Table1_149[[#This Row],[Shares]]+Table1_149[[#This Row],[Comments]])/Table1_149[[#This Row],[Impressions]]</f>
        <v>0.13517919809886983</v>
      </c>
      <c r="Q286" s="81" t="b">
        <f t="shared" si="4"/>
        <v>0</v>
      </c>
    </row>
    <row r="287" spans="1:17" x14ac:dyDescent="0.3">
      <c r="A287" s="6" t="s">
        <v>339</v>
      </c>
      <c r="B287" s="1" t="s">
        <v>23</v>
      </c>
      <c r="C287" s="7">
        <v>45560</v>
      </c>
      <c r="D287" s="1" t="s">
        <v>56</v>
      </c>
      <c r="E287" s="1" t="s">
        <v>136</v>
      </c>
      <c r="F287" s="1">
        <v>3389</v>
      </c>
      <c r="G287" s="1">
        <v>344</v>
      </c>
      <c r="H287" s="1">
        <v>229</v>
      </c>
      <c r="I287" s="1">
        <v>20334</v>
      </c>
      <c r="J287" s="1">
        <v>19443</v>
      </c>
      <c r="K287" s="1">
        <v>228</v>
      </c>
      <c r="L287" s="1" t="s">
        <v>48</v>
      </c>
      <c r="M287" s="1" t="s">
        <v>359</v>
      </c>
      <c r="N287" s="1" t="s">
        <v>359</v>
      </c>
      <c r="O287" s="8" t="s">
        <v>26</v>
      </c>
      <c r="P287" s="15">
        <f>(Table1_149[[#This Row],[Likes]]+Table1_149[[#This Row],[Shares]]+Table1_149[[#This Row],[Comments]])/Table1_149[[#This Row],[Impressions]]</f>
        <v>0.19484607062063539</v>
      </c>
      <c r="Q287" s="81" t="str">
        <f t="shared" si="4"/>
        <v>Before</v>
      </c>
    </row>
    <row r="288" spans="1:17" x14ac:dyDescent="0.3">
      <c r="A288" s="6" t="s">
        <v>340</v>
      </c>
      <c r="B288" s="1" t="s">
        <v>28</v>
      </c>
      <c r="C288" s="7">
        <v>45519</v>
      </c>
      <c r="D288" s="1" t="s">
        <v>15</v>
      </c>
      <c r="E288" s="1" t="s">
        <v>61</v>
      </c>
      <c r="F288" s="1">
        <v>1164</v>
      </c>
      <c r="G288" s="1">
        <v>616</v>
      </c>
      <c r="H288" s="1">
        <v>324</v>
      </c>
      <c r="I288" s="1">
        <v>6984</v>
      </c>
      <c r="J288" s="1">
        <v>6636</v>
      </c>
      <c r="K288" s="1">
        <v>82</v>
      </c>
      <c r="L288" s="1" t="s">
        <v>31</v>
      </c>
      <c r="M288" s="1" t="s">
        <v>359</v>
      </c>
      <c r="N288" s="1" t="s">
        <v>359</v>
      </c>
      <c r="O288" s="8" t="s">
        <v>17</v>
      </c>
      <c r="P288" s="15">
        <f>(Table1_149[[#This Row],[Likes]]+Table1_149[[#This Row],[Shares]]+Table1_149[[#This Row],[Comments]])/Table1_149[[#This Row],[Impressions]]</f>
        <v>0.30126002290950743</v>
      </c>
      <c r="Q288" s="81" t="str">
        <f t="shared" si="4"/>
        <v>Before</v>
      </c>
    </row>
    <row r="289" spans="1:17" x14ac:dyDescent="0.3">
      <c r="A289" s="6" t="s">
        <v>341</v>
      </c>
      <c r="B289" s="1" t="s">
        <v>23</v>
      </c>
      <c r="C289" s="7">
        <v>45764</v>
      </c>
      <c r="D289" s="1" t="s">
        <v>36</v>
      </c>
      <c r="E289" s="1" t="s">
        <v>52</v>
      </c>
      <c r="F289" s="1">
        <v>4780</v>
      </c>
      <c r="G289" s="1">
        <v>691</v>
      </c>
      <c r="H289" s="1">
        <v>380</v>
      </c>
      <c r="I289" s="1">
        <v>86040</v>
      </c>
      <c r="J289" s="1">
        <v>85743</v>
      </c>
      <c r="K289" s="1">
        <v>262</v>
      </c>
      <c r="L289" s="1" t="s">
        <v>48</v>
      </c>
      <c r="M289" s="1" t="s">
        <v>359</v>
      </c>
      <c r="N289" s="1" t="s">
        <v>359</v>
      </c>
      <c r="O289" s="8" t="s">
        <v>26</v>
      </c>
      <c r="P289" s="15">
        <f>(Table1_149[[#This Row],[Likes]]+Table1_149[[#This Row],[Shares]]+Table1_149[[#This Row],[Comments]])/Table1_149[[#This Row],[Impressions]]</f>
        <v>6.800325430032543E-2</v>
      </c>
      <c r="Q289" s="81" t="str">
        <f t="shared" si="4"/>
        <v>Before</v>
      </c>
    </row>
    <row r="290" spans="1:17" x14ac:dyDescent="0.3">
      <c r="A290" s="6" t="s">
        <v>342</v>
      </c>
      <c r="B290" s="1" t="s">
        <v>35</v>
      </c>
      <c r="C290" s="7">
        <v>45624</v>
      </c>
      <c r="D290" s="1" t="s">
        <v>36</v>
      </c>
      <c r="E290" s="1" t="s">
        <v>37</v>
      </c>
      <c r="F290" s="1">
        <v>2751</v>
      </c>
      <c r="G290" s="1">
        <v>33</v>
      </c>
      <c r="H290" s="1">
        <v>430</v>
      </c>
      <c r="I290" s="1">
        <v>44016</v>
      </c>
      <c r="J290" s="1">
        <v>43415</v>
      </c>
      <c r="K290" s="1">
        <v>129</v>
      </c>
      <c r="L290" s="1" t="s">
        <v>48</v>
      </c>
      <c r="M290" s="1" t="s">
        <v>359</v>
      </c>
      <c r="N290" s="1" t="s">
        <v>359</v>
      </c>
      <c r="O290" s="8" t="s">
        <v>360</v>
      </c>
      <c r="P290" s="15">
        <f>(Table1_149[[#This Row],[Likes]]+Table1_149[[#This Row],[Shares]]+Table1_149[[#This Row],[Comments]])/Table1_149[[#This Row],[Impressions]]</f>
        <v>7.3018902217375503E-2</v>
      </c>
      <c r="Q290" s="81" t="b">
        <f t="shared" si="4"/>
        <v>0</v>
      </c>
    </row>
    <row r="291" spans="1:17" x14ac:dyDescent="0.3">
      <c r="A291" s="6" t="s">
        <v>343</v>
      </c>
      <c r="B291" s="1" t="s">
        <v>28</v>
      </c>
      <c r="C291" s="7">
        <v>45646</v>
      </c>
      <c r="D291" s="1" t="s">
        <v>36</v>
      </c>
      <c r="E291" s="1" t="s">
        <v>65</v>
      </c>
      <c r="F291" s="1">
        <v>2107</v>
      </c>
      <c r="G291" s="1">
        <v>550</v>
      </c>
      <c r="H291" s="1">
        <v>349</v>
      </c>
      <c r="I291" s="1">
        <v>35819</v>
      </c>
      <c r="J291" s="1">
        <v>35340</v>
      </c>
      <c r="K291" s="1">
        <v>191</v>
      </c>
      <c r="L291" s="1" t="s">
        <v>31</v>
      </c>
      <c r="M291" s="1" t="s">
        <v>359</v>
      </c>
      <c r="N291" s="1" t="s">
        <v>359</v>
      </c>
      <c r="O291" s="8" t="s">
        <v>32</v>
      </c>
      <c r="P291" s="15">
        <f>(Table1_149[[#This Row],[Likes]]+Table1_149[[#This Row],[Shares]]+Table1_149[[#This Row],[Comments]])/Table1_149[[#This Row],[Impressions]]</f>
        <v>8.3921940869371006E-2</v>
      </c>
      <c r="Q291" s="81" t="str">
        <f t="shared" si="4"/>
        <v>After</v>
      </c>
    </row>
    <row r="292" spans="1:17" x14ac:dyDescent="0.3">
      <c r="A292" s="6" t="s">
        <v>344</v>
      </c>
      <c r="B292" s="1" t="s">
        <v>35</v>
      </c>
      <c r="C292" s="7">
        <v>45602</v>
      </c>
      <c r="D292" s="1" t="s">
        <v>56</v>
      </c>
      <c r="E292" s="1" t="s">
        <v>57</v>
      </c>
      <c r="F292" s="1">
        <v>4663</v>
      </c>
      <c r="G292" s="1">
        <v>145</v>
      </c>
      <c r="H292" s="1">
        <v>225</v>
      </c>
      <c r="I292" s="1">
        <v>69945</v>
      </c>
      <c r="J292" s="1">
        <v>69596</v>
      </c>
      <c r="K292" s="1">
        <v>35</v>
      </c>
      <c r="L292" s="1" t="s">
        <v>31</v>
      </c>
      <c r="M292" s="1" t="s">
        <v>359</v>
      </c>
      <c r="N292" s="1" t="s">
        <v>359</v>
      </c>
      <c r="O292" s="8" t="s">
        <v>32</v>
      </c>
      <c r="P292" s="15">
        <f>(Table1_149[[#This Row],[Likes]]+Table1_149[[#This Row],[Shares]]+Table1_149[[#This Row],[Comments]])/Table1_149[[#This Row],[Impressions]]</f>
        <v>7.1956537279290869E-2</v>
      </c>
      <c r="Q292" s="81" t="str">
        <f t="shared" si="4"/>
        <v>After</v>
      </c>
    </row>
    <row r="293" spans="1:17" x14ac:dyDescent="0.3">
      <c r="A293" s="6" t="s">
        <v>345</v>
      </c>
      <c r="B293" s="1" t="s">
        <v>35</v>
      </c>
      <c r="C293" s="7">
        <v>45613</v>
      </c>
      <c r="D293" s="1" t="s">
        <v>19</v>
      </c>
      <c r="E293" s="1" t="s">
        <v>44</v>
      </c>
      <c r="F293" s="1">
        <v>880</v>
      </c>
      <c r="G293" s="1">
        <v>297</v>
      </c>
      <c r="H293" s="1">
        <v>345</v>
      </c>
      <c r="I293" s="1">
        <v>12320</v>
      </c>
      <c r="J293" s="1">
        <v>11978</v>
      </c>
      <c r="K293" s="1">
        <v>238</v>
      </c>
      <c r="L293" s="1" t="s">
        <v>25</v>
      </c>
      <c r="M293" s="1" t="s">
        <v>354</v>
      </c>
      <c r="N293" s="1" t="s">
        <v>359</v>
      </c>
      <c r="O293" s="8" t="s">
        <v>360</v>
      </c>
      <c r="P293" s="15">
        <f>(Table1_149[[#This Row],[Likes]]+Table1_149[[#This Row],[Shares]]+Table1_149[[#This Row],[Comments]])/Table1_149[[#This Row],[Impressions]]</f>
        <v>0.12353896103896105</v>
      </c>
      <c r="Q293" s="81" t="b">
        <f t="shared" si="4"/>
        <v>0</v>
      </c>
    </row>
    <row r="294" spans="1:17" x14ac:dyDescent="0.3">
      <c r="A294" s="6" t="s">
        <v>346</v>
      </c>
      <c r="B294" s="1" t="s">
        <v>35</v>
      </c>
      <c r="C294" s="7">
        <v>45791</v>
      </c>
      <c r="D294" s="1" t="s">
        <v>19</v>
      </c>
      <c r="E294" s="1" t="s">
        <v>44</v>
      </c>
      <c r="F294" s="1">
        <v>2634</v>
      </c>
      <c r="G294" s="1">
        <v>726</v>
      </c>
      <c r="H294" s="1">
        <v>241</v>
      </c>
      <c r="I294" s="1">
        <v>28974</v>
      </c>
      <c r="J294" s="1">
        <v>28102</v>
      </c>
      <c r="K294" s="1">
        <v>277</v>
      </c>
      <c r="L294" s="1" t="s">
        <v>31</v>
      </c>
      <c r="M294" s="1" t="s">
        <v>359</v>
      </c>
      <c r="N294" s="1" t="s">
        <v>359</v>
      </c>
      <c r="O294" s="8" t="s">
        <v>17</v>
      </c>
      <c r="P294" s="15">
        <f>(Table1_149[[#This Row],[Likes]]+Table1_149[[#This Row],[Shares]]+Table1_149[[#This Row],[Comments]])/Table1_149[[#This Row],[Impressions]]</f>
        <v>0.12428384068475185</v>
      </c>
      <c r="Q294" s="81" t="str">
        <f t="shared" si="4"/>
        <v>After</v>
      </c>
    </row>
    <row r="295" spans="1:17" x14ac:dyDescent="0.3">
      <c r="A295" s="6" t="s">
        <v>347</v>
      </c>
      <c r="B295" s="1" t="s">
        <v>35</v>
      </c>
      <c r="C295" s="7">
        <v>45462</v>
      </c>
      <c r="D295" s="1" t="s">
        <v>36</v>
      </c>
      <c r="E295" s="1" t="s">
        <v>37</v>
      </c>
      <c r="F295" s="1">
        <v>4731</v>
      </c>
      <c r="G295" s="1">
        <v>173</v>
      </c>
      <c r="H295" s="1">
        <v>276</v>
      </c>
      <c r="I295" s="1">
        <v>28386</v>
      </c>
      <c r="J295" s="1">
        <v>28185</v>
      </c>
      <c r="K295" s="1">
        <v>89</v>
      </c>
      <c r="L295" s="1" t="s">
        <v>31</v>
      </c>
      <c r="M295" s="1" t="s">
        <v>359</v>
      </c>
      <c r="N295" s="1" t="s">
        <v>359</v>
      </c>
      <c r="O295" s="8" t="s">
        <v>26</v>
      </c>
      <c r="P295" s="15">
        <f>(Table1_149[[#This Row],[Likes]]+Table1_149[[#This Row],[Shares]]+Table1_149[[#This Row],[Comments]])/Table1_149[[#This Row],[Impressions]]</f>
        <v>0.18248432325794406</v>
      </c>
      <c r="Q295" s="81" t="str">
        <f t="shared" si="4"/>
        <v>Before</v>
      </c>
    </row>
    <row r="296" spans="1:17" x14ac:dyDescent="0.3">
      <c r="A296" s="6" t="s">
        <v>348</v>
      </c>
      <c r="B296" s="1" t="s">
        <v>14</v>
      </c>
      <c r="C296" s="7">
        <v>45783</v>
      </c>
      <c r="D296" s="1" t="s">
        <v>41</v>
      </c>
      <c r="E296" s="1" t="s">
        <v>88</v>
      </c>
      <c r="F296" s="1">
        <v>1952</v>
      </c>
      <c r="G296" s="1">
        <v>344</v>
      </c>
      <c r="H296" s="1">
        <v>287</v>
      </c>
      <c r="I296" s="1">
        <v>15616</v>
      </c>
      <c r="J296" s="1">
        <v>15403</v>
      </c>
      <c r="K296" s="1">
        <v>235</v>
      </c>
      <c r="L296" s="1" t="s">
        <v>48</v>
      </c>
      <c r="M296" s="1" t="s">
        <v>25</v>
      </c>
      <c r="N296" s="1" t="s">
        <v>354</v>
      </c>
      <c r="O296" s="8" t="s">
        <v>21</v>
      </c>
      <c r="P296" s="15">
        <f>(Table1_149[[#This Row],[Likes]]+Table1_149[[#This Row],[Shares]]+Table1_149[[#This Row],[Comments]])/Table1_149[[#This Row],[Impressions]]</f>
        <v>0.16540727459016394</v>
      </c>
      <c r="Q296" s="81" t="str">
        <f t="shared" si="4"/>
        <v>After</v>
      </c>
    </row>
    <row r="297" spans="1:17" x14ac:dyDescent="0.3">
      <c r="A297" s="6" t="s">
        <v>349</v>
      </c>
      <c r="B297" s="1" t="s">
        <v>14</v>
      </c>
      <c r="C297" s="7">
        <v>45699</v>
      </c>
      <c r="D297" s="1" t="s">
        <v>56</v>
      </c>
      <c r="E297" s="1" t="s">
        <v>95</v>
      </c>
      <c r="F297" s="1">
        <v>3440</v>
      </c>
      <c r="G297" s="1">
        <v>13</v>
      </c>
      <c r="H297" s="1">
        <v>20</v>
      </c>
      <c r="I297" s="1">
        <v>58480</v>
      </c>
      <c r="J297" s="1">
        <v>58146</v>
      </c>
      <c r="K297" s="1">
        <v>210</v>
      </c>
      <c r="L297" s="1" t="s">
        <v>25</v>
      </c>
      <c r="M297" s="1" t="s">
        <v>356</v>
      </c>
      <c r="N297" s="1" t="s">
        <v>359</v>
      </c>
      <c r="O297" s="8" t="s">
        <v>32</v>
      </c>
      <c r="P297" s="15">
        <f>(Table1_149[[#This Row],[Likes]]+Table1_149[[#This Row],[Shares]]+Table1_149[[#This Row],[Comments]])/Table1_149[[#This Row],[Impressions]]</f>
        <v>5.9387824897400819E-2</v>
      </c>
      <c r="Q297" s="81" t="str">
        <f t="shared" si="4"/>
        <v>After</v>
      </c>
    </row>
    <row r="298" spans="1:17" x14ac:dyDescent="0.3">
      <c r="A298" s="6" t="s">
        <v>350</v>
      </c>
      <c r="B298" s="1" t="s">
        <v>14</v>
      </c>
      <c r="C298" s="7">
        <v>45650</v>
      </c>
      <c r="D298" s="1" t="s">
        <v>19</v>
      </c>
      <c r="E298" s="1" t="s">
        <v>20</v>
      </c>
      <c r="F298" s="1">
        <v>2166</v>
      </c>
      <c r="G298" s="1">
        <v>354</v>
      </c>
      <c r="H298" s="1">
        <v>117</v>
      </c>
      <c r="I298" s="1">
        <v>10830</v>
      </c>
      <c r="J298" s="1">
        <v>10245</v>
      </c>
      <c r="K298" s="1">
        <v>24</v>
      </c>
      <c r="L298" s="1" t="s">
        <v>31</v>
      </c>
      <c r="M298" s="1" t="s">
        <v>359</v>
      </c>
      <c r="N298" s="1" t="s">
        <v>359</v>
      </c>
      <c r="O298" s="8" t="s">
        <v>32</v>
      </c>
      <c r="P298" s="15">
        <f>(Table1_149[[#This Row],[Likes]]+Table1_149[[#This Row],[Shares]]+Table1_149[[#This Row],[Comments]])/Table1_149[[#This Row],[Impressions]]</f>
        <v>0.24349030470914126</v>
      </c>
      <c r="Q298" s="81" t="str">
        <f t="shared" si="4"/>
        <v>After</v>
      </c>
    </row>
    <row r="299" spans="1:17" x14ac:dyDescent="0.3">
      <c r="A299" s="6" t="s">
        <v>351</v>
      </c>
      <c r="B299" s="1" t="s">
        <v>35</v>
      </c>
      <c r="C299" s="7">
        <v>45589</v>
      </c>
      <c r="D299" s="1" t="s">
        <v>41</v>
      </c>
      <c r="E299" s="1" t="s">
        <v>46</v>
      </c>
      <c r="F299" s="1">
        <v>4303</v>
      </c>
      <c r="G299" s="1">
        <v>451</v>
      </c>
      <c r="H299" s="1">
        <v>286</v>
      </c>
      <c r="I299" s="1">
        <v>86060</v>
      </c>
      <c r="J299" s="1">
        <v>85823</v>
      </c>
      <c r="K299" s="1">
        <v>14</v>
      </c>
      <c r="L299" s="1" t="s">
        <v>25</v>
      </c>
      <c r="M299" s="1" t="s">
        <v>359</v>
      </c>
      <c r="N299" s="1" t="s">
        <v>359</v>
      </c>
      <c r="O299" s="8" t="s">
        <v>26</v>
      </c>
      <c r="P299" s="15">
        <f>(Table1_149[[#This Row],[Likes]]+Table1_149[[#This Row],[Shares]]+Table1_149[[#This Row],[Comments]])/Table1_149[[#This Row],[Impressions]]</f>
        <v>5.8563792702765516E-2</v>
      </c>
      <c r="Q299" s="81" t="str">
        <f t="shared" si="4"/>
        <v>Before</v>
      </c>
    </row>
    <row r="300" spans="1:17" x14ac:dyDescent="0.3">
      <c r="A300" s="6" t="s">
        <v>352</v>
      </c>
      <c r="B300" s="1" t="s">
        <v>35</v>
      </c>
      <c r="C300" s="7">
        <v>45530</v>
      </c>
      <c r="D300" s="1" t="s">
        <v>41</v>
      </c>
      <c r="E300" s="1" t="s">
        <v>46</v>
      </c>
      <c r="F300" s="1">
        <v>2581</v>
      </c>
      <c r="G300" s="1">
        <v>517</v>
      </c>
      <c r="H300" s="1">
        <v>117</v>
      </c>
      <c r="I300" s="1">
        <v>23229</v>
      </c>
      <c r="J300" s="1">
        <v>22331</v>
      </c>
      <c r="K300" s="1">
        <v>70</v>
      </c>
      <c r="L300" s="1" t="s">
        <v>48</v>
      </c>
      <c r="M300" s="1" t="s">
        <v>359</v>
      </c>
      <c r="N300" s="1" t="s">
        <v>359</v>
      </c>
      <c r="O300" s="8" t="s">
        <v>26</v>
      </c>
      <c r="P300" s="15">
        <f>(Table1_149[[#This Row],[Likes]]+Table1_149[[#This Row],[Shares]]+Table1_149[[#This Row],[Comments]])/Table1_149[[#This Row],[Impressions]]</f>
        <v>0.13840458048129492</v>
      </c>
      <c r="Q300" s="81" t="str">
        <f t="shared" si="4"/>
        <v>Before</v>
      </c>
    </row>
    <row r="301" spans="1:17" x14ac:dyDescent="0.3">
      <c r="A301" s="9" t="s">
        <v>353</v>
      </c>
      <c r="B301" s="10" t="s">
        <v>14</v>
      </c>
      <c r="C301" s="11">
        <v>45535</v>
      </c>
      <c r="D301" s="10" t="s">
        <v>36</v>
      </c>
      <c r="E301" s="10" t="s">
        <v>39</v>
      </c>
      <c r="F301" s="10">
        <v>4494</v>
      </c>
      <c r="G301" s="10">
        <v>717</v>
      </c>
      <c r="H301" s="10">
        <v>45</v>
      </c>
      <c r="I301" s="10">
        <v>62916</v>
      </c>
      <c r="J301" s="10">
        <v>62688</v>
      </c>
      <c r="K301" s="10">
        <v>191</v>
      </c>
      <c r="L301" s="10" t="s">
        <v>25</v>
      </c>
      <c r="M301" s="10" t="s">
        <v>31</v>
      </c>
      <c r="N301" s="10" t="s">
        <v>355</v>
      </c>
      <c r="O301" s="12" t="s">
        <v>17</v>
      </c>
      <c r="P301" s="16">
        <f>(Table1_149[[#This Row],[Likes]]+Table1_149[[#This Row],[Shares]]+Table1_149[[#This Row],[Comments]])/Table1_149[[#This Row],[Impressions]]</f>
        <v>8.3539958039290485E-2</v>
      </c>
      <c r="Q301" s="82" t="str">
        <f t="shared" si="4"/>
        <v>Before</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E91B-9F84-45DF-B794-88B371C11339}">
  <sheetPr codeName="Sheet19"/>
  <dimension ref="A3:I12"/>
  <sheetViews>
    <sheetView workbookViewId="0">
      <selection activeCell="F18" sqref="F18"/>
    </sheetView>
  </sheetViews>
  <sheetFormatPr defaultRowHeight="14.4" x14ac:dyDescent="0.3"/>
  <cols>
    <col min="1" max="1" width="16" bestFit="1" customWidth="1"/>
    <col min="2" max="2" width="16.6640625" customWidth="1"/>
    <col min="3" max="3" width="20.77734375" bestFit="1" customWidth="1"/>
    <col min="4" max="4" width="11.5546875" bestFit="1" customWidth="1"/>
    <col min="5" max="5" width="14.77734375" bestFit="1" customWidth="1"/>
    <col min="6" max="6" width="12.109375" bestFit="1" customWidth="1"/>
    <col min="7" max="7" width="16.33203125" bestFit="1" customWidth="1"/>
  </cols>
  <sheetData>
    <row r="3" spans="1:9" ht="31.2" x14ac:dyDescent="0.6">
      <c r="C3" s="61" t="s">
        <v>483</v>
      </c>
      <c r="D3" s="61"/>
      <c r="E3" s="61"/>
      <c r="F3" s="58"/>
      <c r="G3" s="58"/>
      <c r="H3" s="58"/>
      <c r="I3" s="58"/>
    </row>
    <row r="8" spans="1:9" x14ac:dyDescent="0.3">
      <c r="A8" s="17" t="s">
        <v>362</v>
      </c>
      <c r="B8" s="1" t="s">
        <v>478</v>
      </c>
      <c r="C8" s="1" t="s">
        <v>480</v>
      </c>
      <c r="D8" s="1" t="s">
        <v>369</v>
      </c>
      <c r="E8" s="1" t="s">
        <v>479</v>
      </c>
      <c r="F8" s="1" t="s">
        <v>481</v>
      </c>
      <c r="G8" s="1" t="s">
        <v>482</v>
      </c>
    </row>
    <row r="9" spans="1:9" x14ac:dyDescent="0.3">
      <c r="A9" s="20" t="s">
        <v>17</v>
      </c>
      <c r="B9" s="1">
        <v>1846272</v>
      </c>
      <c r="C9" s="31">
        <v>38464</v>
      </c>
      <c r="D9" s="1">
        <v>138793</v>
      </c>
      <c r="E9" s="65">
        <v>2891.5208333333335</v>
      </c>
      <c r="F9" s="1">
        <v>6434</v>
      </c>
      <c r="G9" s="65">
        <v>134.04166666666666</v>
      </c>
    </row>
    <row r="10" spans="1:9" x14ac:dyDescent="0.3">
      <c r="A10" s="20" t="s">
        <v>26</v>
      </c>
      <c r="B10" s="1">
        <v>2266053</v>
      </c>
      <c r="C10" s="31">
        <v>33821.686567164179</v>
      </c>
      <c r="D10" s="1">
        <v>183346</v>
      </c>
      <c r="E10" s="65">
        <v>2736.5074626865671</v>
      </c>
      <c r="F10" s="1">
        <v>10032</v>
      </c>
      <c r="G10" s="65">
        <v>149.73134328358208</v>
      </c>
    </row>
    <row r="11" spans="1:9" x14ac:dyDescent="0.3">
      <c r="A11" s="20" t="s">
        <v>21</v>
      </c>
      <c r="B11" s="1">
        <v>1986356</v>
      </c>
      <c r="C11" s="31">
        <v>34247.517241379312</v>
      </c>
      <c r="D11" s="1">
        <v>159783</v>
      </c>
      <c r="E11" s="65">
        <v>2754.8793103448274</v>
      </c>
      <c r="F11" s="1">
        <v>9872</v>
      </c>
      <c r="G11" s="65">
        <v>170.20689655172413</v>
      </c>
    </row>
    <row r="12" spans="1:9" x14ac:dyDescent="0.3">
      <c r="A12" s="20" t="s">
        <v>32</v>
      </c>
      <c r="B12" s="1">
        <v>2464864</v>
      </c>
      <c r="C12" s="31">
        <v>34716.394366197186</v>
      </c>
      <c r="D12" s="1">
        <v>187909</v>
      </c>
      <c r="E12" s="65">
        <v>2646.605633802817</v>
      </c>
      <c r="F12" s="1">
        <v>10689</v>
      </c>
      <c r="G12" s="65">
        <v>150.54929577464787</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6495-A77F-44E8-87AB-B8B92BF7DA17}">
  <sheetPr codeName="Sheet20"/>
  <dimension ref="C2:K19"/>
  <sheetViews>
    <sheetView workbookViewId="0">
      <selection activeCell="D9" sqref="D9"/>
    </sheetView>
  </sheetViews>
  <sheetFormatPr defaultRowHeight="14.4" x14ac:dyDescent="0.3"/>
  <cols>
    <col min="1" max="1" width="11.5546875" customWidth="1"/>
    <col min="2" max="2" width="17.5546875" customWidth="1"/>
    <col min="3" max="3" width="25.21875" bestFit="1" customWidth="1"/>
    <col min="4" max="4" width="15.5546875" bestFit="1" customWidth="1"/>
    <col min="5" max="5" width="6.5546875" bestFit="1" customWidth="1"/>
    <col min="6" max="6" width="7" bestFit="1" customWidth="1"/>
    <col min="7" max="7" width="12" bestFit="1" customWidth="1"/>
  </cols>
  <sheetData>
    <row r="2" spans="3:11" ht="25.8" x14ac:dyDescent="0.5">
      <c r="D2" s="84" t="s">
        <v>486</v>
      </c>
      <c r="E2" s="83"/>
      <c r="F2" s="83"/>
      <c r="G2" s="83"/>
      <c r="H2" s="83"/>
      <c r="I2" s="83"/>
      <c r="J2" s="83"/>
      <c r="K2" s="83"/>
    </row>
    <row r="14" spans="3:11" x14ac:dyDescent="0.3">
      <c r="C14" s="17" t="s">
        <v>364</v>
      </c>
      <c r="D14" s="17" t="s">
        <v>368</v>
      </c>
      <c r="E14" s="1"/>
    </row>
    <row r="15" spans="3:11" x14ac:dyDescent="0.3">
      <c r="C15" s="17" t="s">
        <v>362</v>
      </c>
      <c r="D15" s="1" t="s">
        <v>484</v>
      </c>
      <c r="E15" s="1" t="s">
        <v>485</v>
      </c>
    </row>
    <row r="16" spans="3:11" x14ac:dyDescent="0.3">
      <c r="C16" s="20" t="s">
        <v>17</v>
      </c>
      <c r="D16" s="15">
        <v>0.1297607809164176</v>
      </c>
      <c r="E16" s="15">
        <v>7.4955508769615056E-2</v>
      </c>
    </row>
    <row r="17" spans="3:5" x14ac:dyDescent="0.3">
      <c r="C17" s="20" t="s">
        <v>26</v>
      </c>
      <c r="D17" s="15">
        <v>0.14263967420418613</v>
      </c>
      <c r="E17" s="15">
        <v>0.18818340253905913</v>
      </c>
    </row>
    <row r="18" spans="3:5" x14ac:dyDescent="0.3">
      <c r="C18" s="20" t="s">
        <v>21</v>
      </c>
      <c r="D18" s="15">
        <v>0.15557755326558192</v>
      </c>
      <c r="E18" s="15">
        <v>0.11674187599999968</v>
      </c>
    </row>
    <row r="19" spans="3:5" x14ac:dyDescent="0.3">
      <c r="C19" s="20" t="s">
        <v>32</v>
      </c>
      <c r="D19" s="15">
        <v>7.0822181933293038E-2</v>
      </c>
      <c r="E19" s="15">
        <v>0.1134905095848751</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97BA-E1AB-4B7C-B8A1-64EFB1B19076}">
  <sheetPr codeName="Sheet21"/>
  <dimension ref="B3:J26"/>
  <sheetViews>
    <sheetView topLeftCell="A2" workbookViewId="0">
      <selection activeCell="C9" sqref="C9"/>
    </sheetView>
  </sheetViews>
  <sheetFormatPr defaultRowHeight="14.4" x14ac:dyDescent="0.3"/>
  <cols>
    <col min="1" max="2" width="16" bestFit="1" customWidth="1"/>
    <col min="3" max="3" width="19.44140625" bestFit="1" customWidth="1"/>
    <col min="4" max="4" width="26.33203125" bestFit="1" customWidth="1"/>
    <col min="5" max="5" width="16.21875" bestFit="1" customWidth="1"/>
  </cols>
  <sheetData>
    <row r="3" spans="2:8" ht="31.2" x14ac:dyDescent="0.6">
      <c r="D3" s="61" t="s">
        <v>489</v>
      </c>
      <c r="E3" s="61"/>
      <c r="F3" s="61"/>
      <c r="G3" s="61"/>
      <c r="H3" s="58"/>
    </row>
    <row r="13" spans="2:8" x14ac:dyDescent="0.3">
      <c r="B13" s="17" t="s">
        <v>362</v>
      </c>
      <c r="C13" s="1" t="s">
        <v>487</v>
      </c>
      <c r="D13" s="1" t="s">
        <v>444</v>
      </c>
      <c r="E13" s="1" t="s">
        <v>488</v>
      </c>
    </row>
    <row r="14" spans="2:8" x14ac:dyDescent="0.3">
      <c r="B14" s="87" t="s">
        <v>32</v>
      </c>
      <c r="C14" s="88">
        <v>23520.173076923078</v>
      </c>
      <c r="D14" s="89">
        <v>5.6165384615384601</v>
      </c>
      <c r="E14" s="90">
        <v>2.3879664674105448E-4</v>
      </c>
    </row>
    <row r="15" spans="2:8" x14ac:dyDescent="0.3">
      <c r="B15" s="20" t="s">
        <v>26</v>
      </c>
      <c r="C15" s="65">
        <v>25042.39393939394</v>
      </c>
      <c r="D15" s="40">
        <v>5.9003030303030304</v>
      </c>
      <c r="E15" s="85">
        <v>2.3561257939566725E-4</v>
      </c>
    </row>
    <row r="16" spans="2:8" x14ac:dyDescent="0.3">
      <c r="B16" s="20" t="s">
        <v>17</v>
      </c>
      <c r="C16" s="65">
        <v>26579.064516129034</v>
      </c>
      <c r="D16" s="40">
        <v>6.1706451612903228</v>
      </c>
      <c r="E16" s="85">
        <v>2.3216186399433949E-4</v>
      </c>
    </row>
    <row r="17" spans="2:10" x14ac:dyDescent="0.3">
      <c r="B17" s="20" t="s">
        <v>360</v>
      </c>
      <c r="C17" s="65">
        <v>21994.128205128207</v>
      </c>
      <c r="D17" s="40">
        <v>4.8507692307692318</v>
      </c>
      <c r="E17" s="85">
        <v>2.205483747993346E-4</v>
      </c>
    </row>
    <row r="18" spans="2:10" x14ac:dyDescent="0.3">
      <c r="B18" s="20" t="s">
        <v>508</v>
      </c>
      <c r="C18" s="65"/>
      <c r="D18" s="40"/>
      <c r="E18" s="85" t="e">
        <v>#DIV/0!</v>
      </c>
    </row>
    <row r="20" spans="2:10" ht="18" x14ac:dyDescent="0.35">
      <c r="B20" s="91"/>
      <c r="C20" s="92"/>
      <c r="D20" s="91"/>
      <c r="E20" s="91"/>
      <c r="F20" s="91"/>
      <c r="G20" s="91"/>
      <c r="H20" s="91"/>
      <c r="I20" s="93"/>
      <c r="J20" s="93"/>
    </row>
    <row r="21" spans="2:10" ht="18" x14ac:dyDescent="0.35">
      <c r="B21" s="91"/>
      <c r="C21" s="91"/>
      <c r="D21" s="91"/>
      <c r="E21" s="91"/>
      <c r="F21" s="91"/>
      <c r="G21" s="91"/>
      <c r="H21" s="93"/>
      <c r="I21" s="93"/>
      <c r="J21" s="93"/>
    </row>
    <row r="25" spans="2:10" ht="18" x14ac:dyDescent="0.35">
      <c r="B25" s="91" t="s">
        <v>490</v>
      </c>
      <c r="C25" s="92"/>
      <c r="D25" s="91"/>
      <c r="E25" s="91"/>
      <c r="F25" s="91"/>
      <c r="G25" s="91"/>
      <c r="H25" s="91"/>
      <c r="I25" s="93"/>
      <c r="J25" s="93"/>
    </row>
    <row r="26" spans="2:10" ht="18" x14ac:dyDescent="0.35">
      <c r="B26" s="91" t="s">
        <v>491</v>
      </c>
      <c r="C26" s="91"/>
      <c r="D26" s="91"/>
      <c r="E26" s="91"/>
      <c r="F26" s="91"/>
      <c r="G26" s="91"/>
      <c r="H26" s="93"/>
      <c r="I26" s="93"/>
      <c r="J26" s="93"/>
    </row>
  </sheetData>
  <conditionalFormatting sqref="C20">
    <cfRule type="cellIs" dxfId="6" priority="8" operator="equal">
      <formula>"SustainabilityDrive"</formula>
    </cfRule>
  </conditionalFormatting>
  <conditionalFormatting sqref="C25">
    <cfRule type="cellIs" dxfId="4" priority="4" operator="equal">
      <formula>"SustainabilityDrive"</formula>
    </cfRule>
  </conditionalFormatting>
  <conditionalFormatting sqref="C20:J20">
    <cfRule type="containsText" dxfId="3" priority="5" operator="containsText" text="SustainabilityDrive">
      <formula>NOT(ISERROR(SEARCH("SustainabilityDrive",C20)))</formula>
    </cfRule>
  </conditionalFormatting>
  <conditionalFormatting sqref="C25:J25">
    <cfRule type="containsText" dxfId="1" priority="1" operator="containsText" text="SustainabilityDrive">
      <formula>NOT(ISERROR(SEARCH("SustainabilityDrive",C25)))</formula>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9BA87E8D-5551-4714-9FEA-8BF2B8B02B67}">
            <xm:f>NOT(ISERROR(SEARCH($C$22,C20)))</xm:f>
            <xm:f>$C$22</xm:f>
            <x14:dxf>
              <fill>
                <patternFill>
                  <bgColor theme="4" tint="0.59996337778862885"/>
                </patternFill>
              </fill>
            </x14:dxf>
          </x14:cfRule>
          <xm:sqref>C20</xm:sqref>
        </x14:conditionalFormatting>
        <x14:conditionalFormatting xmlns:xm="http://schemas.microsoft.com/office/excel/2006/main">
          <x14:cfRule type="containsText" priority="2" operator="containsText" id="{DCF74291-CA21-4B88-81F0-31A209176635}">
            <xm:f>NOT(ISERROR(SEARCH($C$22,C25)))</xm:f>
            <xm:f>$C$22</xm:f>
            <x14:dxf>
              <fill>
                <patternFill>
                  <bgColor theme="4" tint="0.59996337778862885"/>
                </patternFill>
              </fill>
            </x14:dxf>
          </x14:cfRule>
          <xm:sqref>C25</xm:sqref>
        </x14:conditionalFormatting>
        <x14:conditionalFormatting xmlns:xm="http://schemas.microsoft.com/office/excel/2006/main">
          <x14:cfRule type="containsText" priority="7" operator="containsText" id="{34AE959E-3D85-4934-BA0C-A37977982905}">
            <xm:f>NOT(ISERROR(SEARCH($C$22,C20)))</xm:f>
            <xm:f>$C$22</xm:f>
            <x14:dxf>
              <font>
                <color rgb="FF006100"/>
              </font>
              <fill>
                <patternFill>
                  <bgColor rgb="FFC6EFCE"/>
                </patternFill>
              </fill>
            </x14:dxf>
          </x14:cfRule>
          <xm:sqref>C20:J20</xm:sqref>
        </x14:conditionalFormatting>
        <x14:conditionalFormatting xmlns:xm="http://schemas.microsoft.com/office/excel/2006/main">
          <x14:cfRule type="containsText" priority="3" operator="containsText" id="{0140C4A7-C316-44FD-BC84-409BE0696CA8}">
            <xm:f>NOT(ISERROR(SEARCH($C$22,C25)))</xm:f>
            <xm:f>$C$22</xm:f>
            <x14:dxf>
              <font>
                <color rgb="FF006100"/>
              </font>
              <fill>
                <patternFill>
                  <bgColor rgb="FFC6EFCE"/>
                </patternFill>
              </fill>
            </x14:dxf>
          </x14:cfRule>
          <xm:sqref>C25:J25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AA2D7-EFA4-444B-81EC-9C8E64C18586}">
  <sheetPr codeName="Sheet22"/>
  <dimension ref="A3:L24"/>
  <sheetViews>
    <sheetView topLeftCell="B1" workbookViewId="0">
      <selection activeCell="O3" sqref="O3"/>
    </sheetView>
  </sheetViews>
  <sheetFormatPr defaultRowHeight="14.4" x14ac:dyDescent="0.3"/>
  <cols>
    <col min="1" max="1" width="16" bestFit="1" customWidth="1"/>
    <col min="2" max="2" width="18.33203125" bestFit="1" customWidth="1"/>
    <col min="3" max="3" width="16" bestFit="1" customWidth="1"/>
    <col min="4" max="4" width="18.33203125" bestFit="1" customWidth="1"/>
    <col min="5" max="5" width="21" bestFit="1" customWidth="1"/>
  </cols>
  <sheetData>
    <row r="3" spans="3:12" ht="31.2" x14ac:dyDescent="0.6">
      <c r="D3" s="94" t="s">
        <v>497</v>
      </c>
      <c r="E3" s="94"/>
      <c r="F3" s="94"/>
      <c r="G3" s="95"/>
      <c r="H3" s="94"/>
      <c r="I3" s="94"/>
      <c r="J3" s="98"/>
      <c r="K3" s="29"/>
      <c r="L3" s="29"/>
    </row>
    <row r="12" spans="3:12" x14ac:dyDescent="0.3">
      <c r="C12" s="17" t="s">
        <v>362</v>
      </c>
      <c r="D12" s="1" t="s">
        <v>493</v>
      </c>
      <c r="E12" s="1" t="s">
        <v>494</v>
      </c>
    </row>
    <row r="13" spans="3:12" x14ac:dyDescent="0.3">
      <c r="C13" s="86" t="s">
        <v>32</v>
      </c>
      <c r="D13" s="58">
        <v>56133</v>
      </c>
      <c r="E13" s="58">
        <v>1079.4807692307693</v>
      </c>
    </row>
    <row r="14" spans="3:12" x14ac:dyDescent="0.3">
      <c r="C14" s="20" t="s">
        <v>360</v>
      </c>
      <c r="D14" s="1">
        <v>38684</v>
      </c>
      <c r="E14" s="1">
        <v>991.89743589743591</v>
      </c>
    </row>
    <row r="15" spans="3:12" x14ac:dyDescent="0.3">
      <c r="C15" s="20" t="s">
        <v>26</v>
      </c>
      <c r="D15" s="1">
        <v>31694</v>
      </c>
      <c r="E15" s="1">
        <v>960.42424242424238</v>
      </c>
    </row>
    <row r="16" spans="3:12" x14ac:dyDescent="0.3">
      <c r="C16" s="20" t="s">
        <v>17</v>
      </c>
      <c r="D16" s="1">
        <v>30618</v>
      </c>
      <c r="E16" s="1">
        <v>987.67741935483866</v>
      </c>
    </row>
    <row r="17" spans="1:9" x14ac:dyDescent="0.3">
      <c r="C17" s="20" t="s">
        <v>508</v>
      </c>
      <c r="D17" s="1"/>
      <c r="E17" s="1"/>
    </row>
    <row r="18" spans="1:9" x14ac:dyDescent="0.3">
      <c r="C18" s="20" t="s">
        <v>363</v>
      </c>
      <c r="D18" s="1">
        <v>157129</v>
      </c>
      <c r="E18" s="1">
        <v>1013.7354838709678</v>
      </c>
    </row>
    <row r="23" spans="1:9" ht="18" x14ac:dyDescent="0.35">
      <c r="A23" s="96" t="s">
        <v>495</v>
      </c>
      <c r="B23" s="96"/>
      <c r="C23" s="96"/>
      <c r="D23" s="96"/>
      <c r="E23" s="96"/>
      <c r="F23" s="96"/>
      <c r="G23" s="96"/>
      <c r="H23" s="60"/>
      <c r="I23" s="97"/>
    </row>
    <row r="24" spans="1:9" ht="18" x14ac:dyDescent="0.35">
      <c r="A24" s="96" t="s">
        <v>496</v>
      </c>
      <c r="B24" s="96"/>
      <c r="C24" s="96"/>
      <c r="D24" s="96"/>
      <c r="E24" s="96"/>
      <c r="F24" s="96"/>
      <c r="G24" s="96"/>
      <c r="H24" s="60"/>
      <c r="I24" s="97"/>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82D3B-2A53-4DF1-A0B7-FA05766F1FEF}">
  <sheetPr codeName="Sheet23"/>
  <dimension ref="A2:M58"/>
  <sheetViews>
    <sheetView workbookViewId="0">
      <selection activeCell="F19" sqref="F19"/>
    </sheetView>
  </sheetViews>
  <sheetFormatPr defaultRowHeight="14.4" x14ac:dyDescent="0.3"/>
  <cols>
    <col min="1" max="1" width="20.33203125" bestFit="1" customWidth="1"/>
    <col min="2" max="2" width="15.5546875" bestFit="1" customWidth="1"/>
    <col min="3" max="3" width="9.44140625" bestFit="1" customWidth="1"/>
    <col min="4" max="4" width="6.88671875" bestFit="1" customWidth="1"/>
    <col min="5" max="5" width="8.44140625" bestFit="1" customWidth="1"/>
    <col min="6" max="7" width="10.77734375" bestFit="1" customWidth="1"/>
  </cols>
  <sheetData>
    <row r="2" spans="1:13" ht="33.6" x14ac:dyDescent="0.65">
      <c r="E2" s="100" t="s">
        <v>498</v>
      </c>
      <c r="F2" s="100"/>
      <c r="G2" s="100"/>
      <c r="H2" s="100"/>
      <c r="I2" s="83"/>
      <c r="J2" s="83"/>
      <c r="K2" s="83"/>
      <c r="L2" s="83"/>
      <c r="M2" s="83"/>
    </row>
    <row r="7" spans="1:13" x14ac:dyDescent="0.3">
      <c r="A7" s="17" t="s">
        <v>492</v>
      </c>
      <c r="B7" s="17" t="s">
        <v>368</v>
      </c>
      <c r="C7" s="1"/>
      <c r="D7" s="1"/>
    </row>
    <row r="8" spans="1:13" x14ac:dyDescent="0.3">
      <c r="A8" s="17" t="s">
        <v>362</v>
      </c>
      <c r="B8" s="1" t="s">
        <v>35</v>
      </c>
      <c r="C8" s="1" t="s">
        <v>28</v>
      </c>
      <c r="D8" s="1" t="s">
        <v>14</v>
      </c>
    </row>
    <row r="9" spans="1:13" x14ac:dyDescent="0.3">
      <c r="A9" s="99" t="s">
        <v>387</v>
      </c>
      <c r="B9" s="1">
        <v>1312</v>
      </c>
      <c r="C9" s="1">
        <v>1135</v>
      </c>
      <c r="D9" s="1">
        <v>584</v>
      </c>
    </row>
    <row r="10" spans="1:13" x14ac:dyDescent="0.3">
      <c r="A10" s="99" t="s">
        <v>388</v>
      </c>
      <c r="B10" s="1"/>
      <c r="C10" s="1">
        <v>656</v>
      </c>
      <c r="D10" s="1">
        <v>436</v>
      </c>
    </row>
    <row r="11" spans="1:13" x14ac:dyDescent="0.3">
      <c r="A11" s="99" t="s">
        <v>389</v>
      </c>
      <c r="B11" s="1"/>
      <c r="C11" s="1">
        <v>1048</v>
      </c>
      <c r="D11" s="1"/>
    </row>
    <row r="12" spans="1:13" x14ac:dyDescent="0.3">
      <c r="A12" s="99" t="s">
        <v>390</v>
      </c>
      <c r="B12" s="1">
        <v>1779</v>
      </c>
      <c r="C12" s="1">
        <v>911</v>
      </c>
      <c r="D12" s="1"/>
    </row>
    <row r="13" spans="1:13" x14ac:dyDescent="0.3">
      <c r="A13" s="99" t="s">
        <v>391</v>
      </c>
      <c r="B13" s="1">
        <v>505</v>
      </c>
      <c r="C13" s="1">
        <v>226</v>
      </c>
      <c r="D13" s="1"/>
    </row>
    <row r="14" spans="1:13" x14ac:dyDescent="0.3">
      <c r="A14" s="99" t="s">
        <v>392</v>
      </c>
      <c r="B14" s="1">
        <v>350</v>
      </c>
      <c r="C14" s="1">
        <v>1757</v>
      </c>
      <c r="D14" s="1">
        <v>987</v>
      </c>
    </row>
    <row r="15" spans="1:13" x14ac:dyDescent="0.3">
      <c r="A15" s="99" t="s">
        <v>393</v>
      </c>
      <c r="B15" s="1">
        <v>170</v>
      </c>
      <c r="C15" s="1">
        <v>1960</v>
      </c>
      <c r="D15" s="1">
        <v>704</v>
      </c>
    </row>
    <row r="16" spans="1:13" x14ac:dyDescent="0.3">
      <c r="A16" s="99" t="s">
        <v>394</v>
      </c>
      <c r="B16" s="1">
        <v>1391</v>
      </c>
      <c r="C16" s="1">
        <v>508</v>
      </c>
      <c r="D16" s="1">
        <v>1701</v>
      </c>
    </row>
    <row r="17" spans="1:4" x14ac:dyDescent="0.3">
      <c r="A17" s="99" t="s">
        <v>395</v>
      </c>
      <c r="B17" s="1">
        <v>160</v>
      </c>
      <c r="C17" s="1">
        <v>653</v>
      </c>
      <c r="D17" s="1">
        <v>1756</v>
      </c>
    </row>
    <row r="18" spans="1:4" x14ac:dyDescent="0.3">
      <c r="A18" s="99" t="s">
        <v>396</v>
      </c>
      <c r="B18" s="1">
        <v>214</v>
      </c>
      <c r="C18" s="1">
        <v>645</v>
      </c>
      <c r="D18" s="1">
        <v>826</v>
      </c>
    </row>
    <row r="19" spans="1:4" x14ac:dyDescent="0.3">
      <c r="A19" s="99" t="s">
        <v>397</v>
      </c>
      <c r="B19" s="1">
        <v>1534</v>
      </c>
      <c r="C19" s="1">
        <v>1528</v>
      </c>
      <c r="D19" s="1">
        <v>485</v>
      </c>
    </row>
    <row r="20" spans="1:4" x14ac:dyDescent="0.3">
      <c r="A20" s="99" t="s">
        <v>398</v>
      </c>
      <c r="B20" s="1">
        <v>1078</v>
      </c>
      <c r="C20" s="1">
        <v>215</v>
      </c>
      <c r="D20" s="1">
        <v>1751</v>
      </c>
    </row>
    <row r="21" spans="1:4" x14ac:dyDescent="0.3">
      <c r="A21" s="99" t="s">
        <v>399</v>
      </c>
      <c r="B21" s="1"/>
      <c r="C21" s="1">
        <v>1685</v>
      </c>
      <c r="D21" s="1">
        <v>1300</v>
      </c>
    </row>
    <row r="22" spans="1:4" x14ac:dyDescent="0.3">
      <c r="A22" s="99" t="s">
        <v>400</v>
      </c>
      <c r="B22" s="1"/>
      <c r="C22" s="1">
        <v>1429</v>
      </c>
      <c r="D22" s="1">
        <v>557</v>
      </c>
    </row>
    <row r="23" spans="1:4" x14ac:dyDescent="0.3">
      <c r="A23" s="99" t="s">
        <v>401</v>
      </c>
      <c r="B23" s="1">
        <v>1842</v>
      </c>
      <c r="C23" s="1">
        <v>1592</v>
      </c>
      <c r="D23" s="1">
        <v>751</v>
      </c>
    </row>
    <row r="24" spans="1:4" x14ac:dyDescent="0.3">
      <c r="A24" s="99" t="s">
        <v>402</v>
      </c>
      <c r="B24" s="1">
        <v>443</v>
      </c>
      <c r="C24" s="1">
        <v>778</v>
      </c>
      <c r="D24" s="1">
        <v>1472</v>
      </c>
    </row>
    <row r="25" spans="1:4" x14ac:dyDescent="0.3">
      <c r="A25" s="99" t="s">
        <v>403</v>
      </c>
      <c r="B25" s="1">
        <v>198</v>
      </c>
      <c r="C25" s="1">
        <v>817</v>
      </c>
      <c r="D25" s="1"/>
    </row>
    <row r="26" spans="1:4" x14ac:dyDescent="0.3">
      <c r="A26" s="99" t="s">
        <v>404</v>
      </c>
      <c r="B26" s="1">
        <v>250</v>
      </c>
      <c r="C26" s="1"/>
      <c r="D26" s="1">
        <v>752</v>
      </c>
    </row>
    <row r="27" spans="1:4" x14ac:dyDescent="0.3">
      <c r="A27" s="99" t="s">
        <v>405</v>
      </c>
      <c r="B27" s="1">
        <v>1929</v>
      </c>
      <c r="C27" s="1"/>
      <c r="D27" s="1">
        <v>437</v>
      </c>
    </row>
    <row r="28" spans="1:4" x14ac:dyDescent="0.3">
      <c r="A28" s="99" t="s">
        <v>406</v>
      </c>
      <c r="B28" s="1">
        <v>643</v>
      </c>
      <c r="C28" s="1"/>
      <c r="D28" s="1">
        <v>201</v>
      </c>
    </row>
    <row r="29" spans="1:4" x14ac:dyDescent="0.3">
      <c r="A29" s="99" t="s">
        <v>407</v>
      </c>
      <c r="B29" s="1">
        <v>508</v>
      </c>
      <c r="C29" s="1">
        <v>703</v>
      </c>
      <c r="D29" s="1">
        <v>697</v>
      </c>
    </row>
    <row r="30" spans="1:4" x14ac:dyDescent="0.3">
      <c r="A30" s="99" t="s">
        <v>408</v>
      </c>
      <c r="B30" s="1"/>
      <c r="C30" s="1">
        <v>642</v>
      </c>
      <c r="D30" s="1">
        <v>191</v>
      </c>
    </row>
    <row r="31" spans="1:4" x14ac:dyDescent="0.3">
      <c r="A31" s="99" t="s">
        <v>409</v>
      </c>
      <c r="B31" s="1"/>
      <c r="C31" s="1">
        <v>1466</v>
      </c>
      <c r="D31" s="1">
        <v>1821</v>
      </c>
    </row>
    <row r="32" spans="1:4" x14ac:dyDescent="0.3">
      <c r="A32" s="99" t="s">
        <v>410</v>
      </c>
      <c r="B32" s="1"/>
      <c r="C32" s="1">
        <v>1075</v>
      </c>
      <c r="D32" s="1">
        <v>1487</v>
      </c>
    </row>
    <row r="33" spans="1:4" x14ac:dyDescent="0.3">
      <c r="A33" s="99" t="s">
        <v>411</v>
      </c>
      <c r="B33" s="1">
        <v>513</v>
      </c>
      <c r="C33" s="1">
        <v>187</v>
      </c>
      <c r="D33" s="1">
        <v>628</v>
      </c>
    </row>
    <row r="34" spans="1:4" x14ac:dyDescent="0.3">
      <c r="A34" s="99" t="s">
        <v>412</v>
      </c>
      <c r="B34" s="1">
        <v>1710</v>
      </c>
      <c r="C34" s="1"/>
      <c r="D34" s="1">
        <v>330</v>
      </c>
    </row>
    <row r="35" spans="1:4" x14ac:dyDescent="0.3">
      <c r="A35" s="99" t="s">
        <v>413</v>
      </c>
      <c r="B35" s="1">
        <v>1902</v>
      </c>
      <c r="C35" s="1"/>
      <c r="D35" s="1">
        <v>1441</v>
      </c>
    </row>
    <row r="36" spans="1:4" x14ac:dyDescent="0.3">
      <c r="A36" s="99" t="s">
        <v>414</v>
      </c>
      <c r="B36" s="1">
        <v>1514</v>
      </c>
      <c r="C36" s="1"/>
      <c r="D36" s="1"/>
    </row>
    <row r="37" spans="1:4" x14ac:dyDescent="0.3">
      <c r="A37" s="99" t="s">
        <v>415</v>
      </c>
      <c r="B37" s="1">
        <v>1623</v>
      </c>
      <c r="C37" s="1"/>
      <c r="D37" s="1">
        <v>1592</v>
      </c>
    </row>
    <row r="38" spans="1:4" x14ac:dyDescent="0.3">
      <c r="A38" s="99" t="s">
        <v>416</v>
      </c>
      <c r="B38" s="1">
        <v>1155</v>
      </c>
      <c r="C38" s="1"/>
      <c r="D38" s="1">
        <v>1137</v>
      </c>
    </row>
    <row r="39" spans="1:4" x14ac:dyDescent="0.3">
      <c r="A39" s="99" t="s">
        <v>417</v>
      </c>
      <c r="B39" s="1"/>
      <c r="C39" s="1">
        <v>1814</v>
      </c>
      <c r="D39" s="1">
        <v>1786</v>
      </c>
    </row>
    <row r="40" spans="1:4" x14ac:dyDescent="0.3">
      <c r="A40" s="99" t="s">
        <v>418</v>
      </c>
      <c r="B40" s="1"/>
      <c r="C40" s="1">
        <v>1013</v>
      </c>
      <c r="D40" s="1">
        <v>1633</v>
      </c>
    </row>
    <row r="41" spans="1:4" x14ac:dyDescent="0.3">
      <c r="A41" s="99" t="s">
        <v>419</v>
      </c>
      <c r="B41" s="1"/>
      <c r="C41" s="1">
        <v>1855</v>
      </c>
      <c r="D41" s="1">
        <v>118</v>
      </c>
    </row>
    <row r="42" spans="1:4" x14ac:dyDescent="0.3">
      <c r="A42" s="99" t="s">
        <v>420</v>
      </c>
      <c r="B42" s="1">
        <v>663</v>
      </c>
      <c r="C42" s="1">
        <v>1748</v>
      </c>
      <c r="D42" s="1">
        <v>1040</v>
      </c>
    </row>
    <row r="43" spans="1:4" x14ac:dyDescent="0.3">
      <c r="A43" s="99" t="s">
        <v>421</v>
      </c>
      <c r="B43" s="1">
        <v>1249</v>
      </c>
      <c r="C43" s="1">
        <v>115</v>
      </c>
      <c r="D43" s="1">
        <v>1501</v>
      </c>
    </row>
    <row r="44" spans="1:4" x14ac:dyDescent="0.3">
      <c r="A44" s="99" t="s">
        <v>422</v>
      </c>
      <c r="B44" s="1">
        <v>1159</v>
      </c>
      <c r="C44" s="1">
        <v>1556</v>
      </c>
      <c r="D44" s="1">
        <v>927</v>
      </c>
    </row>
    <row r="45" spans="1:4" x14ac:dyDescent="0.3">
      <c r="A45" s="99" t="s">
        <v>423</v>
      </c>
      <c r="B45" s="1">
        <v>1294</v>
      </c>
      <c r="C45" s="1">
        <v>1957</v>
      </c>
      <c r="D45" s="1">
        <v>1587</v>
      </c>
    </row>
    <row r="46" spans="1:4" x14ac:dyDescent="0.3">
      <c r="A46" s="99" t="s">
        <v>424</v>
      </c>
      <c r="B46" s="1">
        <v>1895</v>
      </c>
      <c r="C46" s="1">
        <v>1138</v>
      </c>
      <c r="D46" s="1">
        <v>362</v>
      </c>
    </row>
    <row r="47" spans="1:4" x14ac:dyDescent="0.3">
      <c r="A47" s="99" t="s">
        <v>425</v>
      </c>
      <c r="B47" s="1">
        <v>1884</v>
      </c>
      <c r="C47" s="1">
        <v>1440</v>
      </c>
      <c r="D47" s="1">
        <v>861</v>
      </c>
    </row>
    <row r="48" spans="1:4" x14ac:dyDescent="0.3">
      <c r="A48" s="99" t="s">
        <v>426</v>
      </c>
      <c r="B48" s="1">
        <v>345</v>
      </c>
      <c r="C48" s="1">
        <v>1371</v>
      </c>
      <c r="D48" s="1">
        <v>946</v>
      </c>
    </row>
    <row r="49" spans="1:4" x14ac:dyDescent="0.3">
      <c r="A49" s="99" t="s">
        <v>427</v>
      </c>
      <c r="B49" s="1"/>
      <c r="C49" s="1">
        <v>393</v>
      </c>
      <c r="D49" s="1">
        <v>1399</v>
      </c>
    </row>
    <row r="50" spans="1:4" x14ac:dyDescent="0.3">
      <c r="A50" s="99" t="s">
        <v>428</v>
      </c>
      <c r="B50" s="1"/>
      <c r="C50" s="1">
        <v>1102</v>
      </c>
      <c r="D50" s="1">
        <v>1077</v>
      </c>
    </row>
    <row r="51" spans="1:4" x14ac:dyDescent="0.3">
      <c r="A51" s="99" t="s">
        <v>429</v>
      </c>
      <c r="B51" s="1">
        <v>609</v>
      </c>
      <c r="C51" s="1">
        <v>490</v>
      </c>
      <c r="D51" s="1"/>
    </row>
    <row r="52" spans="1:4" x14ac:dyDescent="0.3">
      <c r="A52" s="99" t="s">
        <v>430</v>
      </c>
      <c r="B52" s="1">
        <v>988</v>
      </c>
      <c r="C52" s="1">
        <v>1033</v>
      </c>
      <c r="D52" s="1"/>
    </row>
    <row r="53" spans="1:4" x14ac:dyDescent="0.3">
      <c r="A53" s="99" t="s">
        <v>431</v>
      </c>
      <c r="B53" s="1">
        <v>1307</v>
      </c>
      <c r="C53" s="1"/>
      <c r="D53" s="1"/>
    </row>
    <row r="54" spans="1:4" x14ac:dyDescent="0.3">
      <c r="A54" s="99" t="s">
        <v>432</v>
      </c>
      <c r="B54" s="1"/>
      <c r="C54" s="1"/>
      <c r="D54" s="1">
        <v>353</v>
      </c>
    </row>
    <row r="55" spans="1:4" x14ac:dyDescent="0.3">
      <c r="A55" s="99" t="s">
        <v>433</v>
      </c>
      <c r="B55" s="1">
        <v>1375</v>
      </c>
      <c r="C55" s="1"/>
      <c r="D55" s="1">
        <v>1147</v>
      </c>
    </row>
    <row r="56" spans="1:4" x14ac:dyDescent="0.3">
      <c r="A56" s="99" t="s">
        <v>434</v>
      </c>
      <c r="B56" s="1">
        <v>833</v>
      </c>
      <c r="C56" s="1">
        <v>1693</v>
      </c>
      <c r="D56" s="1">
        <v>1222</v>
      </c>
    </row>
    <row r="57" spans="1:4" x14ac:dyDescent="0.3">
      <c r="A57" s="99" t="s">
        <v>435</v>
      </c>
      <c r="B57" s="1">
        <v>405</v>
      </c>
      <c r="C57" s="1">
        <v>1957</v>
      </c>
      <c r="D57" s="1">
        <v>1581</v>
      </c>
    </row>
    <row r="58" spans="1:4" x14ac:dyDescent="0.3">
      <c r="A58" s="99" t="s">
        <v>436</v>
      </c>
      <c r="B58" s="1">
        <v>837</v>
      </c>
      <c r="C58" s="1">
        <v>1765</v>
      </c>
      <c r="D58" s="1">
        <v>337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48B16-A742-4D19-BA53-CCFDB695EA74}">
  <sheetPr codeName="Sheet24"/>
  <dimension ref="B2:O58"/>
  <sheetViews>
    <sheetView workbookViewId="0">
      <selection activeCell="Q25" sqref="Q25"/>
    </sheetView>
  </sheetViews>
  <sheetFormatPr defaultRowHeight="14.4" x14ac:dyDescent="0.3"/>
  <cols>
    <col min="1" max="2" width="12.5546875" bestFit="1" customWidth="1"/>
    <col min="3" max="3" width="20.33203125" bestFit="1" customWidth="1"/>
  </cols>
  <sheetData>
    <row r="2" spans="2:11" ht="33.6" x14ac:dyDescent="0.65">
      <c r="E2" s="100" t="s">
        <v>499</v>
      </c>
      <c r="F2" s="83"/>
      <c r="G2" s="83"/>
      <c r="H2" s="83"/>
      <c r="I2" s="83"/>
      <c r="J2" s="83"/>
      <c r="K2" s="83"/>
    </row>
    <row r="8" spans="2:11" x14ac:dyDescent="0.3">
      <c r="B8" s="17" t="s">
        <v>362</v>
      </c>
      <c r="C8" s="1" t="s">
        <v>492</v>
      </c>
    </row>
    <row r="9" spans="2:11" x14ac:dyDescent="0.3">
      <c r="B9" s="20" t="s">
        <v>387</v>
      </c>
      <c r="C9" s="1">
        <v>4566</v>
      </c>
    </row>
    <row r="10" spans="2:11" x14ac:dyDescent="0.3">
      <c r="B10" s="20" t="s">
        <v>388</v>
      </c>
      <c r="C10" s="1">
        <v>2289</v>
      </c>
    </row>
    <row r="11" spans="2:11" x14ac:dyDescent="0.3">
      <c r="B11" s="20" t="s">
        <v>389</v>
      </c>
      <c r="C11" s="1">
        <v>1451</v>
      </c>
    </row>
    <row r="12" spans="2:11" x14ac:dyDescent="0.3">
      <c r="B12" s="20" t="s">
        <v>390</v>
      </c>
      <c r="C12" s="1">
        <v>2998</v>
      </c>
    </row>
    <row r="13" spans="2:11" x14ac:dyDescent="0.3">
      <c r="B13" s="20" t="s">
        <v>391</v>
      </c>
      <c r="C13" s="1">
        <v>875</v>
      </c>
    </row>
    <row r="14" spans="2:11" x14ac:dyDescent="0.3">
      <c r="B14" s="20" t="s">
        <v>392</v>
      </c>
      <c r="C14" s="1">
        <v>3977</v>
      </c>
    </row>
    <row r="15" spans="2:11" x14ac:dyDescent="0.3">
      <c r="B15" s="20" t="s">
        <v>393</v>
      </c>
      <c r="C15" s="1">
        <v>3058</v>
      </c>
    </row>
    <row r="16" spans="2:11" x14ac:dyDescent="0.3">
      <c r="B16" s="20" t="s">
        <v>394</v>
      </c>
      <c r="C16" s="1">
        <v>3600</v>
      </c>
    </row>
    <row r="17" spans="2:15" x14ac:dyDescent="0.3">
      <c r="B17" s="20" t="s">
        <v>395</v>
      </c>
      <c r="C17" s="1">
        <v>2569</v>
      </c>
    </row>
    <row r="18" spans="2:15" x14ac:dyDescent="0.3">
      <c r="B18" s="20" t="s">
        <v>396</v>
      </c>
      <c r="C18" s="1">
        <v>1685</v>
      </c>
    </row>
    <row r="19" spans="2:15" x14ac:dyDescent="0.3">
      <c r="B19" s="20" t="s">
        <v>397</v>
      </c>
      <c r="C19" s="1">
        <v>4757</v>
      </c>
    </row>
    <row r="20" spans="2:15" x14ac:dyDescent="0.3">
      <c r="B20" s="20" t="s">
        <v>398</v>
      </c>
      <c r="C20" s="1">
        <v>3265</v>
      </c>
    </row>
    <row r="21" spans="2:15" x14ac:dyDescent="0.3">
      <c r="B21" s="20" t="s">
        <v>399</v>
      </c>
      <c r="C21" s="1">
        <v>2985</v>
      </c>
    </row>
    <row r="22" spans="2:15" x14ac:dyDescent="0.3">
      <c r="B22" s="20" t="s">
        <v>400</v>
      </c>
      <c r="C22" s="1">
        <v>1986</v>
      </c>
    </row>
    <row r="23" spans="2:15" x14ac:dyDescent="0.3">
      <c r="B23" s="20" t="s">
        <v>401</v>
      </c>
      <c r="C23" s="1">
        <v>4185</v>
      </c>
    </row>
    <row r="24" spans="2:15" ht="18" x14ac:dyDescent="0.35">
      <c r="B24" s="20" t="s">
        <v>402</v>
      </c>
      <c r="C24" s="1">
        <v>2816</v>
      </c>
      <c r="E24" s="101" t="s">
        <v>500</v>
      </c>
      <c r="F24" s="101"/>
      <c r="G24" s="101"/>
      <c r="H24" s="101"/>
      <c r="I24" s="101"/>
      <c r="J24" s="101"/>
      <c r="K24" s="101"/>
      <c r="L24" s="101"/>
      <c r="M24" s="101"/>
      <c r="N24" s="102"/>
      <c r="O24" s="102"/>
    </row>
    <row r="25" spans="2:15" ht="18" x14ac:dyDescent="0.35">
      <c r="B25" s="20" t="s">
        <v>403</v>
      </c>
      <c r="C25" s="1">
        <v>2233</v>
      </c>
      <c r="E25" s="101" t="s">
        <v>501</v>
      </c>
      <c r="F25" s="101"/>
      <c r="G25" s="101"/>
      <c r="H25" s="101"/>
      <c r="I25" s="101"/>
      <c r="J25" s="101"/>
      <c r="K25" s="101"/>
      <c r="L25" s="101"/>
      <c r="M25" s="101"/>
      <c r="N25" s="102"/>
      <c r="O25" s="102"/>
    </row>
    <row r="26" spans="2:15" ht="18" x14ac:dyDescent="0.35">
      <c r="B26" s="20" t="s">
        <v>404</v>
      </c>
      <c r="C26" s="1">
        <v>2920</v>
      </c>
      <c r="E26" s="101" t="s">
        <v>502</v>
      </c>
      <c r="F26" s="101"/>
      <c r="G26" s="101"/>
      <c r="H26" s="101"/>
      <c r="I26" s="101"/>
      <c r="J26" s="101"/>
      <c r="K26" s="101"/>
      <c r="L26" s="101"/>
      <c r="M26" s="101"/>
      <c r="N26" s="102"/>
      <c r="O26" s="102"/>
    </row>
    <row r="27" spans="2:15" x14ac:dyDescent="0.3">
      <c r="B27" s="20" t="s">
        <v>405</v>
      </c>
      <c r="C27" s="1">
        <v>2673</v>
      </c>
    </row>
    <row r="28" spans="2:15" x14ac:dyDescent="0.3">
      <c r="B28" s="20" t="s">
        <v>406</v>
      </c>
      <c r="C28" s="1">
        <v>1258</v>
      </c>
    </row>
    <row r="29" spans="2:15" x14ac:dyDescent="0.3">
      <c r="B29" s="20" t="s">
        <v>407</v>
      </c>
      <c r="C29" s="1">
        <v>3615</v>
      </c>
    </row>
    <row r="30" spans="2:15" x14ac:dyDescent="0.3">
      <c r="B30" s="20" t="s">
        <v>408</v>
      </c>
      <c r="C30" s="1">
        <v>2647</v>
      </c>
    </row>
    <row r="31" spans="2:15" x14ac:dyDescent="0.3">
      <c r="B31" s="20" t="s">
        <v>409</v>
      </c>
      <c r="C31" s="1">
        <v>4794</v>
      </c>
    </row>
    <row r="32" spans="2:15" x14ac:dyDescent="0.3">
      <c r="B32" s="20" t="s">
        <v>410</v>
      </c>
      <c r="C32" s="1">
        <v>3016</v>
      </c>
    </row>
    <row r="33" spans="2:3" x14ac:dyDescent="0.3">
      <c r="B33" s="20" t="s">
        <v>411</v>
      </c>
      <c r="C33" s="1">
        <v>1606</v>
      </c>
    </row>
    <row r="34" spans="2:3" x14ac:dyDescent="0.3">
      <c r="B34" s="20" t="s">
        <v>412</v>
      </c>
      <c r="C34" s="1">
        <v>3333</v>
      </c>
    </row>
    <row r="35" spans="2:3" x14ac:dyDescent="0.3">
      <c r="B35" s="20" t="s">
        <v>413</v>
      </c>
      <c r="C35" s="1">
        <v>3795</v>
      </c>
    </row>
    <row r="36" spans="2:3" x14ac:dyDescent="0.3">
      <c r="B36" s="20" t="s">
        <v>414</v>
      </c>
      <c r="C36" s="1">
        <v>2250</v>
      </c>
    </row>
    <row r="37" spans="2:3" x14ac:dyDescent="0.3">
      <c r="B37" s="20" t="s">
        <v>415</v>
      </c>
      <c r="C37" s="1">
        <v>3215</v>
      </c>
    </row>
    <row r="38" spans="2:3" x14ac:dyDescent="0.3">
      <c r="B38" s="20" t="s">
        <v>416</v>
      </c>
      <c r="C38" s="1">
        <v>2292</v>
      </c>
    </row>
    <row r="39" spans="2:3" x14ac:dyDescent="0.3">
      <c r="B39" s="20" t="s">
        <v>417</v>
      </c>
      <c r="C39" s="1">
        <v>3600</v>
      </c>
    </row>
    <row r="40" spans="2:3" x14ac:dyDescent="0.3">
      <c r="B40" s="20" t="s">
        <v>418</v>
      </c>
      <c r="C40" s="1">
        <v>2646</v>
      </c>
    </row>
    <row r="41" spans="2:3" x14ac:dyDescent="0.3">
      <c r="B41" s="20" t="s">
        <v>419</v>
      </c>
      <c r="C41" s="1">
        <v>3304</v>
      </c>
    </row>
    <row r="42" spans="2:3" x14ac:dyDescent="0.3">
      <c r="B42" s="20" t="s">
        <v>420</v>
      </c>
      <c r="C42" s="1">
        <v>4617</v>
      </c>
    </row>
    <row r="43" spans="2:3" x14ac:dyDescent="0.3">
      <c r="B43" s="20" t="s">
        <v>421</v>
      </c>
      <c r="C43" s="1">
        <v>4276</v>
      </c>
    </row>
    <row r="44" spans="2:3" x14ac:dyDescent="0.3">
      <c r="B44" s="20" t="s">
        <v>422</v>
      </c>
      <c r="C44" s="1">
        <v>3794</v>
      </c>
    </row>
    <row r="45" spans="2:3" x14ac:dyDescent="0.3">
      <c r="B45" s="20" t="s">
        <v>423</v>
      </c>
      <c r="C45" s="1">
        <v>6545</v>
      </c>
    </row>
    <row r="46" spans="2:3" x14ac:dyDescent="0.3">
      <c r="B46" s="20" t="s">
        <v>424</v>
      </c>
      <c r="C46" s="1">
        <v>5057</v>
      </c>
    </row>
    <row r="47" spans="2:3" x14ac:dyDescent="0.3">
      <c r="B47" s="20" t="s">
        <v>425</v>
      </c>
      <c r="C47" s="1">
        <v>5248</v>
      </c>
    </row>
    <row r="48" spans="2:3" x14ac:dyDescent="0.3">
      <c r="B48" s="20" t="s">
        <v>426</v>
      </c>
      <c r="C48" s="1">
        <v>3172</v>
      </c>
    </row>
    <row r="49" spans="2:3" x14ac:dyDescent="0.3">
      <c r="B49" s="20" t="s">
        <v>427</v>
      </c>
      <c r="C49" s="1">
        <v>3450</v>
      </c>
    </row>
    <row r="50" spans="2:3" x14ac:dyDescent="0.3">
      <c r="B50" s="20" t="s">
        <v>428</v>
      </c>
      <c r="C50" s="1">
        <v>2179</v>
      </c>
    </row>
    <row r="51" spans="2:3" x14ac:dyDescent="0.3">
      <c r="B51" s="20" t="s">
        <v>429</v>
      </c>
      <c r="C51" s="1">
        <v>1541</v>
      </c>
    </row>
    <row r="52" spans="2:3" x14ac:dyDescent="0.3">
      <c r="B52" s="20" t="s">
        <v>430</v>
      </c>
      <c r="C52" s="1">
        <v>2021</v>
      </c>
    </row>
    <row r="53" spans="2:3" x14ac:dyDescent="0.3">
      <c r="B53" s="20" t="s">
        <v>431</v>
      </c>
      <c r="C53" s="1">
        <v>1307</v>
      </c>
    </row>
    <row r="54" spans="2:3" x14ac:dyDescent="0.3">
      <c r="B54" s="20" t="s">
        <v>432</v>
      </c>
      <c r="C54" s="1">
        <v>873</v>
      </c>
    </row>
    <row r="55" spans="2:3" x14ac:dyDescent="0.3">
      <c r="B55" s="20" t="s">
        <v>433</v>
      </c>
      <c r="C55" s="1">
        <v>4229</v>
      </c>
    </row>
    <row r="56" spans="2:3" x14ac:dyDescent="0.3">
      <c r="B56" s="20" t="s">
        <v>434</v>
      </c>
      <c r="C56" s="1">
        <v>4525</v>
      </c>
    </row>
    <row r="57" spans="2:3" x14ac:dyDescent="0.3">
      <c r="B57" s="20" t="s">
        <v>435</v>
      </c>
      <c r="C57" s="1">
        <v>4978</v>
      </c>
    </row>
    <row r="58" spans="2:3" x14ac:dyDescent="0.3">
      <c r="B58" s="20" t="s">
        <v>436</v>
      </c>
      <c r="C58" s="1">
        <v>3058</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27CC-60A5-4E2E-8388-6B106CDBF6C5}">
  <sheetPr codeName="Sheet25"/>
  <dimension ref="A2:M46"/>
  <sheetViews>
    <sheetView topLeftCell="A2" workbookViewId="0">
      <selection activeCell="I22" sqref="I22"/>
    </sheetView>
  </sheetViews>
  <sheetFormatPr defaultRowHeight="14.4" x14ac:dyDescent="0.3"/>
  <cols>
    <col min="1" max="1" width="20.33203125" bestFit="1" customWidth="1"/>
    <col min="2" max="2" width="15.5546875" bestFit="1" customWidth="1"/>
    <col min="3" max="5" width="8.44140625" bestFit="1" customWidth="1"/>
    <col min="6" max="7" width="10.77734375" bestFit="1" customWidth="1"/>
  </cols>
  <sheetData>
    <row r="2" spans="1:13" ht="31.2" x14ac:dyDescent="0.6">
      <c r="E2" s="94" t="s">
        <v>503</v>
      </c>
      <c r="F2" s="94"/>
      <c r="G2" s="94"/>
      <c r="H2" s="94"/>
      <c r="I2" s="83"/>
      <c r="J2" s="83"/>
      <c r="K2" s="83"/>
      <c r="L2" s="83"/>
      <c r="M2" s="83"/>
    </row>
    <row r="8" spans="1:13" x14ac:dyDescent="0.3">
      <c r="A8" s="17" t="s">
        <v>492</v>
      </c>
      <c r="B8" s="17" t="s">
        <v>368</v>
      </c>
    </row>
    <row r="9" spans="1:13" x14ac:dyDescent="0.3">
      <c r="A9" s="17" t="s">
        <v>362</v>
      </c>
      <c r="B9" s="1" t="s">
        <v>35</v>
      </c>
    </row>
    <row r="10" spans="1:13" x14ac:dyDescent="0.3">
      <c r="A10" s="20" t="s">
        <v>387</v>
      </c>
      <c r="B10" s="1">
        <v>1312</v>
      </c>
    </row>
    <row r="11" spans="1:13" x14ac:dyDescent="0.3">
      <c r="A11" s="20" t="s">
        <v>390</v>
      </c>
      <c r="B11" s="1">
        <v>1779</v>
      </c>
    </row>
    <row r="12" spans="1:13" x14ac:dyDescent="0.3">
      <c r="A12" s="20" t="s">
        <v>391</v>
      </c>
      <c r="B12" s="1">
        <v>505</v>
      </c>
    </row>
    <row r="13" spans="1:13" x14ac:dyDescent="0.3">
      <c r="A13" s="20" t="s">
        <v>392</v>
      </c>
      <c r="B13" s="1">
        <v>350</v>
      </c>
    </row>
    <row r="14" spans="1:13" x14ac:dyDescent="0.3">
      <c r="A14" s="20" t="s">
        <v>393</v>
      </c>
      <c r="B14" s="1">
        <v>170</v>
      </c>
    </row>
    <row r="15" spans="1:13" x14ac:dyDescent="0.3">
      <c r="A15" s="20" t="s">
        <v>394</v>
      </c>
      <c r="B15" s="1">
        <v>1391</v>
      </c>
    </row>
    <row r="16" spans="1:13" x14ac:dyDescent="0.3">
      <c r="A16" s="20" t="s">
        <v>395</v>
      </c>
      <c r="B16" s="1">
        <v>160</v>
      </c>
    </row>
    <row r="17" spans="1:2" x14ac:dyDescent="0.3">
      <c r="A17" s="20" t="s">
        <v>396</v>
      </c>
      <c r="B17" s="1">
        <v>214</v>
      </c>
    </row>
    <row r="18" spans="1:2" x14ac:dyDescent="0.3">
      <c r="A18" s="20" t="s">
        <v>397</v>
      </c>
      <c r="B18" s="1">
        <v>1534</v>
      </c>
    </row>
    <row r="19" spans="1:2" x14ac:dyDescent="0.3">
      <c r="A19" s="20" t="s">
        <v>398</v>
      </c>
      <c r="B19" s="1">
        <v>1078</v>
      </c>
    </row>
    <row r="20" spans="1:2" x14ac:dyDescent="0.3">
      <c r="A20" s="20" t="s">
        <v>401</v>
      </c>
      <c r="B20" s="1">
        <v>1842</v>
      </c>
    </row>
    <row r="21" spans="1:2" x14ac:dyDescent="0.3">
      <c r="A21" s="20" t="s">
        <v>402</v>
      </c>
      <c r="B21" s="1">
        <v>443</v>
      </c>
    </row>
    <row r="22" spans="1:2" x14ac:dyDescent="0.3">
      <c r="A22" s="20" t="s">
        <v>403</v>
      </c>
      <c r="B22" s="1">
        <v>198</v>
      </c>
    </row>
    <row r="23" spans="1:2" x14ac:dyDescent="0.3">
      <c r="A23" s="20" t="s">
        <v>404</v>
      </c>
      <c r="B23" s="1">
        <v>250</v>
      </c>
    </row>
    <row r="24" spans="1:2" x14ac:dyDescent="0.3">
      <c r="A24" s="20" t="s">
        <v>405</v>
      </c>
      <c r="B24" s="1">
        <v>1929</v>
      </c>
    </row>
    <row r="25" spans="1:2" x14ac:dyDescent="0.3">
      <c r="A25" s="20" t="s">
        <v>406</v>
      </c>
      <c r="B25" s="1">
        <v>643</v>
      </c>
    </row>
    <row r="26" spans="1:2" x14ac:dyDescent="0.3">
      <c r="A26" s="20" t="s">
        <v>407</v>
      </c>
      <c r="B26" s="1">
        <v>508</v>
      </c>
    </row>
    <row r="27" spans="1:2" x14ac:dyDescent="0.3">
      <c r="A27" s="20" t="s">
        <v>411</v>
      </c>
      <c r="B27" s="1">
        <v>513</v>
      </c>
    </row>
    <row r="28" spans="1:2" x14ac:dyDescent="0.3">
      <c r="A28" s="20" t="s">
        <v>412</v>
      </c>
      <c r="B28" s="1">
        <v>1710</v>
      </c>
    </row>
    <row r="29" spans="1:2" x14ac:dyDescent="0.3">
      <c r="A29" s="20" t="s">
        <v>413</v>
      </c>
      <c r="B29" s="1">
        <v>1902</v>
      </c>
    </row>
    <row r="30" spans="1:2" x14ac:dyDescent="0.3">
      <c r="A30" s="20" t="s">
        <v>414</v>
      </c>
      <c r="B30" s="1">
        <v>1514</v>
      </c>
    </row>
    <row r="31" spans="1:2" x14ac:dyDescent="0.3">
      <c r="A31" s="20" t="s">
        <v>415</v>
      </c>
      <c r="B31" s="1">
        <v>1623</v>
      </c>
    </row>
    <row r="32" spans="1:2" x14ac:dyDescent="0.3">
      <c r="A32" s="20" t="s">
        <v>416</v>
      </c>
      <c r="B32" s="1">
        <v>1155</v>
      </c>
    </row>
    <row r="33" spans="1:2" x14ac:dyDescent="0.3">
      <c r="A33" s="20" t="s">
        <v>420</v>
      </c>
      <c r="B33" s="1">
        <v>663</v>
      </c>
    </row>
    <row r="34" spans="1:2" x14ac:dyDescent="0.3">
      <c r="A34" s="20" t="s">
        <v>421</v>
      </c>
      <c r="B34" s="1">
        <v>1249</v>
      </c>
    </row>
    <row r="35" spans="1:2" x14ac:dyDescent="0.3">
      <c r="A35" s="20" t="s">
        <v>422</v>
      </c>
      <c r="B35" s="1">
        <v>1159</v>
      </c>
    </row>
    <row r="36" spans="1:2" x14ac:dyDescent="0.3">
      <c r="A36" s="20" t="s">
        <v>423</v>
      </c>
      <c r="B36" s="1">
        <v>1294</v>
      </c>
    </row>
    <row r="37" spans="1:2" x14ac:dyDescent="0.3">
      <c r="A37" s="20" t="s">
        <v>424</v>
      </c>
      <c r="B37" s="1">
        <v>1895</v>
      </c>
    </row>
    <row r="38" spans="1:2" x14ac:dyDescent="0.3">
      <c r="A38" s="20" t="s">
        <v>425</v>
      </c>
      <c r="B38" s="1">
        <v>1884</v>
      </c>
    </row>
    <row r="39" spans="1:2" x14ac:dyDescent="0.3">
      <c r="A39" s="20" t="s">
        <v>426</v>
      </c>
      <c r="B39" s="1">
        <v>345</v>
      </c>
    </row>
    <row r="40" spans="1:2" x14ac:dyDescent="0.3">
      <c r="A40" s="20" t="s">
        <v>429</v>
      </c>
      <c r="B40" s="1">
        <v>609</v>
      </c>
    </row>
    <row r="41" spans="1:2" x14ac:dyDescent="0.3">
      <c r="A41" s="20" t="s">
        <v>430</v>
      </c>
      <c r="B41" s="1">
        <v>988</v>
      </c>
    </row>
    <row r="42" spans="1:2" x14ac:dyDescent="0.3">
      <c r="A42" s="20" t="s">
        <v>431</v>
      </c>
      <c r="B42" s="1">
        <v>1307</v>
      </c>
    </row>
    <row r="43" spans="1:2" x14ac:dyDescent="0.3">
      <c r="A43" s="20" t="s">
        <v>433</v>
      </c>
      <c r="B43" s="1">
        <v>1375</v>
      </c>
    </row>
    <row r="44" spans="1:2" x14ac:dyDescent="0.3">
      <c r="A44" s="20" t="s">
        <v>434</v>
      </c>
      <c r="B44" s="1">
        <v>833</v>
      </c>
    </row>
    <row r="45" spans="1:2" x14ac:dyDescent="0.3">
      <c r="A45" s="20" t="s">
        <v>435</v>
      </c>
      <c r="B45" s="1">
        <v>405</v>
      </c>
    </row>
    <row r="46" spans="1:2" x14ac:dyDescent="0.3">
      <c r="A46" s="20" t="s">
        <v>436</v>
      </c>
      <c r="B46" s="1">
        <v>837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C1094-9059-4E8B-9DC9-CF73BBFC3A58}">
  <sheetPr codeName="Sheet26"/>
  <dimension ref="E2:S12"/>
  <sheetViews>
    <sheetView workbookViewId="0">
      <selection activeCell="M20" sqref="M20"/>
    </sheetView>
  </sheetViews>
  <sheetFormatPr defaultRowHeight="14.4" x14ac:dyDescent="0.3"/>
  <cols>
    <col min="1" max="1" width="12.5546875" bestFit="1" customWidth="1"/>
    <col min="2" max="2" width="20.33203125" bestFit="1" customWidth="1"/>
    <col min="14" max="14" width="19.109375" customWidth="1"/>
  </cols>
  <sheetData>
    <row r="2" spans="5:19" ht="31.2" x14ac:dyDescent="0.6">
      <c r="E2" s="94" t="s">
        <v>504</v>
      </c>
      <c r="F2" s="95"/>
      <c r="G2" s="95"/>
      <c r="H2" s="95"/>
      <c r="I2" s="95"/>
      <c r="J2" s="95"/>
      <c r="K2" s="95"/>
      <c r="L2" s="95"/>
      <c r="M2" s="95"/>
      <c r="N2" s="95"/>
    </row>
    <row r="10" spans="5:19" ht="18" x14ac:dyDescent="0.35">
      <c r="J10" s="103" t="s">
        <v>505</v>
      </c>
      <c r="K10" s="104"/>
      <c r="L10" s="104"/>
      <c r="M10" s="104"/>
      <c r="N10" s="104"/>
      <c r="O10" s="104"/>
      <c r="P10" s="104"/>
      <c r="Q10" s="104"/>
      <c r="R10" s="104"/>
      <c r="S10" s="104"/>
    </row>
    <row r="11" spans="5:19" ht="18" x14ac:dyDescent="0.35">
      <c r="J11" s="103" t="s">
        <v>506</v>
      </c>
      <c r="K11" s="104"/>
      <c r="L11" s="104"/>
      <c r="M11" s="104"/>
      <c r="N11" s="104"/>
      <c r="O11" s="104"/>
      <c r="P11" s="104"/>
      <c r="Q11" s="104"/>
      <c r="R11" s="104"/>
      <c r="S11" s="104"/>
    </row>
    <row r="12" spans="5:19" ht="18" x14ac:dyDescent="0.35">
      <c r="J12" s="103" t="s">
        <v>507</v>
      </c>
      <c r="K12" s="104"/>
      <c r="L12" s="104"/>
      <c r="M12" s="104"/>
      <c r="N12" s="104"/>
      <c r="O12" s="104"/>
      <c r="P12" s="104"/>
      <c r="Q12" s="104"/>
      <c r="R12" s="104"/>
      <c r="S12" s="104"/>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74F7-E29D-4F57-B3D6-394432F94CAE}">
  <sheetPr codeName="Sheet27"/>
  <dimension ref="B1:AN93"/>
  <sheetViews>
    <sheetView zoomScale="47" zoomScaleNormal="47" workbookViewId="0">
      <selection activeCell="AA37" sqref="AA37"/>
    </sheetView>
  </sheetViews>
  <sheetFormatPr defaultRowHeight="14.4" x14ac:dyDescent="0.3"/>
  <sheetData>
    <row r="1" spans="2:24" s="29" customFormat="1" x14ac:dyDescent="0.3"/>
    <row r="2" spans="2:24" x14ac:dyDescent="0.3">
      <c r="B2" s="105"/>
      <c r="C2" s="105"/>
      <c r="D2" s="105"/>
      <c r="E2" s="105"/>
      <c r="F2" s="105"/>
      <c r="G2" s="105"/>
      <c r="H2" s="105"/>
      <c r="I2" s="105"/>
      <c r="J2" s="105"/>
      <c r="K2" s="105"/>
      <c r="L2" s="105"/>
      <c r="M2" s="105"/>
      <c r="N2" s="105"/>
      <c r="O2" s="105"/>
      <c r="P2" s="105"/>
      <c r="Q2" s="105"/>
      <c r="R2" s="105"/>
      <c r="S2" s="105"/>
      <c r="T2" s="105"/>
      <c r="U2" s="105"/>
      <c r="V2" s="105"/>
      <c r="W2" s="105"/>
      <c r="X2" s="105"/>
    </row>
    <row r="3" spans="2:24" x14ac:dyDescent="0.3">
      <c r="B3" s="105"/>
      <c r="C3" s="105"/>
      <c r="D3" s="105"/>
      <c r="E3" s="105"/>
      <c r="F3" s="105"/>
      <c r="G3" s="105"/>
      <c r="H3" s="105"/>
      <c r="I3" s="105"/>
      <c r="J3" s="105"/>
      <c r="K3" s="105"/>
      <c r="L3" s="105"/>
      <c r="M3" s="105"/>
      <c r="N3" s="105"/>
      <c r="O3" s="105"/>
      <c r="P3" s="105"/>
      <c r="Q3" s="105"/>
      <c r="R3" s="105"/>
      <c r="S3" s="105"/>
      <c r="T3" s="105"/>
      <c r="U3" s="105"/>
      <c r="V3" s="105"/>
      <c r="W3" s="105"/>
      <c r="X3" s="105"/>
    </row>
    <row r="4" spans="2:24" x14ac:dyDescent="0.3">
      <c r="B4" s="105"/>
      <c r="C4" s="105"/>
      <c r="D4" s="105"/>
      <c r="E4" s="105"/>
      <c r="F4" s="105"/>
      <c r="G4" s="105"/>
      <c r="H4" s="105"/>
      <c r="I4" s="105"/>
      <c r="J4" s="105"/>
      <c r="K4" s="105"/>
      <c r="L4" s="105"/>
      <c r="M4" s="105"/>
      <c r="N4" s="105"/>
      <c r="O4" s="105"/>
      <c r="P4" s="105"/>
      <c r="Q4" s="105"/>
      <c r="R4" s="105"/>
      <c r="S4" s="105"/>
      <c r="T4" s="105"/>
      <c r="U4" s="105"/>
      <c r="V4" s="105"/>
      <c r="W4" s="105"/>
      <c r="X4" s="105"/>
    </row>
    <row r="5" spans="2:24" x14ac:dyDescent="0.3">
      <c r="B5" s="105"/>
      <c r="C5" s="105"/>
      <c r="D5" s="105"/>
      <c r="E5" s="105"/>
      <c r="F5" s="105"/>
      <c r="G5" s="105"/>
      <c r="H5" s="105"/>
      <c r="I5" s="105"/>
      <c r="J5" s="105"/>
      <c r="K5" s="105"/>
      <c r="L5" s="105"/>
      <c r="M5" s="105"/>
      <c r="N5" s="105"/>
      <c r="O5" s="105"/>
      <c r="P5" s="105"/>
      <c r="Q5" s="105"/>
      <c r="R5" s="105"/>
      <c r="S5" s="105"/>
      <c r="T5" s="105"/>
      <c r="U5" s="105"/>
      <c r="V5" s="105"/>
      <c r="W5" s="105"/>
      <c r="X5" s="105"/>
    </row>
    <row r="6" spans="2:24" x14ac:dyDescent="0.3">
      <c r="B6" s="105"/>
      <c r="C6" s="105"/>
      <c r="D6" s="105"/>
      <c r="E6" s="105"/>
      <c r="F6" s="105"/>
      <c r="G6" s="105"/>
      <c r="H6" s="105"/>
      <c r="I6" s="105"/>
      <c r="J6" s="105"/>
      <c r="K6" s="105"/>
      <c r="L6" s="105"/>
      <c r="M6" s="105"/>
      <c r="N6" s="105"/>
      <c r="O6" s="105"/>
      <c r="P6" s="105"/>
      <c r="Q6" s="105"/>
      <c r="R6" s="105"/>
      <c r="S6" s="105"/>
      <c r="T6" s="105"/>
      <c r="U6" s="105"/>
      <c r="V6" s="105"/>
      <c r="W6" s="105"/>
      <c r="X6" s="105"/>
    </row>
    <row r="7" spans="2:24" x14ac:dyDescent="0.3">
      <c r="B7" s="105"/>
      <c r="C7" s="105"/>
      <c r="D7" s="105"/>
      <c r="E7" s="105"/>
      <c r="F7" s="105"/>
      <c r="G7" s="105"/>
      <c r="H7" s="105"/>
      <c r="I7" s="105"/>
      <c r="J7" s="105"/>
      <c r="K7" s="105"/>
      <c r="L7" s="105"/>
      <c r="M7" s="105"/>
      <c r="N7" s="105"/>
      <c r="O7" s="105"/>
      <c r="P7" s="105"/>
      <c r="Q7" s="105"/>
      <c r="R7" s="105"/>
      <c r="S7" s="105"/>
      <c r="T7" s="105"/>
      <c r="U7" s="105"/>
      <c r="V7" s="105"/>
      <c r="W7" s="105"/>
      <c r="X7" s="105"/>
    </row>
    <row r="8" spans="2:24" x14ac:dyDescent="0.3">
      <c r="B8" s="105"/>
      <c r="C8" s="105"/>
      <c r="D8" s="105"/>
      <c r="E8" s="105"/>
      <c r="F8" s="105"/>
      <c r="G8" s="105"/>
      <c r="H8" s="105"/>
      <c r="I8" s="105"/>
      <c r="J8" s="105"/>
      <c r="K8" s="105"/>
      <c r="L8" s="105"/>
      <c r="M8" s="105"/>
      <c r="N8" s="105"/>
      <c r="O8" s="105"/>
      <c r="P8" s="105"/>
      <c r="Q8" s="105"/>
      <c r="R8" s="105"/>
      <c r="S8" s="105"/>
      <c r="T8" s="105"/>
      <c r="U8" s="105"/>
      <c r="V8" s="105"/>
      <c r="W8" s="105"/>
      <c r="X8" s="105"/>
    </row>
    <row r="9" spans="2:24" x14ac:dyDescent="0.3">
      <c r="B9" s="105"/>
      <c r="C9" s="105"/>
      <c r="D9" s="105"/>
      <c r="E9" s="105"/>
      <c r="F9" s="105"/>
      <c r="G9" s="105"/>
      <c r="H9" s="105"/>
      <c r="I9" s="105"/>
      <c r="J9" s="105"/>
      <c r="K9" s="105"/>
      <c r="L9" s="105"/>
      <c r="M9" s="105"/>
      <c r="N9" s="105"/>
      <c r="O9" s="105"/>
      <c r="P9" s="105"/>
      <c r="Q9" s="105"/>
      <c r="R9" s="105"/>
      <c r="S9" s="105"/>
      <c r="T9" s="105"/>
      <c r="U9" s="105"/>
      <c r="V9" s="105"/>
      <c r="W9" s="105"/>
      <c r="X9" s="105"/>
    </row>
    <row r="10" spans="2:24" x14ac:dyDescent="0.3">
      <c r="B10" s="105"/>
      <c r="C10" s="105"/>
      <c r="D10" s="105"/>
      <c r="E10" s="105"/>
      <c r="F10" s="105"/>
      <c r="G10" s="105"/>
      <c r="H10" s="105"/>
      <c r="I10" s="105"/>
      <c r="J10" s="105"/>
      <c r="K10" s="105"/>
      <c r="L10" s="105"/>
      <c r="M10" s="105"/>
      <c r="N10" s="105"/>
      <c r="O10" s="105"/>
      <c r="P10" s="105"/>
      <c r="Q10" s="105"/>
      <c r="R10" s="105"/>
      <c r="S10" s="105"/>
      <c r="T10" s="105"/>
      <c r="U10" s="105"/>
      <c r="V10" s="105"/>
      <c r="W10" s="105"/>
      <c r="X10" s="105"/>
    </row>
    <row r="11" spans="2:24" x14ac:dyDescent="0.3">
      <c r="B11" s="105"/>
      <c r="C11" s="105"/>
      <c r="D11" s="105"/>
      <c r="E11" s="105"/>
      <c r="F11" s="105"/>
      <c r="G11" s="105"/>
      <c r="H11" s="105"/>
      <c r="I11" s="105"/>
      <c r="J11" s="105"/>
      <c r="K11" s="105"/>
      <c r="L11" s="105"/>
      <c r="M11" s="105"/>
      <c r="N11" s="105"/>
      <c r="O11" s="105"/>
      <c r="P11" s="105"/>
      <c r="Q11" s="105"/>
      <c r="R11" s="105"/>
      <c r="S11" s="105"/>
      <c r="T11" s="105"/>
      <c r="U11" s="105"/>
      <c r="V11" s="105"/>
      <c r="W11" s="105"/>
      <c r="X11" s="105"/>
    </row>
    <row r="12" spans="2:24" x14ac:dyDescent="0.3">
      <c r="B12" s="105"/>
      <c r="C12" s="105"/>
      <c r="D12" s="105"/>
      <c r="E12" s="105"/>
      <c r="F12" s="105"/>
      <c r="G12" s="105"/>
      <c r="H12" s="105"/>
      <c r="I12" s="105"/>
      <c r="J12" s="105"/>
      <c r="K12" s="105"/>
      <c r="L12" s="105"/>
      <c r="M12" s="105"/>
      <c r="N12" s="105"/>
      <c r="O12" s="105"/>
      <c r="P12" s="105"/>
      <c r="Q12" s="105"/>
      <c r="R12" s="105"/>
      <c r="S12" s="105"/>
      <c r="T12" s="105"/>
      <c r="U12" s="105"/>
      <c r="V12" s="105"/>
      <c r="W12" s="105"/>
      <c r="X12" s="105"/>
    </row>
    <row r="13" spans="2:24" x14ac:dyDescent="0.3">
      <c r="B13" s="105"/>
      <c r="C13" s="105"/>
      <c r="D13" s="105"/>
      <c r="E13" s="105"/>
      <c r="F13" s="105"/>
      <c r="G13" s="105"/>
      <c r="H13" s="105"/>
      <c r="I13" s="105"/>
      <c r="J13" s="105"/>
      <c r="K13" s="105"/>
      <c r="L13" s="105"/>
      <c r="M13" s="105"/>
      <c r="N13" s="105"/>
      <c r="O13" s="105"/>
      <c r="P13" s="105"/>
      <c r="Q13" s="105"/>
      <c r="R13" s="105"/>
      <c r="S13" s="105"/>
      <c r="T13" s="105"/>
      <c r="U13" s="105"/>
      <c r="V13" s="105"/>
      <c r="W13" s="105"/>
      <c r="X13" s="105"/>
    </row>
    <row r="14" spans="2:24" x14ac:dyDescent="0.3">
      <c r="B14" s="105"/>
      <c r="C14" s="105"/>
      <c r="D14" s="105"/>
      <c r="E14" s="105"/>
      <c r="F14" s="105"/>
      <c r="G14" s="105"/>
      <c r="H14" s="105"/>
      <c r="I14" s="105"/>
      <c r="J14" s="105"/>
      <c r="K14" s="105"/>
      <c r="L14" s="105"/>
      <c r="M14" s="105"/>
      <c r="N14" s="105"/>
      <c r="O14" s="105"/>
      <c r="P14" s="105"/>
      <c r="Q14" s="105"/>
      <c r="R14" s="105"/>
      <c r="S14" s="105"/>
      <c r="T14" s="105"/>
      <c r="U14" s="105"/>
      <c r="V14" s="105"/>
      <c r="W14" s="105"/>
      <c r="X14" s="105"/>
    </row>
    <row r="15" spans="2:24" x14ac:dyDescent="0.3">
      <c r="B15" s="105"/>
      <c r="C15" s="105"/>
      <c r="D15" s="105"/>
      <c r="E15" s="105"/>
      <c r="F15" s="105"/>
      <c r="G15" s="105"/>
      <c r="H15" s="105"/>
      <c r="I15" s="105"/>
      <c r="J15" s="105"/>
      <c r="K15" s="105"/>
      <c r="L15" s="105"/>
      <c r="M15" s="105"/>
      <c r="N15" s="105"/>
      <c r="O15" s="105"/>
      <c r="P15" s="105"/>
      <c r="Q15" s="105"/>
      <c r="R15" s="105"/>
      <c r="S15" s="105"/>
      <c r="T15" s="105"/>
      <c r="U15" s="105"/>
      <c r="V15" s="105"/>
      <c r="W15" s="105"/>
      <c r="X15" s="105"/>
    </row>
    <row r="16" spans="2:24" x14ac:dyDescent="0.3">
      <c r="B16" s="105"/>
      <c r="C16" s="105"/>
      <c r="D16" s="105"/>
      <c r="E16" s="105"/>
      <c r="F16" s="105"/>
      <c r="G16" s="105"/>
      <c r="H16" s="105"/>
      <c r="I16" s="105"/>
      <c r="J16" s="105"/>
      <c r="K16" s="105"/>
      <c r="L16" s="105"/>
      <c r="M16" s="105"/>
      <c r="N16" s="105"/>
      <c r="O16" s="105"/>
      <c r="P16" s="105"/>
      <c r="Q16" s="105"/>
      <c r="R16" s="105"/>
      <c r="S16" s="105"/>
      <c r="T16" s="105"/>
      <c r="U16" s="105"/>
      <c r="V16" s="105"/>
      <c r="W16" s="105"/>
      <c r="X16" s="105"/>
    </row>
    <row r="17" spans="2:40" x14ac:dyDescent="0.3">
      <c r="B17" s="105"/>
      <c r="C17" s="105"/>
      <c r="D17" s="105"/>
      <c r="E17" s="105"/>
      <c r="F17" s="105"/>
      <c r="G17" s="105"/>
      <c r="H17" s="105"/>
      <c r="I17" s="105"/>
      <c r="J17" s="105"/>
      <c r="K17" s="105"/>
      <c r="L17" s="105"/>
      <c r="M17" s="105"/>
      <c r="N17" s="105"/>
      <c r="O17" s="105"/>
      <c r="P17" s="105"/>
      <c r="Q17" s="105"/>
      <c r="R17" s="105"/>
      <c r="S17" s="105"/>
      <c r="T17" s="105"/>
      <c r="U17" s="105"/>
      <c r="V17" s="105"/>
      <c r="W17" s="105"/>
      <c r="X17" s="105"/>
    </row>
    <row r="18" spans="2:40" x14ac:dyDescent="0.3">
      <c r="B18" s="105"/>
      <c r="C18" s="105"/>
      <c r="D18" s="105"/>
      <c r="E18" s="105"/>
      <c r="F18" s="105"/>
      <c r="G18" s="105"/>
      <c r="H18" s="105"/>
      <c r="I18" s="105"/>
      <c r="J18" s="105"/>
      <c r="K18" s="105"/>
      <c r="L18" s="105"/>
      <c r="M18" s="105"/>
      <c r="N18" s="105"/>
      <c r="O18" s="105"/>
      <c r="P18" s="105"/>
      <c r="Q18" s="105"/>
      <c r="R18" s="105"/>
      <c r="S18" s="105"/>
      <c r="T18" s="105"/>
      <c r="U18" s="105"/>
      <c r="V18" s="105"/>
      <c r="W18" s="105"/>
      <c r="X18" s="105"/>
    </row>
    <row r="19" spans="2:40" x14ac:dyDescent="0.3">
      <c r="B19" s="105"/>
      <c r="C19" s="105"/>
      <c r="D19" s="105"/>
      <c r="E19" s="105"/>
      <c r="F19" s="105"/>
      <c r="G19" s="105"/>
      <c r="H19" s="105"/>
      <c r="I19" s="105"/>
      <c r="J19" s="105"/>
      <c r="K19" s="105"/>
      <c r="L19" s="105"/>
      <c r="M19" s="105"/>
      <c r="N19" s="105"/>
      <c r="O19" s="105"/>
      <c r="P19" s="105"/>
      <c r="Q19" s="105"/>
      <c r="R19" s="105"/>
      <c r="S19" s="105"/>
      <c r="T19" s="105"/>
      <c r="U19" s="105"/>
      <c r="V19" s="105"/>
      <c r="W19" s="105"/>
      <c r="X19" s="105"/>
    </row>
    <row r="20" spans="2:40" x14ac:dyDescent="0.3">
      <c r="B20" s="105"/>
      <c r="C20" s="105"/>
      <c r="D20" s="105"/>
      <c r="E20" s="105"/>
      <c r="F20" s="105"/>
      <c r="G20" s="105"/>
      <c r="H20" s="105"/>
      <c r="I20" s="105"/>
      <c r="J20" s="105"/>
      <c r="K20" s="105"/>
      <c r="L20" s="105"/>
      <c r="M20" s="105"/>
      <c r="N20" s="105"/>
      <c r="O20" s="105"/>
      <c r="P20" s="105"/>
      <c r="Q20" s="105"/>
      <c r="R20" s="105"/>
      <c r="S20" s="105"/>
      <c r="T20" s="105"/>
      <c r="U20" s="105"/>
      <c r="V20" s="105"/>
      <c r="W20" s="105"/>
      <c r="X20" s="105"/>
    </row>
    <row r="21" spans="2:40" x14ac:dyDescent="0.3">
      <c r="B21" s="105"/>
      <c r="C21" s="105"/>
      <c r="D21" s="105"/>
      <c r="E21" s="105"/>
      <c r="F21" s="105"/>
      <c r="G21" s="105"/>
      <c r="H21" s="105"/>
      <c r="I21" s="105"/>
      <c r="J21" s="105"/>
      <c r="K21" s="105"/>
      <c r="L21" s="105"/>
      <c r="M21" s="105"/>
      <c r="N21" s="105"/>
      <c r="O21" s="105"/>
      <c r="P21" s="105"/>
      <c r="Q21" s="105"/>
      <c r="R21" s="105"/>
      <c r="S21" s="105"/>
      <c r="T21" s="105"/>
      <c r="U21" s="105"/>
      <c r="V21" s="105"/>
      <c r="W21" s="105"/>
      <c r="X21" s="105"/>
    </row>
    <row r="22" spans="2:40" x14ac:dyDescent="0.3">
      <c r="B22" s="105"/>
      <c r="C22" s="105"/>
      <c r="D22" s="105"/>
      <c r="E22" s="105"/>
      <c r="F22" s="105"/>
      <c r="G22" s="105"/>
      <c r="H22" s="105"/>
      <c r="I22" s="105"/>
      <c r="J22" s="105"/>
      <c r="K22" s="105"/>
      <c r="L22" s="105"/>
      <c r="M22" s="105"/>
      <c r="N22" s="105"/>
      <c r="O22" s="105"/>
      <c r="P22" s="105"/>
      <c r="Q22" s="105"/>
      <c r="R22" s="105"/>
      <c r="S22" s="105"/>
      <c r="T22" s="105"/>
      <c r="U22" s="105"/>
      <c r="V22" s="105"/>
      <c r="W22" s="105"/>
      <c r="X22" s="105"/>
    </row>
    <row r="23" spans="2:40" x14ac:dyDescent="0.3">
      <c r="B23" s="105"/>
      <c r="C23" s="105"/>
      <c r="D23" s="105"/>
      <c r="E23" s="105"/>
      <c r="F23" s="105"/>
      <c r="G23" s="105"/>
      <c r="H23" s="105"/>
      <c r="I23" s="105"/>
      <c r="J23" s="105"/>
      <c r="K23" s="105"/>
      <c r="L23" s="105"/>
      <c r="M23" s="105"/>
      <c r="N23" s="105"/>
      <c r="O23" s="105"/>
      <c r="P23" s="105"/>
      <c r="Q23" s="105"/>
      <c r="R23" s="105"/>
      <c r="S23" s="105"/>
      <c r="T23" s="105"/>
      <c r="U23" s="105"/>
      <c r="V23" s="105"/>
      <c r="W23" s="105"/>
      <c r="X23" s="105"/>
    </row>
    <row r="24" spans="2:40" x14ac:dyDescent="0.3">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AN24">
        <f>AVERAGE(Engagement_Rate)</f>
        <v>5.6446999999999976</v>
      </c>
    </row>
    <row r="25" spans="2:40" x14ac:dyDescent="0.3">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AN25">
        <f>SUM(New_Followers)</f>
        <v>210128</v>
      </c>
    </row>
    <row r="26" spans="2:40" x14ac:dyDescent="0.3">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AN26">
        <f>SUM(Likes)</f>
        <v>819991</v>
      </c>
    </row>
    <row r="27" spans="2:40" x14ac:dyDescent="0.3">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AN27">
        <f>SUM(Clicks)</f>
        <v>45366</v>
      </c>
    </row>
    <row r="28" spans="2:40" x14ac:dyDescent="0.3">
      <c r="B28" s="105"/>
      <c r="C28" s="105"/>
      <c r="D28" s="105"/>
      <c r="E28" s="105"/>
      <c r="F28" s="105"/>
      <c r="G28" s="105"/>
      <c r="H28" s="105"/>
      <c r="I28" s="105"/>
      <c r="J28" s="105"/>
      <c r="K28" s="105"/>
      <c r="L28" s="105"/>
      <c r="M28" s="105"/>
      <c r="N28" s="105"/>
      <c r="O28" s="105"/>
      <c r="P28" s="105"/>
      <c r="Q28" s="105"/>
      <c r="R28" s="105"/>
      <c r="S28" s="105"/>
      <c r="T28" s="105"/>
      <c r="U28" s="105"/>
      <c r="V28" s="105"/>
      <c r="W28" s="105"/>
      <c r="X28" s="105"/>
    </row>
    <row r="29" spans="2:40" x14ac:dyDescent="0.3">
      <c r="B29" s="105"/>
      <c r="C29" s="105"/>
      <c r="D29" s="105"/>
      <c r="E29" s="105"/>
      <c r="F29" s="105"/>
      <c r="G29" s="105"/>
      <c r="H29" s="105"/>
      <c r="I29" s="105"/>
      <c r="J29" s="105"/>
      <c r="K29" s="105"/>
      <c r="L29" s="105"/>
      <c r="M29" s="105"/>
      <c r="N29" s="105"/>
      <c r="O29" s="105"/>
      <c r="P29" s="105"/>
      <c r="Q29" s="105"/>
      <c r="R29" s="105"/>
      <c r="S29" s="105"/>
      <c r="T29" s="105"/>
      <c r="U29" s="105"/>
      <c r="V29" s="105"/>
      <c r="W29" s="105"/>
      <c r="X29" s="105"/>
    </row>
    <row r="30" spans="2:40" x14ac:dyDescent="0.3">
      <c r="B30" s="105"/>
      <c r="C30" s="105"/>
      <c r="D30" s="105"/>
      <c r="E30" s="105"/>
      <c r="F30" s="105"/>
      <c r="G30" s="105"/>
      <c r="H30" s="105"/>
      <c r="I30" s="105"/>
      <c r="J30" s="105"/>
      <c r="K30" s="105"/>
      <c r="L30" s="105"/>
      <c r="M30" s="105"/>
      <c r="N30" s="105"/>
      <c r="O30" s="105"/>
      <c r="P30" s="105"/>
      <c r="Q30" s="105"/>
      <c r="R30" s="105"/>
      <c r="S30" s="105"/>
      <c r="T30" s="105"/>
      <c r="U30" s="105"/>
      <c r="V30" s="105"/>
      <c r="W30" s="105"/>
      <c r="X30" s="105"/>
    </row>
    <row r="31" spans="2:40" x14ac:dyDescent="0.3">
      <c r="B31" s="105"/>
      <c r="C31" s="105"/>
      <c r="D31" s="105"/>
      <c r="E31" s="105"/>
      <c r="F31" s="105"/>
      <c r="G31" s="105"/>
      <c r="H31" s="105"/>
      <c r="I31" s="105"/>
      <c r="J31" s="105"/>
      <c r="K31" s="105"/>
      <c r="L31" s="105"/>
      <c r="M31" s="105"/>
      <c r="N31" s="105"/>
      <c r="O31" s="105"/>
      <c r="P31" s="105"/>
      <c r="Q31" s="105"/>
      <c r="R31" s="105"/>
      <c r="S31" s="105"/>
      <c r="T31" s="105"/>
      <c r="U31" s="105"/>
      <c r="V31" s="105"/>
      <c r="W31" s="105"/>
      <c r="X31" s="105"/>
    </row>
    <row r="32" spans="2:40" x14ac:dyDescent="0.3">
      <c r="B32" s="105"/>
      <c r="C32" s="105"/>
      <c r="D32" s="105"/>
      <c r="E32" s="105"/>
      <c r="F32" s="105"/>
      <c r="G32" s="105"/>
      <c r="H32" s="105"/>
      <c r="I32" s="105"/>
      <c r="J32" s="105"/>
      <c r="K32" s="105"/>
      <c r="L32" s="105"/>
      <c r="M32" s="105"/>
      <c r="N32" s="105"/>
      <c r="O32" s="105"/>
      <c r="P32" s="105"/>
      <c r="Q32" s="105"/>
      <c r="R32" s="105"/>
      <c r="S32" s="105"/>
      <c r="T32" s="105"/>
      <c r="U32" s="105"/>
      <c r="V32" s="105"/>
      <c r="W32" s="105"/>
      <c r="X32" s="105"/>
    </row>
    <row r="33" spans="2:24" x14ac:dyDescent="0.3">
      <c r="B33" s="105"/>
      <c r="C33" s="105"/>
      <c r="D33" s="105"/>
      <c r="E33" s="105"/>
      <c r="F33" s="105"/>
      <c r="G33" s="105"/>
      <c r="H33" s="105"/>
      <c r="I33" s="105"/>
      <c r="J33" s="105"/>
      <c r="K33" s="105"/>
      <c r="L33" s="105"/>
      <c r="M33" s="105"/>
      <c r="N33" s="105"/>
      <c r="O33" s="105"/>
      <c r="P33" s="105"/>
      <c r="Q33" s="105"/>
      <c r="R33" s="105"/>
      <c r="S33" s="105"/>
      <c r="T33" s="105"/>
      <c r="U33" s="105"/>
      <c r="V33" s="105"/>
      <c r="W33" s="105"/>
      <c r="X33" s="105"/>
    </row>
    <row r="34" spans="2:24" x14ac:dyDescent="0.3">
      <c r="B34" s="105"/>
      <c r="C34" s="105"/>
      <c r="D34" s="105"/>
      <c r="E34" s="105"/>
      <c r="F34" s="105"/>
      <c r="G34" s="105"/>
      <c r="H34" s="105"/>
      <c r="I34" s="105"/>
      <c r="J34" s="105"/>
      <c r="K34" s="105"/>
      <c r="L34" s="105"/>
      <c r="M34" s="105"/>
      <c r="N34" s="105"/>
      <c r="O34" s="105"/>
      <c r="P34" s="105"/>
      <c r="Q34" s="105"/>
      <c r="R34" s="105"/>
      <c r="S34" s="105"/>
      <c r="T34" s="105"/>
      <c r="U34" s="105"/>
      <c r="V34" s="105"/>
      <c r="W34" s="105"/>
      <c r="X34" s="105"/>
    </row>
    <row r="35" spans="2:24" x14ac:dyDescent="0.3">
      <c r="B35" s="105"/>
      <c r="C35" s="105"/>
      <c r="D35" s="105"/>
      <c r="E35" s="105"/>
      <c r="F35" s="105"/>
      <c r="G35" s="105"/>
      <c r="H35" s="105"/>
      <c r="I35" s="105"/>
      <c r="J35" s="105"/>
      <c r="K35" s="105"/>
      <c r="L35" s="105"/>
      <c r="M35" s="105"/>
      <c r="N35" s="105"/>
      <c r="O35" s="105"/>
      <c r="P35" s="105"/>
      <c r="Q35" s="105"/>
      <c r="R35" s="105"/>
      <c r="S35" s="105"/>
      <c r="T35" s="105"/>
      <c r="U35" s="105"/>
      <c r="V35" s="105"/>
      <c r="W35" s="105"/>
      <c r="X35" s="105"/>
    </row>
    <row r="36" spans="2:24" x14ac:dyDescent="0.3">
      <c r="B36" s="105"/>
      <c r="C36" s="105"/>
      <c r="D36" s="105"/>
      <c r="E36" s="105"/>
      <c r="F36" s="105"/>
      <c r="G36" s="105"/>
      <c r="H36" s="105"/>
      <c r="I36" s="105"/>
      <c r="J36" s="105"/>
      <c r="K36" s="105"/>
      <c r="L36" s="105"/>
      <c r="M36" s="105"/>
      <c r="N36" s="105"/>
      <c r="O36" s="105"/>
      <c r="P36" s="105"/>
      <c r="Q36" s="105"/>
      <c r="R36" s="105"/>
      <c r="S36" s="105"/>
      <c r="T36" s="105"/>
      <c r="U36" s="105"/>
      <c r="V36" s="105"/>
      <c r="W36" s="105"/>
      <c r="X36" s="105"/>
    </row>
    <row r="37" spans="2:24" x14ac:dyDescent="0.3">
      <c r="B37" s="105"/>
      <c r="C37" s="105"/>
      <c r="D37" s="105"/>
      <c r="E37" s="105"/>
      <c r="F37" s="105"/>
      <c r="G37" s="105"/>
      <c r="H37" s="105"/>
      <c r="I37" s="105"/>
      <c r="J37" s="105"/>
      <c r="K37" s="105"/>
      <c r="L37" s="105"/>
      <c r="M37" s="105"/>
      <c r="N37" s="105"/>
      <c r="O37" s="105"/>
      <c r="P37" s="105"/>
      <c r="Q37" s="105"/>
      <c r="R37" s="105"/>
      <c r="S37" s="105"/>
      <c r="T37" s="105"/>
      <c r="U37" s="105"/>
      <c r="V37" s="105"/>
      <c r="W37" s="105"/>
      <c r="X37" s="105"/>
    </row>
    <row r="38" spans="2:24" x14ac:dyDescent="0.3">
      <c r="B38" s="105"/>
      <c r="C38" s="105"/>
      <c r="D38" s="105"/>
      <c r="E38" s="105"/>
      <c r="F38" s="105"/>
      <c r="G38" s="105"/>
      <c r="H38" s="105"/>
      <c r="I38" s="105"/>
      <c r="J38" s="105"/>
      <c r="K38" s="105"/>
      <c r="L38" s="105"/>
      <c r="M38" s="105"/>
      <c r="N38" s="105"/>
      <c r="O38" s="105"/>
      <c r="P38" s="105"/>
      <c r="Q38" s="105"/>
      <c r="R38" s="105"/>
      <c r="S38" s="105"/>
      <c r="T38" s="105"/>
      <c r="U38" s="105"/>
      <c r="V38" s="105"/>
      <c r="W38" s="105"/>
      <c r="X38" s="105"/>
    </row>
    <row r="39" spans="2:24" x14ac:dyDescent="0.3">
      <c r="B39" s="105"/>
      <c r="C39" s="105"/>
      <c r="D39" s="105"/>
      <c r="E39" s="105"/>
      <c r="F39" s="105"/>
      <c r="G39" s="105"/>
      <c r="H39" s="105"/>
      <c r="I39" s="105"/>
      <c r="J39" s="105"/>
      <c r="K39" s="105"/>
      <c r="L39" s="105"/>
      <c r="M39" s="105"/>
      <c r="N39" s="105"/>
      <c r="O39" s="105"/>
      <c r="P39" s="105"/>
      <c r="Q39" s="105"/>
      <c r="R39" s="105"/>
      <c r="S39" s="105"/>
      <c r="T39" s="105"/>
      <c r="U39" s="105"/>
      <c r="V39" s="105"/>
      <c r="W39" s="105"/>
      <c r="X39" s="105"/>
    </row>
    <row r="40" spans="2:24" x14ac:dyDescent="0.3">
      <c r="B40" s="105"/>
      <c r="C40" s="105"/>
      <c r="D40" s="105"/>
      <c r="E40" s="105"/>
      <c r="F40" s="105"/>
      <c r="G40" s="105"/>
      <c r="H40" s="105"/>
      <c r="I40" s="105"/>
      <c r="J40" s="105"/>
      <c r="K40" s="105"/>
      <c r="L40" s="105"/>
      <c r="M40" s="105"/>
      <c r="N40" s="105"/>
      <c r="O40" s="105"/>
      <c r="P40" s="105"/>
      <c r="Q40" s="105"/>
      <c r="R40" s="105"/>
      <c r="S40" s="105"/>
      <c r="T40" s="105"/>
      <c r="U40" s="105"/>
      <c r="V40" s="105"/>
      <c r="W40" s="105"/>
      <c r="X40" s="105"/>
    </row>
    <row r="41" spans="2:24" x14ac:dyDescent="0.3">
      <c r="B41" s="105"/>
      <c r="C41" s="105"/>
      <c r="D41" s="105"/>
      <c r="E41" s="105"/>
      <c r="F41" s="105"/>
      <c r="G41" s="105"/>
      <c r="H41" s="105"/>
      <c r="I41" s="105"/>
      <c r="J41" s="105"/>
      <c r="K41" s="105"/>
      <c r="L41" s="105"/>
      <c r="M41" s="105"/>
      <c r="N41" s="105"/>
      <c r="O41" s="105"/>
      <c r="P41" s="105"/>
      <c r="Q41" s="105"/>
      <c r="R41" s="105"/>
      <c r="S41" s="105"/>
      <c r="T41" s="105"/>
      <c r="U41" s="105"/>
      <c r="V41" s="105"/>
      <c r="W41" s="105"/>
      <c r="X41" s="105"/>
    </row>
    <row r="42" spans="2:24" x14ac:dyDescent="0.3">
      <c r="B42" s="105"/>
      <c r="C42" s="105"/>
      <c r="D42" s="105"/>
      <c r="E42" s="105"/>
      <c r="F42" s="105"/>
      <c r="G42" s="105"/>
      <c r="H42" s="105"/>
      <c r="I42" s="105"/>
      <c r="J42" s="105"/>
      <c r="K42" s="105"/>
      <c r="L42" s="105"/>
      <c r="M42" s="105"/>
      <c r="N42" s="105"/>
      <c r="O42" s="105"/>
      <c r="P42" s="105"/>
      <c r="Q42" s="105"/>
      <c r="R42" s="105"/>
      <c r="S42" s="105"/>
      <c r="T42" s="105"/>
      <c r="U42" s="105"/>
      <c r="V42" s="105"/>
      <c r="W42" s="105"/>
      <c r="X42" s="105"/>
    </row>
    <row r="43" spans="2:24" x14ac:dyDescent="0.3">
      <c r="B43" s="105"/>
      <c r="C43" s="105"/>
      <c r="D43" s="105"/>
      <c r="E43" s="105"/>
      <c r="F43" s="105"/>
      <c r="G43" s="105"/>
      <c r="H43" s="105"/>
      <c r="I43" s="105"/>
      <c r="J43" s="105"/>
      <c r="K43" s="105"/>
      <c r="L43" s="105"/>
      <c r="M43" s="105"/>
      <c r="N43" s="105"/>
      <c r="O43" s="105"/>
      <c r="P43" s="105"/>
      <c r="Q43" s="105"/>
      <c r="R43" s="105"/>
      <c r="S43" s="105"/>
      <c r="T43" s="105"/>
      <c r="U43" s="105"/>
      <c r="V43" s="105"/>
      <c r="W43" s="105"/>
      <c r="X43" s="105"/>
    </row>
    <row r="44" spans="2:24" x14ac:dyDescent="0.3">
      <c r="B44" s="105"/>
      <c r="C44" s="105"/>
      <c r="D44" s="105"/>
      <c r="E44" s="105"/>
      <c r="F44" s="105"/>
      <c r="G44" s="105"/>
      <c r="H44" s="105"/>
      <c r="I44" s="105"/>
      <c r="J44" s="105"/>
      <c r="K44" s="105"/>
      <c r="L44" s="105"/>
      <c r="M44" s="105"/>
      <c r="N44" s="105"/>
      <c r="O44" s="105"/>
      <c r="P44" s="105"/>
      <c r="Q44" s="105"/>
      <c r="R44" s="105"/>
      <c r="S44" s="105"/>
      <c r="T44" s="105"/>
      <c r="U44" s="105"/>
      <c r="V44" s="105"/>
      <c r="W44" s="105"/>
      <c r="X44" s="105"/>
    </row>
    <row r="45" spans="2:24" x14ac:dyDescent="0.3">
      <c r="B45" s="105"/>
      <c r="C45" s="105"/>
      <c r="D45" s="105"/>
      <c r="E45" s="105"/>
      <c r="F45" s="105"/>
      <c r="G45" s="105"/>
      <c r="H45" s="105"/>
      <c r="I45" s="105"/>
      <c r="J45" s="105"/>
      <c r="K45" s="105"/>
      <c r="L45" s="105"/>
      <c r="M45" s="105"/>
      <c r="N45" s="105"/>
      <c r="O45" s="105"/>
      <c r="P45" s="105"/>
      <c r="Q45" s="105"/>
      <c r="R45" s="105"/>
      <c r="S45" s="105"/>
      <c r="T45" s="105"/>
      <c r="U45" s="105"/>
      <c r="V45" s="105"/>
      <c r="W45" s="105"/>
      <c r="X45" s="105"/>
    </row>
    <row r="46" spans="2:24" x14ac:dyDescent="0.3">
      <c r="B46" s="105"/>
      <c r="C46" s="105"/>
      <c r="D46" s="105"/>
      <c r="E46" s="105"/>
      <c r="F46" s="105"/>
      <c r="G46" s="105"/>
      <c r="H46" s="105"/>
      <c r="I46" s="105"/>
      <c r="J46" s="105"/>
      <c r="K46" s="105"/>
      <c r="L46" s="105"/>
      <c r="M46" s="105"/>
      <c r="N46" s="105"/>
      <c r="O46" s="105"/>
      <c r="P46" s="105"/>
      <c r="Q46" s="105"/>
      <c r="R46" s="105"/>
      <c r="S46" s="105"/>
      <c r="T46" s="105"/>
      <c r="U46" s="105"/>
      <c r="V46" s="105"/>
      <c r="W46" s="105"/>
      <c r="X46" s="105"/>
    </row>
    <row r="47" spans="2:24" x14ac:dyDescent="0.3">
      <c r="B47" s="105"/>
      <c r="C47" s="105"/>
      <c r="D47" s="105"/>
      <c r="E47" s="105"/>
      <c r="F47" s="105"/>
      <c r="G47" s="105"/>
      <c r="H47" s="105"/>
      <c r="I47" s="105"/>
      <c r="J47" s="105"/>
      <c r="K47" s="105"/>
      <c r="L47" s="105"/>
      <c r="M47" s="105"/>
      <c r="N47" s="105"/>
      <c r="O47" s="105"/>
      <c r="P47" s="105"/>
      <c r="Q47" s="105"/>
      <c r="R47" s="105"/>
      <c r="S47" s="105"/>
      <c r="T47" s="105"/>
      <c r="U47" s="105"/>
      <c r="V47" s="105"/>
      <c r="W47" s="105"/>
      <c r="X47" s="105"/>
    </row>
    <row r="48" spans="2:24" x14ac:dyDescent="0.3">
      <c r="B48" s="105"/>
      <c r="C48" s="105"/>
      <c r="D48" s="105"/>
      <c r="E48" s="105"/>
      <c r="F48" s="105"/>
      <c r="G48" s="105"/>
      <c r="H48" s="105"/>
      <c r="I48" s="105"/>
      <c r="J48" s="105"/>
      <c r="K48" s="105"/>
      <c r="L48" s="105"/>
      <c r="M48" s="105"/>
      <c r="N48" s="105"/>
      <c r="O48" s="105"/>
      <c r="P48" s="105"/>
      <c r="Q48" s="105"/>
      <c r="R48" s="105"/>
      <c r="S48" s="105"/>
      <c r="T48" s="105"/>
      <c r="U48" s="105"/>
      <c r="V48" s="105"/>
      <c r="W48" s="105"/>
      <c r="X48" s="105"/>
    </row>
    <row r="49" spans="2:24" x14ac:dyDescent="0.3">
      <c r="B49" s="105"/>
      <c r="C49" s="105"/>
      <c r="D49" s="105"/>
      <c r="E49" s="105"/>
      <c r="F49" s="105"/>
      <c r="G49" s="105"/>
      <c r="H49" s="105"/>
      <c r="I49" s="105"/>
      <c r="J49" s="105"/>
      <c r="K49" s="105"/>
      <c r="L49" s="105"/>
      <c r="M49" s="105"/>
      <c r="N49" s="105"/>
      <c r="O49" s="105"/>
      <c r="P49" s="105"/>
      <c r="Q49" s="105"/>
      <c r="R49" s="105"/>
      <c r="S49" s="105"/>
      <c r="T49" s="105"/>
      <c r="U49" s="105"/>
      <c r="V49" s="105"/>
      <c r="W49" s="105"/>
      <c r="X49" s="105"/>
    </row>
    <row r="50" spans="2:24" x14ac:dyDescent="0.3">
      <c r="B50" s="105"/>
      <c r="C50" s="105"/>
      <c r="D50" s="105"/>
      <c r="E50" s="105"/>
      <c r="F50" s="105"/>
      <c r="G50" s="105"/>
      <c r="H50" s="105"/>
      <c r="I50" s="105"/>
      <c r="J50" s="105"/>
      <c r="K50" s="105"/>
      <c r="L50" s="105"/>
      <c r="M50" s="105"/>
      <c r="N50" s="105"/>
      <c r="O50" s="105"/>
      <c r="P50" s="105"/>
      <c r="Q50" s="105"/>
      <c r="R50" s="105"/>
      <c r="S50" s="105"/>
      <c r="T50" s="105"/>
      <c r="U50" s="105"/>
      <c r="V50" s="105"/>
      <c r="W50" s="105"/>
      <c r="X50" s="105"/>
    </row>
    <row r="51" spans="2:24" x14ac:dyDescent="0.3">
      <c r="B51" s="105"/>
      <c r="C51" s="105"/>
      <c r="D51" s="105"/>
      <c r="E51" s="105"/>
      <c r="F51" s="105"/>
      <c r="G51" s="105"/>
      <c r="H51" s="105"/>
      <c r="I51" s="105"/>
      <c r="J51" s="105"/>
      <c r="K51" s="105"/>
      <c r="L51" s="105"/>
      <c r="M51" s="105"/>
      <c r="N51" s="105"/>
      <c r="O51" s="105"/>
      <c r="P51" s="105"/>
      <c r="Q51" s="105"/>
      <c r="R51" s="105"/>
      <c r="S51" s="105"/>
      <c r="T51" s="105"/>
      <c r="U51" s="105"/>
      <c r="V51" s="105"/>
      <c r="W51" s="105"/>
      <c r="X51" s="105"/>
    </row>
    <row r="52" spans="2:24" x14ac:dyDescent="0.3">
      <c r="B52" s="105"/>
      <c r="C52" s="105"/>
      <c r="D52" s="105"/>
      <c r="E52" s="105"/>
      <c r="F52" s="105"/>
      <c r="G52" s="105"/>
      <c r="H52" s="105"/>
      <c r="I52" s="105"/>
      <c r="J52" s="105"/>
      <c r="K52" s="105"/>
      <c r="L52" s="105"/>
      <c r="M52" s="105"/>
      <c r="N52" s="105"/>
      <c r="O52" s="105"/>
      <c r="P52" s="105"/>
      <c r="Q52" s="105"/>
      <c r="R52" s="105"/>
      <c r="S52" s="105"/>
      <c r="T52" s="105"/>
      <c r="U52" s="105"/>
      <c r="V52" s="105"/>
      <c r="W52" s="105"/>
      <c r="X52" s="105"/>
    </row>
    <row r="53" spans="2:24" x14ac:dyDescent="0.3">
      <c r="B53" s="105"/>
      <c r="C53" s="105"/>
      <c r="D53" s="105"/>
      <c r="E53" s="105"/>
      <c r="F53" s="105"/>
      <c r="G53" s="105"/>
      <c r="H53" s="105"/>
      <c r="I53" s="105"/>
      <c r="J53" s="105"/>
      <c r="K53" s="105"/>
      <c r="L53" s="105"/>
      <c r="M53" s="105"/>
      <c r="N53" s="105"/>
      <c r="O53" s="105"/>
      <c r="P53" s="105"/>
      <c r="Q53" s="105"/>
      <c r="R53" s="105"/>
      <c r="S53" s="105"/>
      <c r="T53" s="105"/>
      <c r="U53" s="105"/>
      <c r="V53" s="105"/>
      <c r="W53" s="105"/>
      <c r="X53" s="105"/>
    </row>
    <row r="54" spans="2:24" x14ac:dyDescent="0.3">
      <c r="B54" s="105"/>
      <c r="C54" s="105"/>
      <c r="D54" s="105"/>
      <c r="E54" s="105"/>
      <c r="F54" s="105"/>
      <c r="G54" s="105"/>
      <c r="H54" s="105"/>
      <c r="I54" s="105"/>
      <c r="J54" s="105"/>
      <c r="K54" s="105"/>
      <c r="L54" s="105"/>
      <c r="M54" s="105"/>
      <c r="N54" s="105"/>
      <c r="O54" s="105"/>
      <c r="P54" s="105"/>
      <c r="Q54" s="105"/>
      <c r="R54" s="105"/>
      <c r="S54" s="105"/>
      <c r="T54" s="105"/>
      <c r="U54" s="105"/>
      <c r="V54" s="105"/>
      <c r="W54" s="105"/>
      <c r="X54" s="105"/>
    </row>
    <row r="55" spans="2:24" x14ac:dyDescent="0.3">
      <c r="B55" s="105"/>
      <c r="C55" s="105"/>
      <c r="D55" s="105"/>
      <c r="E55" s="105"/>
      <c r="F55" s="105"/>
      <c r="G55" s="105"/>
      <c r="H55" s="105"/>
      <c r="I55" s="105"/>
      <c r="J55" s="105"/>
      <c r="K55" s="105"/>
      <c r="L55" s="105"/>
      <c r="M55" s="105"/>
      <c r="N55" s="105"/>
      <c r="O55" s="105"/>
      <c r="P55" s="105"/>
      <c r="Q55" s="105"/>
      <c r="R55" s="105"/>
      <c r="S55" s="105"/>
      <c r="T55" s="105"/>
      <c r="U55" s="105"/>
      <c r="V55" s="105"/>
      <c r="W55" s="105"/>
      <c r="X55" s="105"/>
    </row>
    <row r="56" spans="2:24" x14ac:dyDescent="0.3">
      <c r="B56" s="105"/>
      <c r="C56" s="105"/>
      <c r="D56" s="105"/>
      <c r="E56" s="105"/>
      <c r="F56" s="105"/>
      <c r="G56" s="105"/>
      <c r="H56" s="105"/>
      <c r="I56" s="105"/>
      <c r="J56" s="105"/>
      <c r="K56" s="105"/>
      <c r="L56" s="105"/>
      <c r="M56" s="105"/>
      <c r="N56" s="105"/>
      <c r="O56" s="105"/>
      <c r="P56" s="105"/>
      <c r="Q56" s="105"/>
      <c r="R56" s="105"/>
      <c r="S56" s="105"/>
      <c r="T56" s="105"/>
      <c r="U56" s="105"/>
      <c r="V56" s="105"/>
      <c r="W56" s="105"/>
      <c r="X56" s="105"/>
    </row>
    <row r="57" spans="2:24" x14ac:dyDescent="0.3">
      <c r="B57" s="105"/>
      <c r="C57" s="105"/>
      <c r="D57" s="105"/>
      <c r="E57" s="105"/>
      <c r="F57" s="105"/>
      <c r="G57" s="105"/>
      <c r="H57" s="105"/>
      <c r="I57" s="105"/>
      <c r="J57" s="105"/>
      <c r="K57" s="105"/>
      <c r="L57" s="105"/>
      <c r="M57" s="105"/>
      <c r="N57" s="105"/>
      <c r="O57" s="105"/>
      <c r="P57" s="105"/>
      <c r="Q57" s="105"/>
      <c r="R57" s="105"/>
      <c r="S57" s="105"/>
      <c r="T57" s="105"/>
      <c r="U57" s="105"/>
      <c r="V57" s="105"/>
      <c r="W57" s="105"/>
      <c r="X57" s="105"/>
    </row>
    <row r="58" spans="2:24" x14ac:dyDescent="0.3">
      <c r="B58" s="105"/>
      <c r="C58" s="105"/>
      <c r="D58" s="105"/>
      <c r="E58" s="105"/>
      <c r="F58" s="105"/>
      <c r="G58" s="105"/>
      <c r="H58" s="105"/>
      <c r="I58" s="105"/>
      <c r="J58" s="105"/>
      <c r="K58" s="105"/>
      <c r="L58" s="105"/>
      <c r="M58" s="105"/>
      <c r="N58" s="105"/>
      <c r="O58" s="105"/>
      <c r="P58" s="105"/>
      <c r="Q58" s="105"/>
      <c r="R58" s="105"/>
      <c r="S58" s="105"/>
      <c r="T58" s="105"/>
      <c r="U58" s="105"/>
      <c r="V58" s="105"/>
      <c r="W58" s="105"/>
      <c r="X58" s="105"/>
    </row>
    <row r="93" spans="5:5" x14ac:dyDescent="0.3">
      <c r="E93" t="str">
        <f>INDEX(Task_2.1!R10:R13,MATCH(MAX(Task_2.1!S10:S13),Task_2.1!S10:S13,0))</f>
        <v>Instagram</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F31DE-0F64-42C4-8CE0-F0647376BFF0}">
  <sheetPr codeName="Sheet28"/>
  <dimension ref="D9:U9"/>
  <sheetViews>
    <sheetView tabSelected="1" workbookViewId="0">
      <selection activeCell="F18" sqref="F18"/>
    </sheetView>
  </sheetViews>
  <sheetFormatPr defaultRowHeight="14.4" x14ac:dyDescent="0.3"/>
  <sheetData>
    <row r="9" spans="4:21" ht="25.8" x14ac:dyDescent="0.5">
      <c r="D9" s="106" t="s">
        <v>509</v>
      </c>
      <c r="E9" s="1"/>
      <c r="F9" s="1"/>
      <c r="G9" s="1"/>
      <c r="H9" s="1"/>
      <c r="I9" s="1"/>
      <c r="J9" s="1"/>
      <c r="K9" s="1"/>
      <c r="L9" s="1"/>
      <c r="M9" s="1"/>
      <c r="N9" s="1"/>
      <c r="O9" s="1"/>
      <c r="P9" s="1"/>
      <c r="Q9" s="1"/>
      <c r="R9" s="1"/>
      <c r="S9" s="1"/>
      <c r="T9" s="1"/>
      <c r="U9"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35C82D-74E5-440D-A59D-541D6ADA85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59</vt:i4>
      </vt:variant>
    </vt:vector>
  </HeadingPairs>
  <TitlesOfParts>
    <vt:vector size="87" baseType="lpstr">
      <vt:lpstr>Task_1</vt:lpstr>
      <vt:lpstr>Task_2.1</vt:lpstr>
      <vt:lpstr>Task_2.2</vt:lpstr>
      <vt:lpstr>Task_2.3(1)</vt:lpstr>
      <vt:lpstr>Task_2.3(2)</vt:lpstr>
      <vt:lpstr>Unpivoted_columns</vt:lpstr>
      <vt:lpstr>Task_2.4</vt:lpstr>
      <vt:lpstr>Task_3.1</vt:lpstr>
      <vt:lpstr>Engagement summary</vt:lpstr>
      <vt:lpstr>Task_3.2</vt:lpstr>
      <vt:lpstr>Task_3.3</vt:lpstr>
      <vt:lpstr>Task_3.4</vt:lpstr>
      <vt:lpstr>Task_4.1</vt:lpstr>
      <vt:lpstr>Table1</vt:lpstr>
      <vt:lpstr>Task_4.2</vt:lpstr>
      <vt:lpstr>Task_4.3</vt:lpstr>
      <vt:lpstr>Task_4.4</vt:lpstr>
      <vt:lpstr>Posts</vt:lpstr>
      <vt:lpstr>Task_5.1</vt:lpstr>
      <vt:lpstr>Task_5.2</vt:lpstr>
      <vt:lpstr>Task_5.3</vt:lpstr>
      <vt:lpstr>Task_5.4</vt:lpstr>
      <vt:lpstr>Task_6.1</vt:lpstr>
      <vt:lpstr>Task_6.2</vt:lpstr>
      <vt:lpstr>Task_6.3</vt:lpstr>
      <vt:lpstr>Task_6.4</vt:lpstr>
      <vt:lpstr>Dashboard</vt:lpstr>
      <vt:lpstr>Video Link</vt:lpstr>
      <vt:lpstr>Ad_Spend</vt:lpstr>
      <vt:lpstr>Attribute</vt:lpstr>
      <vt:lpstr>Posts!Campaign_Name</vt:lpstr>
      <vt:lpstr>Table1!Campaign_Name</vt:lpstr>
      <vt:lpstr>Task_3.1!Campaign_Name</vt:lpstr>
      <vt:lpstr>Campaign_Name</vt:lpstr>
      <vt:lpstr>Posts!Clicks</vt:lpstr>
      <vt:lpstr>Table1!Clicks</vt:lpstr>
      <vt:lpstr>Clicks</vt:lpstr>
      <vt:lpstr>Posts!Comments</vt:lpstr>
      <vt:lpstr>Table1!Comments</vt:lpstr>
      <vt:lpstr>Comments</vt:lpstr>
      <vt:lpstr>Posts!Content_Type</vt:lpstr>
      <vt:lpstr>Table1!Content_Type</vt:lpstr>
      <vt:lpstr>Content_Type</vt:lpstr>
      <vt:lpstr>Posts!Date</vt:lpstr>
      <vt:lpstr>Table1!Date</vt:lpstr>
      <vt:lpstr>Date</vt:lpstr>
      <vt:lpstr>Posts!Engagement_rate</vt:lpstr>
      <vt:lpstr>Table1!Engagement_rate</vt:lpstr>
      <vt:lpstr>Task_3.1!Engagement_rate</vt:lpstr>
      <vt:lpstr>Engagement_Rate</vt:lpstr>
      <vt:lpstr>Growth_rate</vt:lpstr>
      <vt:lpstr>Hashtags</vt:lpstr>
      <vt:lpstr>Posts!Hashtags_1</vt:lpstr>
      <vt:lpstr>Hashtags_1</vt:lpstr>
      <vt:lpstr>Posts!Hashtags_2</vt:lpstr>
      <vt:lpstr>Hashtags_2</vt:lpstr>
      <vt:lpstr>Posts!Hashtags_Used</vt:lpstr>
      <vt:lpstr>Hashtags_Used</vt:lpstr>
      <vt:lpstr>Posts!Impressions</vt:lpstr>
      <vt:lpstr>Table1!Impressions</vt:lpstr>
      <vt:lpstr>Impressions</vt:lpstr>
      <vt:lpstr>Posts!Likes</vt:lpstr>
      <vt:lpstr>Table1!Likes</vt:lpstr>
      <vt:lpstr>Likes</vt:lpstr>
      <vt:lpstr>Net_Followers</vt:lpstr>
      <vt:lpstr>New_Followers</vt:lpstr>
      <vt:lpstr>Period</vt:lpstr>
      <vt:lpstr>Posts!Platform</vt:lpstr>
      <vt:lpstr>Table1!Platform</vt:lpstr>
      <vt:lpstr>Task_3.1!Platform</vt:lpstr>
      <vt:lpstr>Platform</vt:lpstr>
      <vt:lpstr>Posts!Post_ID</vt:lpstr>
      <vt:lpstr>Table1!Post_ID</vt:lpstr>
      <vt:lpstr>Post_ID</vt:lpstr>
      <vt:lpstr>Posts!Post_Text</vt:lpstr>
      <vt:lpstr>Table1!Post_Text</vt:lpstr>
      <vt:lpstr>Post_Text</vt:lpstr>
      <vt:lpstr>Posts!Reach</vt:lpstr>
      <vt:lpstr>Table1!Reach</vt:lpstr>
      <vt:lpstr>Reach</vt:lpstr>
      <vt:lpstr>Posts!Shares</vt:lpstr>
      <vt:lpstr>Table1!Shares</vt:lpstr>
      <vt:lpstr>Shares</vt:lpstr>
      <vt:lpstr>Total_Engagement</vt:lpstr>
      <vt:lpstr>Total_Followers</vt:lpstr>
      <vt:lpstr>Unfollows</vt:lpstr>
      <vt:lpstr>Week_Start_Date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sritha chippa</dc:creator>
  <cp:lastModifiedBy>sritha chippa</cp:lastModifiedBy>
  <dcterms:created xsi:type="dcterms:W3CDTF">2025-10-30T15:26:13Z</dcterms:created>
  <dcterms:modified xsi:type="dcterms:W3CDTF">2025-11-13T12:16:52Z</dcterms:modified>
</cp:coreProperties>
</file>